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19967037c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0b261bcdf62947ad"/>
    <x:sheet xmlns:r="http://schemas.openxmlformats.org/officeDocument/2006/relationships" name="需求与范围" sheetId="2" r:id="R6e933f450b514d81"/>
    <x:sheet xmlns:r="http://schemas.openxmlformats.org/officeDocument/2006/relationships" name="功能模块" sheetId="3" r:id="Rcc2cc1c986124797"/>
    <x:sheet xmlns:r="http://schemas.openxmlformats.org/officeDocument/2006/relationships" name="推进明细" sheetId="4" r:id="Rc3017530fa2d46b8"/>
    <x:sheet xmlns:r="http://schemas.openxmlformats.org/officeDocument/2006/relationships" name="验收清单" sheetId="5" r:id="Rf17ff11f8f9a4079"/>
    <x:sheet xmlns:r="http://schemas.openxmlformats.org/officeDocument/2006/relationships" name="待确认与上线" sheetId="6" r:id="Rd275b1588187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0">
    <x:font>
      <x:sz val="11"/>
      <x:name val="Carlito"/>
    </x:font>
    <x:font>
      <x:b/>
      <x:sz val="11"/>
      <x:color rgb="FFFFFFFF"/>
      <x:name val="Carlito"/>
    </x:font>
    <x:font>
      <x:sz val="11"/>
      <x:color rgb="FF4B5563"/>
      <x:name val="Carlito"/>
    </x:font>
    <x:font>
      <x:b/>
      <x:sz val="11"/>
      <x:color rgb="FF4F46E5"/>
      <x:name val="Carlito"/>
    </x:font>
    <x:font>
      <x:b/>
      <x:sz val="11"/>
      <x:color rgb="FF172554"/>
      <x:name val="Carlito"/>
    </x:font>
    <x:font>
      <x:b/>
      <x:sz val="11"/>
      <x:color rgb="FF0F766E"/>
      <x:name val="Carlito"/>
    </x:font>
    <x:font>
      <x:b/>
      <x:sz val="11"/>
      <x:color rgb="FFC2410C"/>
      <x:name val="Carlito"/>
    </x:font>
    <x:font>
      <x:sz val="11"/>
      <x:color rgb="FF1F2937"/>
      <x:name val="Carlito"/>
    </x:font>
    <x:font>
      <x:b/>
      <x:sz val="11"/>
      <x:color rgb="FFB45309"/>
      <x:name val="Carlito"/>
    </x:font>
    <x:font>
      <x:b/>
      <x:sz val="11"/>
      <x:color rgb="FF334155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4F46E5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FFBEB"/>
      </x:patternFill>
    </x:fill>
    <x:fill>
      <x:patternFill patternType="solid">
        <x:fgColor rgb="FFD8EFF7"/>
      </x:patternFill>
    </x:fill>
    <x:fill>
      <x:patternFill patternType="solid">
        <x:fgColor rgb="FFFFFFFF"/>
      </x:patternFill>
    </x:fill>
    <x:fill>
      <x:patternFill patternType="solid">
        <x:fgColor rgb="FFFDF2F8"/>
      </x:patternFill>
    </x:fill>
    <x:fill>
      <x:patternFill patternType="solid">
        <x:fgColor rgb="FFE0F2FE"/>
      </x:patternFill>
    </x:fill>
    <x:fill>
      <x:patternFill patternType="solid">
        <x:fgColor rgb="FFEEF2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0FDFA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1F5F9"/>
      </x:patternFill>
    </x:fill>
    <x:fill>
      <x:patternFill patternType="solid">
        <x:fgColor rgb="FFFFE4E6"/>
      </x:patternFill>
    </x:fill>
    <x:fill>
      <x:patternFill patternType="solid">
        <x:fgColor rgb="FFBFE5F5"/>
      </x:patternFill>
    </x:fill>
  </x:fills>
  <x:borders count="24">
    <x:border/>
    <x:border>
      <x:left style="thin">
        <x:color rgb="FFC7D2FE"/>
      </x:left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FED7AA"/>
      </x:left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  <x:border>
      <x:right style="thin">
        <x:color rgb="FFC7D2FE"/>
      </x:right>
    </x:border>
    <x:border>
      <x:left style="thin">
        <x:color rgb="FFC7D2FE"/>
      </x:left>
      <x:right style="thin">
        <x:color rgb="FFC7D2FE"/>
      </x:right>
    </x:border>
    <x:border>
      <x:left style="thin">
        <x:color rgb="FFC7D2FE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1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horizontal="center" wrapText="1"/>
    </x:xf>
    <x:xf numFmtId="0" fontId="6" fillId="7" borderId="14" xfId="0" applyNumberFormat="1" applyFont="1" applyFill="1" applyBorder="1" applyAlignment="1">
      <x:alignment horizontal="center" wrapText="1"/>
    </x:xf>
    <x:xf numFmtId="0" fontId="6" fillId="7" borderId="15" xfId="0" applyNumberFormat="1" applyFont="1" applyFill="1" applyBorder="1" applyAlignment="1">
      <x:alignment horizontal="center" wrapText="1"/>
    </x:xf>
    <x:xf numFmtId="0" fontId="6" fillId="7" borderId="16" xfId="0" applyNumberFormat="1" applyFont="1" applyFill="1" applyBorder="1" applyAlignment="1">
      <x:alignment horizont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/>
    <x:xf numFmtId="0" fontId="1" fillId="4" borderId="18" xfId="0" applyNumberFormat="1" applyFont="1" applyFill="1" applyBorder="1"/>
    <x:xf numFmtId="0" fontId="1" fillId="4" borderId="19" xfId="0" applyNumberFormat="1" applyFont="1" applyFill="1" applyBorder="1"/>
    <x:xf numFmtId="0" fontId="1" fillId="4" borderId="17" xfId="0" applyNumberFormat="1" applyFont="1" applyFill="1" applyBorder="1" applyAlignment="1">
      <x:alignment wrapText="1"/>
    </x:xf>
    <x:xf numFmtId="0" fontId="1" fillId="4" borderId="18" xfId="0" applyNumberFormat="1" applyFont="1" applyFill="1" applyBorder="1" applyAlignment="1">
      <x:alignment wrapText="1"/>
    </x:xf>
    <x:xf numFmtId="0" fontId="1" fillId="4" borderId="19" xfId="0" applyNumberFormat="1" applyFont="1" applyFill="1" applyBorder="1" applyAlignment="1">
      <x:alignment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 wrapText="1"/>
    </x:xf>
    <x:xf numFmtId="200" fontId="7" fillId="0" borderId="20" xfId="0" applyNumberFormat="1" applyFont="1" applyFill="1" applyBorder="1" applyAlignment="1">
      <x:alignment vertical="center" wrapText="1"/>
    </x:xf>
    <x:xf numFmtId="200" fontId="7" fillId="0" borderId="21" xfId="0" applyNumberFormat="1" applyFont="1" applyFill="1" applyBorder="1" applyAlignment="1">
      <x:alignment vertical="center" wrapText="1"/>
    </x:xf>
    <x:xf numFmtId="200" fontId="7" fillId="0" borderId="2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7" fillId="9" borderId="20" xfId="0" applyNumberFormat="1" applyFont="1" applyFill="1" applyBorder="1" applyAlignment="1">
      <x:alignment vertical="center" wrapText="1"/>
    </x:xf>
    <x:xf numFmtId="0" fontId="7" fillId="10" borderId="21" xfId="0" applyNumberFormat="1" applyFont="1" applyFill="1" applyBorder="1" applyAlignment="1">
      <x:alignment vertical="center" wrapText="1"/>
    </x:xf>
    <x:xf numFmtId="0" fontId="7" fillId="9" borderId="21" xfId="0" applyNumberFormat="1" applyFont="1" applyFill="1" applyBorder="1" applyAlignment="1">
      <x:alignment vertical="center" wrapText="1"/>
    </x:xf>
    <x:xf numFmtId="0" fontId="7" fillId="9" borderId="22" xfId="0" applyNumberFormat="1" applyFont="1" applyFill="1" applyBorder="1" applyAlignment="1">
      <x:alignment vertical="center" wrapText="1"/>
    </x:xf>
    <x:xf numFmtId="0" fontId="7" fillId="3" borderId="20" xfId="0" applyNumberFormat="1" applyFont="1" applyFill="1" applyBorder="1" applyAlignment="1">
      <x:alignment vertical="center" wrapText="1"/>
    </x:xf>
    <x:xf numFmtId="0" fontId="7" fillId="3" borderId="21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7" fillId="7" borderId="21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horizontal="center" vertical="center" wrapText="1"/>
    </x:xf>
    <x:xf numFmtId="0" fontId="7" fillId="11" borderId="21" xfId="0" applyNumberFormat="1" applyFont="1" applyFill="1" applyBorder="1" applyAlignment="1">
      <x:alignment vertical="center" wrapText="1"/>
    </x:xf>
    <x:xf numFmtId="0" fontId="4" fillId="11" borderId="21" xfId="0" applyNumberFormat="1" applyFont="1" applyFill="1" applyBorder="1" applyAlignment="1">
      <x:alignment vertical="center" wrapText="1"/>
    </x:xf>
    <x:xf numFmtId="0" fontId="4" fillId="11" borderId="23" xfId="0" applyNumberFormat="1" applyFont="1" applyFill="1" applyBorder="1" applyAlignment="1">
      <x:alignment vertical="center" wrapText="1"/>
    </x:xf>
    <x:xf numFmtId="0" fontId="4" fillId="11" borderId="23" xfId="0" applyNumberFormat="1" applyFont="1" applyFill="1" applyBorder="1" applyAlignment="1">
      <x:alignment horizontal="center" vertical="center" wrapText="1"/>
    </x:xf>
    <x:xf numFmtId="0" fontId="7" fillId="11" borderId="22" xfId="0" applyNumberFormat="1" applyFont="1" applyFill="1" applyBorder="1" applyAlignment="1">
      <x:alignment vertical="center" wrapText="1"/>
    </x:xf>
    <x:xf numFmtId="0" fontId="4" fillId="11" borderId="22" xfId="0" applyNumberFormat="1" applyFont="1" applyFill="1" applyBorder="1" applyAlignment="1">
      <x:alignment vertical="center" wrapText="1"/>
    </x:xf>
    <x:xf numFmtId="201" fontId="7" fillId="0" borderId="20" xfId="0" applyNumberFormat="1" applyFont="1" applyFill="1" applyBorder="1" applyAlignment="1">
      <x:alignment vertical="center" wrapText="1"/>
    </x:xf>
    <x:xf numFmtId="201" fontId="7" fillId="0" borderId="21" xfId="0" applyNumberFormat="1" applyFont="1" applyFill="1" applyBorder="1" applyAlignment="1">
      <x:alignment vertical="center" wrapText="1"/>
    </x:xf>
    <x:xf numFmtId="201" fontId="7" fillId="0" borderId="22" xfId="0" applyNumberFormat="1" applyFont="1" applyFill="1" applyBorder="1" applyAlignment="1">
      <x:alignment vertical="center" wrapText="1"/>
    </x:xf>
    <x:xf numFmtId="0" fontId="4" fillId="12" borderId="23" xfId="0" applyNumberFormat="1" applyFont="1" applyFill="1" applyBorder="1" applyAlignment="1">
      <x:alignment horizontal="center" vertical="center" wrapText="1"/>
    </x:xf>
    <x:xf numFmtId="0" fontId="9" fillId="12" borderId="23" xfId="0" applyNumberFormat="1" applyFont="1" applyFill="1" applyBorder="1" applyAlignment="1">
      <x:alignment horizontal="center" vertical="center" wrapText="1"/>
    </x:xf>
    <x:xf numFmtId="0" fontId="4" fillId="13" borderId="23" xfId="0" applyNumberFormat="1" applyFont="1" applyFill="1" applyBorder="1" applyAlignment="1">
      <x:alignment horizontal="center" vertical="center" wrapText="1"/>
    </x:xf>
    <x:xf numFmtId="0" fontId="9" fillId="13" borderId="23" xfId="0" applyNumberFormat="1" applyFont="1" applyFill="1" applyBorder="1" applyAlignment="1">
      <x:alignment horizontal="center" vertical="center" wrapText="1"/>
    </x:xf>
    <x:xf numFmtId="0" fontId="4" fillId="14" borderId="23" xfId="0" applyNumberFormat="1" applyFont="1" applyFill="1" applyBorder="1" applyAlignment="1">
      <x:alignment horizontal="center" vertical="center" wrapText="1"/>
    </x:xf>
    <x:xf numFmtId="0" fontId="9" fillId="14" borderId="23" xfId="0" applyNumberFormat="1" applyFont="1" applyFill="1" applyBorder="1" applyAlignment="1">
      <x:alignment horizontal="center" vertical="center" wrapText="1"/>
    </x:xf>
    <x:xf numFmtId="0" fontId="4" fillId="15" borderId="23" xfId="0" applyNumberFormat="1" applyFont="1" applyFill="1" applyBorder="1" applyAlignment="1">
      <x:alignment horizontal="center" vertical="center" wrapText="1"/>
    </x:xf>
    <x:xf numFmtId="0" fontId="9" fillId="15" borderId="23" xfId="0" applyNumberFormat="1" applyFont="1" applyFill="1" applyBorder="1" applyAlignment="1">
      <x:alignment horizontal="center" vertical="center" wrapText="1"/>
    </x:xf>
    <x:xf numFmtId="0" fontId="4" fillId="16" borderId="23" xfId="0" applyNumberFormat="1" applyFont="1" applyFill="1" applyBorder="1" applyAlignment="1">
      <x:alignment horizontal="center" vertical="center" wrapText="1"/>
    </x:xf>
    <x:xf numFmtId="0" fontId="9" fillId="16" borderId="23" xfId="0" applyNumberFormat="1" applyFont="1" applyFill="1" applyBorder="1" applyAlignment="1">
      <x:alignment horizontal="center" vertical="center" wrapText="1"/>
    </x:xf>
    <x:xf numFmtId="0" fontId="4" fillId="17" borderId="23" xfId="0" applyNumberFormat="1" applyFont="1" applyFill="1" applyBorder="1" applyAlignment="1">
      <x:alignment horizontal="center" vertical="center" wrapText="1"/>
    </x:xf>
    <x:xf numFmtId="0" fontId="9" fillId="17" borderId="23" xfId="0" applyNumberFormat="1" applyFont="1" applyFill="1" applyBorder="1" applyAlignment="1">
      <x:alignment horizontal="center" vertical="center" wrapText="1"/>
    </x:xf>
    <x:xf numFmtId="0" fontId="4" fillId="18" borderId="23" xfId="0" applyNumberFormat="1" applyFont="1" applyFill="1" applyBorder="1" applyAlignment="1">
      <x:alignment horizontal="center" vertical="center" wrapText="1"/>
    </x:xf>
    <x:xf numFmtId="0" fontId="9" fillId="18" borderId="23" xfId="0" applyNumberFormat="1" applyFont="1" applyFill="1" applyBorder="1" applyAlignment="1">
      <x:alignment horizontal="center" vertical="center" wrapText="1"/>
    </x:xf>
    <x:xf numFmtId="0" fontId="4" fillId="19" borderId="23" xfId="0" applyNumberFormat="1" applyFont="1" applyFill="1" applyBorder="1" applyAlignment="1">
      <x:alignment horizontal="center" vertical="center" wrapText="1"/>
    </x:xf>
    <x:xf numFmtId="0" fontId="9" fillId="19" borderId="23" xfId="0" applyNumberFormat="1" applyFont="1" applyFill="1" applyBorder="1" applyAlignment="1">
      <x:alignment horizontal="center" vertical="center" wrapText="1"/>
    </x:xf>
    <x:xf numFmtId="0" fontId="4" fillId="20" borderId="23" xfId="0" applyNumberFormat="1" applyFont="1" applyFill="1" applyBorder="1" applyAlignment="1">
      <x:alignment horizontal="center" vertical="center" wrapText="1"/>
    </x:xf>
    <x:xf numFmtId="0" fontId="9" fillId="20" borderId="23" xfId="0" applyNumberFormat="1" applyFont="1" applyFill="1" applyBorder="1" applyAlignment="1">
      <x:alignment horizontal="center" vertical="center" wrapText="1"/>
    </x:xf>
    <x:xf numFmtId="0" fontId="4" fillId="21" borderId="23" xfId="0" applyNumberFormat="1" applyFont="1" applyFill="1" applyBorder="1" applyAlignment="1">
      <x:alignment horizontal="center" vertical="center" wrapText="1"/>
    </x:xf>
    <x:xf numFmtId="0" fontId="9" fillId="21" borderId="2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78"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59b6e1fe24ab7" /><Relationship Type="http://schemas.openxmlformats.org/officeDocument/2006/relationships/theme" Target="/xl/theme/theme1.xml" Id="R9c25985ca4844e6f" /><Relationship Type="http://schemas.openxmlformats.org/officeDocument/2006/relationships/sharedStrings" Target="/xl/sharedStrings.xml" Id="R23d6df4dbe80488d" /><Relationship Type="http://schemas.openxmlformats.org/officeDocument/2006/relationships/worksheet" Target="/xl/worksheets/sheet1.xml" Id="R0b261bcdf62947ad" /><Relationship Type="http://schemas.openxmlformats.org/officeDocument/2006/relationships/worksheet" Target="/xl/worksheets/sheet2.xml" Id="R6e933f450b514d81" /><Relationship Type="http://schemas.openxmlformats.org/officeDocument/2006/relationships/worksheet" Target="/xl/worksheets/sheet3.xml" Id="Rcc2cc1c986124797" /><Relationship Type="http://schemas.openxmlformats.org/officeDocument/2006/relationships/worksheet" Target="/xl/worksheets/sheet4.xml" Id="Rc3017530fa2d46b8" /><Relationship Type="http://schemas.openxmlformats.org/officeDocument/2006/relationships/worksheet" Target="/xl/worksheets/sheet5.xml" Id="Rf17ff11f8f9a4079" /><Relationship Type="http://schemas.openxmlformats.org/officeDocument/2006/relationships/worksheet" Target="/xl/worksheets/sheet6.xml" Id="Rd275b1588187414a" /><Relationship Type="http://schemas.microsoft.com/office/2017/10/relationships/person" Target="/xl/persons/person.xml" Id="R2b3db0b34b104ece" /></Relationships>
</file>

<file path=xl/persons/person.xml><?xml version="1.0" encoding="utf-8"?>
<xltc:personList xmlns:xltc="http://schemas.microsoft.com/office/spreadsheetml/2018/threadedcomments">
  <xltc:person displayName="User" id="{68E6C3E5-418D-4A66-8490-D52229C80CA2}"/>
</xltc:personList>
</file>

<file path=xl/tables/table1.xml><?xml version="1.0" encoding="utf-8"?>
<x:table xmlns:x="http://schemas.openxmlformats.org/spreadsheetml/2006/main" id="1" name="OverviewModulesTable" displayName="OverviewModulesTable" ref="A10:H26" headerRowCount="1" totalsRowCount="0" totalsRowShown="0">
  <x:autoFilter ref="A10:H26"/>
  <x:tableColumns count="8">
    <x:tableColumn id="1" name="功能模块"/>
    <x:tableColumn id="2" name="权重"/>
    <x:tableColumn id="3" name="完成度"/>
    <x:tableColumn id="4" name="状态"/>
    <x:tableColumn id="5" name="优先级"/>
    <x:tableColumn id="6" name="当前可用能力"/>
    <x:tableColumn id="7" name="主要缺口"/>
    <x:tableColumn id="8" name="完成标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mModulesTable" displayName="CrmModulesTable" ref="A4:J20" headerRowCount="1" totalsRowCount="0" totalsRowShown="0">
  <x:autoFilter ref="A4:J20"/>
  <x:tableColumns count="10">
    <x:tableColumn id="1" name="模块ID"/>
    <x:tableColumn id="2" name="功能模块"/>
    <x:tableColumn id="3" name="当前可用能力"/>
    <x:tableColumn id="4" name="上线缺口"/>
    <x:tableColumn id="5" name="状态"/>
    <x:tableColumn id="6" name="权重"/>
    <x:tableColumn id="7" name="完成度"/>
    <x:tableColumn id="8" name="优先级"/>
    <x:tableColumn id="9" name="完成标准"/>
    <x:tableColumn id="10" name="验收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mTasksTable" displayName="CrmTasksTable" ref="A4:N44" headerRowCount="1" totalsRowCount="0" totalsRowShown="0">
  <x:autoFilter ref="A4:N44"/>
  <x:tableColumns count="14">
    <x:tableColumn id="1" name="任务ID"/>
    <x:tableColumn id="2" name="功能模块"/>
    <x:tableColumn id="3" name="任务名称"/>
    <x:tableColumn id="4" name="类型"/>
    <x:tableColumn id="5" name="优先级"/>
    <x:tableColumn id="6" name="责任方"/>
    <x:tableColumn id="7" name="状态"/>
    <x:tableColumn id="8" name="计划开始"/>
    <x:tableColumn id="9" name="计划完成"/>
    <x:tableColumn id="10" name="完成度"/>
    <x:tableColumn id="11" name="验收标准／完成条件"/>
    <x:tableColumn id="12" name="阻塞原因"/>
    <x:tableColumn id="13" name="下一步"/>
    <x:tableColumn id="14" name="里程碑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mAcceptanceTable" displayName="CrmAcceptanceTable" ref="A4:H20" headerRowCount="1" totalsRowCount="0" totalsRowShown="0">
  <x:autoFilter ref="A4:H20"/>
  <x:tableColumns count="8">
    <x:tableColumn id="1" name="编号"/>
    <x:tableColumn id="2" name="验收场景"/>
    <x:tableColumn id="3" name="自动验收内容"/>
    <x:tableColumn id="4" name="人工验收操作"/>
    <x:tableColumn id="5" name="当前结果"/>
    <x:tableColumn id="6" name="证据／说明"/>
    <x:tableColumn id="7" name="人工配合"/>
    <x:tableColumn id="8" name="复测触发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mPendingTable" displayName="CrmPendingTable" ref="A4:H18" headerRowCount="1" totalsRowCount="0" totalsRowShown="0">
  <x:autoFilter ref="A4:H18"/>
  <x:tableColumns count="8">
    <x:tableColumn id="1" name="事项ID"/>
    <x:tableColumn id="2" name="类别"/>
    <x:tableColumn id="3" name="待确认／门槛"/>
    <x:tableColumn id="4" name="状态"/>
    <x:tableColumn id="5" name="责任方"/>
    <x:tableColumn id="6" name="影响"/>
    <x:tableColumn id="7" name="需要提供的资料／动作"/>
    <x:tableColumn id="8" name="完成后影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d741123f44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d8b10a11bb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d12a90ec1642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99a982b77b4b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dc8795e64e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4" hidden="0" customWidth="1"/>
    <x:col min="5" max="5" width="10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4" customHeight="1">
      <x:c r="A1" s="3" t="str">
        <x:v>EC 工单系统｜项目推进总表</x:v>
      </x:c>
      <x:c r="B1" s="3" t="str">
        <x:v>EC 工单系统｜项目推进总表</x:v>
      </x:c>
      <x:c r="C1" s="3" t="str">
        <x:v>EC 工单系统｜项目推进总表</x:v>
      </x:c>
      <x:c r="D1" s="3" t="str">
        <x:v>EC 工单系统｜项目推进总表</x:v>
      </x:c>
      <x:c r="E1" s="3" t="str">
        <x:v>EC 工单系统｜项目推进总表</x:v>
      </x:c>
      <x:c r="F1" s="3" t="str">
        <x:v>EC 工单系统｜项目推进总表</x:v>
      </x:c>
      <x:c r="G1" s="3" t="str">
        <x:v>EC 工单系统｜项目推进总表</x:v>
      </x:c>
      <x:c r="H1" s="3" t="str">
        <x:v>EC 工单系统｜项目推进总表</x:v>
      </x:c>
    </x:row>
    <x:row r="2" ht="25" customHeight="1">
      <x:c r="A2" s="6" t="str">
        <x:v>更新日期：2026-08-31｜整体进度与大模块进度均由“功能模块”页自动汇总；进度基于仓库可验证证据</x:v>
      </x:c>
      <x:c r="B2" s="6" t="str">
        <x:v>更新日期：2026-08-31｜整体进度与大模块进度均由“功能模块”页自动汇总；进度基于仓库可验证证据</x:v>
      </x:c>
      <x:c r="C2" s="6" t="str">
        <x:v>更新日期：2026-08-31｜整体进度与大模块进度均由“功能模块”页自动汇总；进度基于仓库可验证证据</x:v>
      </x:c>
      <x:c r="D2" s="6" t="str">
        <x:v>更新日期：2026-08-31｜整体进度与大模块进度均由“功能模块”页自动汇总；进度基于仓库可验证证据</x:v>
      </x:c>
      <x:c r="E2" s="6" t="str">
        <x:v>更新日期：2026-08-31｜整体进度与大模块进度均由“功能模块”页自动汇总；进度基于仓库可验证证据</x:v>
      </x:c>
      <x:c r="F2" s="6" t="str">
        <x:v>更新日期：2026-08-31｜整体进度与大模块进度均由“功能模块”页自动汇总；进度基于仓库可验证证据</x:v>
      </x:c>
      <x:c r="G2" s="6" t="str">
        <x:v>更新日期：2026-08-31｜整体进度与大模块进度均由“功能模块”页自动汇总；进度基于仓库可验证证据</x:v>
      </x:c>
      <x:c r="H2" s="6" t="str">
        <x:v>更新日期：2026-08-31｜整体进度与大模块进度均由“功能模块”页自动汇总；进度基于仓库可验证证据</x:v>
      </x:c>
    </x:row>
    <x:row r="3" ht="8" customHeight="1"/>
    <x:row r="4">
      <x:c r="A4" s="8" t="str">
        <x:v>项目整体进度</x:v>
      </x:c>
      <x:c r="B4" s="8" t="str">
        <x:v>项目整体进度</x:v>
      </x:c>
      <x:c r="C4" s="8" t="str">
        <x:v>项目整体进度</x:v>
      </x:c>
      <x:c r="D4" s="8" t="str">
        <x:v>项目整体进度</x:v>
      </x:c>
      <x:c r="E4" s="8" t="str">
        <x:v>项目整体进度</x:v>
      </x:c>
      <x:c r="F4" s="8" t="str">
        <x:v>项目整体进度</x:v>
      </x:c>
      <x:c r="G4" s="8" t="str">
        <x:v>项目整体进度</x:v>
      </x:c>
      <x:c r="H4" s="8" t="str">
        <x:v>项目整体进度</x:v>
      </x:c>
    </x:row>
    <x:row r="5">
      <x:c r="A5" s="12" t="str">
        <x:v>整体进度</x:v>
      </x:c>
      <x:c r="B5" s="12" t="str">
        <x:v>整体进度</x:v>
      </x:c>
      <x:c r="C5" s="12" t="str">
        <x:v>当前阶段</x:v>
      </x:c>
      <x:c r="D5" s="12" t="str">
        <x:v>当前阶段</x:v>
      </x:c>
      <x:c r="E5" s="12" t="str">
        <x:v>模块达标情况</x:v>
      </x:c>
      <x:c r="F5" s="12" t="str">
        <x:v>模块达标情况</x:v>
      </x:c>
      <x:c r="G5" s="12" t="str">
        <x:v>上线判断</x:v>
      </x:c>
      <x:c r="H5" s="12" t="str">
        <x:v>上线判断</x:v>
      </x:c>
    </x:row>
    <x:row r="6" ht="30" customHeight="1">
      <x:c r="A6" s="26" t="n">
        <x:f>SUMPRODUCT('功能模块'!$F$5:$F$20,'功能模块'!$G$5:$G$20)</x:f>
        <x:v>0.52</x:v>
      </x:c>
      <x:c r="B6" s="27"/>
      <x:c r="C6" s="44" t="str">
        <x:v>一期范围冻结
与 POC 准备</x:v>
      </x:c>
      <x:c r="D6" s="45"/>
      <x:c r="E6" s="62" t="str">
        <x:f>COUNTIF('功能模块'!$G$5:$G$20,"&gt;=0.8")&amp;" / "&amp;COUNTA('功能模块'!$A$5:$A$20)&amp;" 个模块达到 80%"</x:f>
        <x:v>1 / 10 个模块达到 80%</x:v>
      </x:c>
      <x:c r="F6" s="63"/>
      <x:c r="G6" s="80" t="str">
        <x:f>IF(A6&gt;=0.9,"可进入上线验收",IF(A6&gt;=0.65,"POC／实施收口中",IF(A6&gt;=0.4,"原型可评审，尚未进入生产实施","范围与方案准备中")))</x:f>
        <x:v>原型可评审，尚未进入生产实施</x:v>
      </x:c>
      <x:c r="H6" s="81"/>
    </x:row>
    <x:row r="7" ht="30" customHeight="1">
      <x:c r="A7" s="28"/>
      <x:c r="B7" s="29"/>
      <x:c r="C7" s="46"/>
      <x:c r="D7" s="47"/>
      <x:c r="E7" s="64"/>
      <x:c r="F7" s="65"/>
      <x:c r="G7" s="82"/>
      <x:c r="H7" s="83"/>
    </x:row>
    <x:row r="8" ht="8" customHeight="1"/>
    <x:row r="9">
      <x:c r="A9" s="8" t="str">
        <x:v>大模块进度｜完成度来自“功能模块”页，更新后自动同步</x:v>
      </x:c>
      <x:c r="B9" s="8" t="str">
        <x:v>大模块进度｜完成度来自“功能模块”页，更新后自动同步</x:v>
      </x:c>
      <x:c r="C9" s="8" t="str">
        <x:v>大模块进度｜完成度来自“功能模块”页，更新后自动同步</x:v>
      </x:c>
      <x:c r="D9" s="8" t="str">
        <x:v>大模块进度｜完成度来自“功能模块”页，更新后自动同步</x:v>
      </x:c>
      <x:c r="E9" s="8" t="str">
        <x:v>大模块进度｜完成度来自“功能模块”页，更新后自动同步</x:v>
      </x:c>
      <x:c r="F9" s="8" t="str">
        <x:v>大模块进度｜完成度来自“功能模块”页，更新后自动同步</x:v>
      </x:c>
      <x:c r="G9" s="8" t="str">
        <x:v>大模块进度｜完成度来自“功能模块”页，更新后自动同步</x:v>
      </x:c>
      <x:c r="H9" s="8" t="str">
        <x:v>大模块进度｜完成度来自“功能模块”页，更新后自动同步</x:v>
      </x:c>
    </x:row>
    <x:row r="10" ht="26" customHeight="1">
      <x:c r="A10" s="90" t="str">
        <x:v>功能模块</x:v>
      </x:c>
      <x:c r="B10" s="91" t="str">
        <x:v>权重</x:v>
      </x:c>
      <x:c r="C10" s="91" t="str">
        <x:v>完成度</x:v>
      </x:c>
      <x:c r="D10" s="91" t="str">
        <x:v>状态</x:v>
      </x:c>
      <x:c r="E10" s="91" t="str">
        <x:v>优先级</x:v>
      </x:c>
      <x:c r="F10" s="91" t="str">
        <x:v>当前可用能力</x:v>
      </x:c>
      <x:c r="G10" s="91" t="str">
        <x:v>主要缺口</x:v>
      </x:c>
      <x:c r="H10" s="92" t="str">
        <x:v>完成标志</x:v>
      </x:c>
    </x:row>
    <x:row r="11" ht="42" customHeight="1">
      <x:c r="A11" s="100" t="str">
        <x:f>'功能模块'!B5</x:f>
        <x:v>需求与范围治理</x:v>
      </x:c>
      <x:c r="B11" s="103" t="n">
        <x:f>'功能模块'!F5</x:f>
        <x:v>0.15</x:v>
      </x:c>
      <x:c r="C11" s="103" t="n">
        <x:f>'功能模块'!G5</x:f>
        <x:v>0.78</x:v>
      </x:c>
      <x:c r="D11" s="100" t="str">
        <x:f>'功能模块'!E5</x:f>
        <x:v>部分完成</x:v>
      </x:c>
      <x:c r="E11" s="100" t="str">
        <x:f>'功能模块'!H5</x:f>
        <x:v>P0</x:v>
      </x:c>
      <x:c r="F11" s="100" t="str">
        <x:f>'功能模块'!C5</x:f>
        <x:v>已形成一期 MVP PRD、详细规格、需求质量清单、材料索引与待确认问题清单</x:v>
      </x:c>
      <x:c r="G11" s="100" t="str">
        <x:f>'功能模块'!D5</x:f>
        <x:v>PRD 状态仍为待客户确认；7 状态／10 状态及 P0/P1/P2 边界尚未冻结；缺已批准 plan.md、tasks.md</x:v>
      </x:c>
      <x:c r="H11" s="100" t="str">
        <x:f>'功能模块'!I5</x:f>
        <x:v>客户书面批准一期范围、角色、流程、状态、字段及验收标准，并补齐 plan.md、tasks.md</x:v>
      </x:c>
    </x:row>
    <x:row r="12" ht="42" customHeight="1">
      <x:c r="A12" s="101" t="str">
        <x:f>'功能模块'!B6</x:f>
        <x:v>交互原型与公网发布</x:v>
      </x:c>
      <x:c r="B12" s="104" t="n">
        <x:f>'功能模块'!F6</x:f>
        <x:v>0.15</x:v>
      </x:c>
      <x:c r="C12" s="104" t="n">
        <x:f>'功能模块'!G6</x:f>
        <x:v>0.9</x:v>
      </x:c>
      <x:c r="D12" s="101" t="str">
        <x:f>'功能模块'!E6</x:f>
        <x:v>基本完成</x:v>
      </x:c>
      <x:c r="E12" s="101" t="str">
        <x:f>'功能模块'!H6</x:f>
        <x:v>P0</x:v>
      </x:c>
      <x:c r="F12" s="101" t="str">
        <x:f>'功能模块'!C6</x:f>
        <x:v>多角色 PC／移动端单文件原型已完成；包含 CALL、分派、报价、标书、备货、会计、报告、统计和设置；GitHub Pages 已发布</x:v>
      </x:c>
      <x:c r="G12" s="101" t="str">
        <x:f>'功能模块'!D6</x:f>
        <x:v>当前原型包含超出一期 P0 的报价／采购／财务完整演示；需按批准范围复核并形成新一轮客户评审记录</x:v>
      </x:c>
      <x:c r="H12" s="101" t="str">
        <x:f>'功能模块'!I6</x:f>
        <x:v>原型与批准 PRD 一致，CS／Leader／师傅主流程可走通，评审问题闭环并形成版本验收记录</x:v>
      </x:c>
    </x:row>
    <x:row r="13" ht="42" customHeight="1">
      <x:c r="A13" s="101" t="str">
        <x:f>'功能模块'!B7</x:f>
        <x:v>工单受理与闭环</x:v>
      </x:c>
      <x:c r="B13" s="104" t="n">
        <x:f>'功能模块'!F7</x:f>
        <x:v>0.15</x:v>
      </x:c>
      <x:c r="C13" s="104" t="n">
        <x:f>'功能模块'!G7</x:f>
        <x:v>0.68</x:v>
      </x:c>
      <x:c r="D13" s="101" t="str">
        <x:f>'功能模块'!E7</x:f>
        <x:v>部分完成</x:v>
      </x:c>
      <x:c r="E13" s="101" t="str">
        <x:f>'功能模块'!H7</x:f>
        <x:v>P0</x:v>
      </x:c>
      <x:c r="F13" s="101" t="str">
        <x:f>'功能模块'!C7</x:f>
        <x:v>原型已演示建单、列表、详情、状态流转、处理记录、服务报告与完工单</x:v>
      </x:c>
      <x:c r="G13" s="101" t="str">
        <x:f>'功能模块'!D7</x:f>
        <x:v>唯一编号规则、政府前缀、状态终点、真实附件与操作日志尚未在生产环境验证</x:v>
      </x:c>
      <x:c r="H13" s="101" t="str">
        <x:f>'功能模块'!I7</x:f>
        <x:v>普通／政府样例建单、查询、流转、附件和时间线全部按批准规则通过验收</x:v>
      </x:c>
    </x:row>
    <x:row r="14" ht="42" customHeight="1">
      <x:c r="A14" s="101" t="str">
        <x:f>'功能模块'!B8</x:f>
        <x:v>派单、角色与数据权限</x:v>
      </x:c>
      <x:c r="B14" s="104" t="n">
        <x:f>'功能模块'!F8</x:f>
        <x:v>0.1</x:v>
      </x:c>
      <x:c r="C14" s="104" t="n">
        <x:f>'功能模块'!G8</x:f>
        <x:v>0.6</x:v>
      </x:c>
      <x:c r="D14" s="101" t="str">
        <x:f>'功能模块'!E8</x:f>
        <x:v>部分完成</x:v>
      </x:c>
      <x:c r="E14" s="101" t="str">
        <x:f>'功能模块'!H8</x:f>
        <x:v>P0</x:v>
      </x:c>
      <x:c r="F14" s="101" t="str">
        <x:f>'功能模块'!C8</x:f>
        <x:v>原型已演示区域、Team Leader、师傅、角色导航、分派、拒单／改派及分派中心优化</x:v>
      </x:c>
      <x:c r="G14" s="101" t="str">
        <x:f>'功能模块'!D8</x:f>
        <x:v>区域—团队—Leader—师傅映射缺失；角色权限目前主要为前端演示，未验证真实账号和服务端数据范围</x:v>
      </x:c>
      <x:c r="H14" s="101" t="str">
        <x:f>'功能模块'!I8</x:f>
        <x:v>真实组织与试点账号完成权限、越权、派单、拒单和改派验证，操作全程留痕</x:v>
      </x:c>
    </x:row>
    <x:row r="15" ht="42" customHeight="1">
      <x:c r="A15" s="101" t="str">
        <x:f>'功能模块'!B9</x:f>
        <x:v>师傅移动端与现场证据</x:v>
      </x:c>
      <x:c r="B15" s="104" t="n">
        <x:f>'功能模块'!F9</x:f>
        <x:v>0.1</x:v>
      </x:c>
      <x:c r="C15" s="104" t="n">
        <x:f>'功能模块'!G9</x:f>
        <x:v>0.62</x:v>
      </x:c>
      <x:c r="D15" s="101" t="str">
        <x:f>'功能模块'!E9</x:f>
        <x:v>部分完成</x:v>
      </x:c>
      <x:c r="E15" s="101" t="str">
        <x:f>'功能模块'!H9</x:f>
        <x:v>P0</x:v>
      </x:c>
      <x:c r="F15" s="101" t="str">
        <x:f>'功能模块'!C9</x:f>
        <x:v>已提供师傅／主管移动工作台、接单、到场、处理、服务报告、完工单上传与签名演示</x:v>
      </x:c>
      <x:c r="G15" s="101" t="str">
        <x:f>'功能模块'!D9</x:f>
        <x:v>不可拍照清单、照片强制／豁免规则、真实手机网络、容量和附件存储均未验证</x:v>
      </x:c>
      <x:c r="H15" s="101" t="str">
        <x:f>'功能模块'!I9</x:f>
        <x:v>师傅用真实手机完成可拍照与不可拍照各一单，状态、证据、时长和权限符合验收标准</x:v>
      </x:c>
    </x:row>
    <x:row r="16" ht="42" customHeight="1">
      <x:c r="A16" s="101" t="str">
        <x:f>'功能模块'!B10</x:f>
        <x:v>报价采购财务扩展原型</x:v>
      </x:c>
      <x:c r="B16" s="104" t="n">
        <x:f>'功能模块'!F10</x:f>
        <x:v>0.05</x:v>
      </x:c>
      <x:c r="C16" s="104" t="n">
        <x:f>'功能模块'!G10</x:f>
        <x:v>0.72</x:v>
      </x:c>
      <x:c r="D16" s="101" t="str">
        <x:f>'功能模块'!E10</x:f>
        <x:v>部分完成</x:v>
      </x:c>
      <x:c r="E16" s="101" t="str">
        <x:f>'功能模块'!H10</x:f>
        <x:v>P2</x:v>
      </x:c>
      <x:c r="F16" s="101" t="str">
        <x:f>'功能模块'!C10</x:f>
        <x:v>原型已演示报价版本、标书、采购／备货、完工纸、发票、收款及报告联动</x:v>
      </x:c>
      <x:c r="G16" s="101" t="str">
        <x:f>'功能模块'!D10</x:f>
        <x:v>当前 PRD 仅允许一期预留关联字段，完整流程未获客户确认；不得视为生产交付</x:v>
      </x:c>
      <x:c r="H16" s="101" t="str">
        <x:f>'功能模块'!I10</x:f>
        <x:v>客户确认纳入范围或明确移入二期变更池，原型入口与一期基线保持一致</x:v>
      </x:c>
    </x:row>
    <x:row r="17" ht="42" customHeight="1">
      <x:c r="A17" s="101" t="str">
        <x:f>'功能模块'!B11</x:f>
        <x:v>钉钉／宜搭 POC</x:v>
      </x:c>
      <x:c r="B17" s="104" t="n">
        <x:f>'功能模块'!F11</x:f>
        <x:v>0.1</x:v>
      </x:c>
      <x:c r="C17" s="104" t="n">
        <x:f>'功能模块'!G11</x:f>
        <x:v>0</x:v>
      </x:c>
      <x:c r="D17" s="101" t="str">
        <x:f>'功能模块'!E11</x:f>
        <x:v>未开始</x:v>
      </x:c>
      <x:c r="E17" s="101" t="str">
        <x:f>'功能模块'!H11</x:f>
        <x:v>P0</x:v>
      </x:c>
      <x:c r="F17" s="101" t="str">
        <x:f>'功能模块'!C11</x:f>
        <x:v>已有技术可行性分析与 POC 前置条件清单</x:v>
      </x:c>
      <x:c r="G17" s="101" t="str">
        <x:f>'功能模块'!D11</x:f>
        <x:v>无宜搭应用、真实钉钉账号、消息、数据权限、图片容量和网络验证证据</x:v>
      </x:c>
      <x:c r="H17" s="101" t="str">
        <x:f>'功能模块'!I11</x:f>
        <x:v>真实账号、权限、移动端、消息、图片上传与容量验证通过并形成 POC 结论</x:v>
      </x:c>
    </x:row>
    <x:row r="18" ht="42" customHeight="1">
      <x:c r="A18" s="101" t="str">
        <x:f>'功能模块'!B12</x:f>
        <x:v>试点主数据与组织准备</x:v>
      </x:c>
      <x:c r="B18" s="104" t="n">
        <x:f>'功能模块'!F12</x:f>
        <x:v>0.08</x:v>
      </x:c>
      <x:c r="C18" s="104" t="n">
        <x:f>'功能模块'!G12</x:f>
        <x:v>0.1</x:v>
      </x:c>
      <x:c r="D18" s="101" t="str">
        <x:f>'功能模块'!E12</x:f>
        <x:v>待收口</x:v>
      </x:c>
      <x:c r="E18" s="101" t="str">
        <x:f>'功能模块'!H12</x:f>
        <x:v>P0</x:v>
      </x:c>
      <x:c r="F18" s="101" t="str">
        <x:f>'功能模块'!C12</x:f>
        <x:v>已有客户、地址、区域、团队、人员、编号、照片策略等字段模板和导入需求</x:v>
      </x:c>
      <x:c r="G18" s="101" t="str">
        <x:f>'功能模块'!D12</x:f>
        <x:v>试点团队、客户／地址清单、区域映射、工单样例和不可拍照清单尚未收到或签认</x:v>
      </x:c>
      <x:c r="H18" s="101" t="str">
        <x:f>'功能模块'!I12</x:f>
        <x:v>1 个试点区域、角色人员、20–30 张样例工单及主数据完成清洗和客户签认</x:v>
      </x:c>
    </x:row>
    <x:row r="19" ht="42" customHeight="1">
      <x:c r="A19" s="101" t="str">
        <x:f>'功能模块'!B13</x:f>
        <x:v>生产开发与集成</x:v>
      </x:c>
      <x:c r="B19" s="104" t="n">
        <x:f>'功能模块'!F13</x:f>
        <x:v>0.07</x:v>
      </x:c>
      <x:c r="C19" s="104" t="n">
        <x:f>'功能模块'!G13</x:f>
        <x:v>0</x:v>
      </x:c>
      <x:c r="D19" s="101" t="str">
        <x:f>'功能模块'!E13</x:f>
        <x:v>未开始</x:v>
      </x:c>
      <x:c r="E19" s="101" t="str">
        <x:f>'功能模块'!H13</x:f>
        <x:v>P0</x:v>
      </x:c>
      <x:c r="F19" s="101" t="str">
        <x:f>'功能模块'!C13</x:f>
        <x:v>当前仓库具备静态 HTML 原型与 GitHub Pages 发布链路</x:v>
      </x:c>
      <x:c r="G19" s="101" t="str">
        <x:f>'功能模块'!D13</x:f>
        <x:v>无已批准实施计划、生产后端、真实数据服务、消息、附件存储、监控和部署交付</x:v>
      </x:c>
      <x:c r="H19" s="101" t="str">
        <x:f>'功能模块'!I13</x:f>
        <x:v>基于批准 PRD 与 POC 结论完成 P0 生产实现、集成测试、部署与运维准备</x:v>
      </x:c>
    </x:row>
    <x:row r="20" ht="42" customHeight="1">
      <x:c r="A20" s="101" t="str">
        <x:f>'功能模块'!B14</x:f>
        <x:v>UAT、试点与上线</x:v>
      </x:c>
      <x:c r="B20" s="104" t="n">
        <x:f>'功能模块'!F14</x:f>
        <x:v>0.05</x:v>
      </x:c>
      <x:c r="C20" s="104" t="n">
        <x:f>'功能模块'!G14</x:f>
        <x:v>0</x:v>
      </x:c>
      <x:c r="D20" s="101" t="str">
        <x:f>'功能模块'!E14</x:f>
        <x:v>未开始</x:v>
      </x:c>
      <x:c r="E20" s="101" t="str">
        <x:f>'功能模块'!H14</x:f>
        <x:v>P0</x:v>
      </x:c>
      <x:c r="F20" s="101" t="str">
        <x:f>'功能模块'!C14</x:f>
        <x:v>已有 7 个 P0 验收场景和 5 项可量化成功标准</x:v>
      </x:c>
      <x:c r="G20" s="101" t="str">
        <x:f>'功能模块'!D14</x:f>
        <x:v>无测试工单、UAT 记录、7–10 个工作日试点、问题闭环和签收证据</x:v>
      </x:c>
      <x:c r="H20" s="101" t="str">
        <x:f>'功能模块'!I14</x:f>
        <x:v>试点完成、P0 场景通过、UAT 问题关闭、上线与操作交接完成</x:v>
      </x:c>
    </x:row>
    <x:row r="21" ht="7" customHeight="1">
      <x:c r="A21" s="101"/>
      <x:c r="B21" s="104"/>
      <x:c r="C21" s="104"/>
      <x:c r="D21" s="101"/>
      <x:c r="E21" s="101"/>
      <x:c r="F21" s="101"/>
      <x:c r="G21" s="101"/>
      <x:c r="H21" s="101"/>
    </x:row>
    <x:row r="22" ht="7" customHeight="1">
      <x:c r="A22" s="101"/>
      <x:c r="B22" s="104"/>
      <x:c r="C22" s="104"/>
      <x:c r="D22" s="101"/>
      <x:c r="E22" s="101"/>
      <x:c r="F22" s="101"/>
      <x:c r="G22" s="101"/>
      <x:c r="H22" s="101"/>
    </x:row>
    <x:row r="23" ht="7" customHeight="1">
      <x:c r="A23" s="101"/>
      <x:c r="B23" s="104"/>
      <x:c r="C23" s="104"/>
      <x:c r="D23" s="101"/>
      <x:c r="E23" s="101"/>
      <x:c r="F23" s="101"/>
      <x:c r="G23" s="101"/>
      <x:c r="H23" s="101"/>
    </x:row>
    <x:row r="24" ht="7" customHeight="1">
      <x:c r="A24" s="101"/>
      <x:c r="B24" s="104"/>
      <x:c r="C24" s="104"/>
      <x:c r="D24" s="101"/>
      <x:c r="E24" s="101"/>
      <x:c r="F24" s="101"/>
      <x:c r="G24" s="101"/>
      <x:c r="H24" s="101"/>
    </x:row>
    <x:row r="25" ht="7" customHeight="1">
      <x:c r="A25" s="101"/>
      <x:c r="B25" s="104"/>
      <x:c r="C25" s="104"/>
      <x:c r="D25" s="101"/>
      <x:c r="E25" s="101"/>
      <x:c r="F25" s="101"/>
      <x:c r="G25" s="101"/>
      <x:c r="H25" s="101"/>
    </x:row>
    <x:row r="26" ht="7" customHeight="1">
      <x:c r="A26" s="102"/>
      <x:c r="B26" s="105"/>
      <x:c r="C26" s="105"/>
      <x:c r="D26" s="102"/>
      <x:c r="E26" s="102"/>
      <x:c r="F26" s="102"/>
      <x:c r="G26" s="102"/>
      <x:c r="H26" s="102"/>
    </x:row>
    <x:row r="27" ht="7" customHeight="1"/>
    <x:row r="28" ht="30" customHeight="1">
      <x:c r="A28" s="109" t="str">
        <x:v>当前主线：冻结一期范围与状态 → 复核最新版原型 → 确定试点与主数据 → 钉钉／宜搭 POC → 形成实施计划 → 生产开发与 UAT。</x:v>
      </x:c>
      <x:c r="B28" s="109" t="str">
        <x:v>当前主线：冻结一期范围与状态 → 复核最新版原型 → 确定试点与主数据 → 钉钉／宜搭 POC → 形成实施计划 → 生产开发与 UAT。</x:v>
      </x:c>
      <x:c r="C28" s="109" t="str">
        <x:v>当前主线：冻结一期范围与状态 → 复核最新版原型 → 确定试点与主数据 → 钉钉／宜搭 POC → 形成实施计划 → 生产开发与 UAT。</x:v>
      </x:c>
      <x:c r="D28" s="109" t="str">
        <x:v>当前主线：冻结一期范围与状态 → 复核最新版原型 → 确定试点与主数据 → 钉钉／宜搭 POC → 形成实施计划 → 生产开发与 UAT。</x:v>
      </x:c>
      <x:c r="E28" s="109" t="str">
        <x:v>当前主线：冻结一期范围与状态 → 复核最新版原型 → 确定试点与主数据 → 钉钉／宜搭 POC → 形成实施计划 → 生产开发与 UAT。</x:v>
      </x:c>
      <x:c r="F28" s="109" t="str">
        <x:v>当前主线：冻结一期范围与状态 → 复核最新版原型 → 确定试点与主数据 → 钉钉／宜搭 POC → 形成实施计划 → 生产开发与 UAT。</x:v>
      </x:c>
      <x:c r="G28" s="109" t="str">
        <x:v>当前主线：冻结一期范围与状态 → 复核最新版原型 → 确定试点与主数据 → 钉钉／宜搭 POC → 形成实施计划 → 生产开发与 UAT。</x:v>
      </x:c>
      <x:c r="H28" s="109" t="str">
        <x:v>当前主线：冻结一期范围与状态 → 复核最新版原型 → 确定试点与主数据 → 钉钉／宜搭 POC → 形成实施计划 → 生产开发与 UAT。</x:v>
      </x:c>
    </x:row>
    <x:row r="29" ht="30" customHeight="1">
      <x:c r="A29" s="111" t="str">
        <x:v>使用规则：整体进度由模块权重 × 完成度自动计算；日常推进只需维护“功能模块”“推进明细”和“验收清单”。建议排期须在负责人确认后基线化。</x:v>
      </x:c>
      <x:c r="B29" s="111" t="str">
        <x:v>使用规则：整体进度由模块权重 × 完成度自动计算；日常推进只需维护“功能模块”“推进明细”和“验收清单”。建议排期须在负责人确认后基线化。</x:v>
      </x:c>
      <x:c r="C29" s="111" t="str">
        <x:v>使用规则：整体进度由模块权重 × 完成度自动计算；日常推进只需维护“功能模块”“推进明细”和“验收清单”。建议排期须在负责人确认后基线化。</x:v>
      </x:c>
      <x:c r="D29" s="111" t="str">
        <x:v>使用规则：整体进度由模块权重 × 完成度自动计算；日常推进只需维护“功能模块”“推进明细”和“验收清单”。建议排期须在负责人确认后基线化。</x:v>
      </x:c>
      <x:c r="E29" s="111" t="str">
        <x:v>使用规则：整体进度由模块权重 × 完成度自动计算；日常推进只需维护“功能模块”“推进明细”和“验收清单”。建议排期须在负责人确认后基线化。</x:v>
      </x:c>
      <x:c r="F29" s="111" t="str">
        <x:v>使用规则：整体进度由模块权重 × 完成度自动计算；日常推进只需维护“功能模块”“推进明细”和“验收清单”。建议排期须在负责人确认后基线化。</x:v>
      </x:c>
      <x:c r="G29" s="111" t="str">
        <x:v>使用规则：整体进度由模块权重 × 完成度自动计算；日常推进只需维护“功能模块”“推进明细”和“验收清单”。建议排期须在负责人确认后基线化。</x:v>
      </x:c>
      <x:c r="H29" s="111" t="str">
        <x:v>使用规则：整体进度由模块权重 × 完成度自动计算；日常推进只需维护“功能模块”“推进明细”和“验收清单”。建议排期须在负责人确认后基线化。</x:v>
      </x:c>
    </x:row>
  </x:sheetData>
  <x:mergeCells>
    <x:mergeCell ref="A1:H1"/>
    <x:mergeCell ref="A2:H2"/>
    <x:mergeCell ref="A4:H4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28:H28"/>
    <x:mergeCell ref="A29:H29"/>
  </x:mergeCells>
  <x:conditionalFormatting sqref="C11:C26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{37C2C026-7885-D3F2-FC4B-2609F049E9EA}</x14:id>
        </x:ext>
      </x:extLst>
    </x:cfRule>
  </x:conditionalFormatting>
  <x:conditionalFormatting sqref="D11:D26">
    <x:cfRule type="containsText" dxfId="0" priority="2" operator="containsText" text="已完成"/>
    <x:cfRule type="containsText" dxfId="1" priority="3" operator="containsText" text="PASS"/>
    <x:cfRule type="containsText" dxfId="2" priority="4" operator="containsText" text="基本完成"/>
    <x:cfRule type="containsText" dxfId="3" priority="5" operator="containsText" text="部分完成"/>
    <x:cfRule type="containsText" dxfId="4" priority="6" operator="containsText" text="部分通过"/>
    <x:cfRule type="containsText" dxfId="5" priority="7" operator="containsText" text="修复中"/>
    <x:cfRule type="containsText" dxfId="6" priority="8" operator="containsText" text="待收口"/>
    <x:cfRule type="containsText" dxfId="7" priority="9" operator="containsText" text="待验收"/>
    <x:cfRule type="containsText" dxfId="8" priority="10" operator="containsText" text="待确认"/>
    <x:cfRule type="containsText" dxfId="9" priority="11" operator="containsText" text="待开发"/>
    <x:cfRule type="containsText" dxfId="10" priority="12" operator="containsText" text="BLOCKED"/>
    <x:cfRule type="containsText" dxfId="11" priority="13" operator="containsText" text="未开始"/>
    <x:cfRule type="containsText" dxfId="12" priority="14" operator="containsText" text="未完成"/>
  </x:conditionalFormatting>
  <x:pageMargins left="0.7" right="0.7" top="0.75" bottom="0.75" header="0.3" footer="0.3"/>
  <x:tableParts count="1">
    <x:tablePart xmlns:r="http://schemas.openxmlformats.org/officeDocument/2006/relationships" r:id="R66d741123f444ef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C2C026-7885-D3F2-FC4B-2609F049E9EA}">
            <x14:dataBar gradient="1">
              <x14:cfvo type="min"/>
              <x14:cfvo type="max"/>
              <x14:fillColor rgb="FF4F46E5"/>
            </x14:dataBar>
          </x14:cfRule>
          <xm:sqref>C11:C26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2" hidden="0" customWidth="1"/>
    <x:col min="4" max="4" width="20" hidden="0" customWidth="1"/>
    <x:col min="5" max="5" width="38" hidden="0" customWidth="1"/>
    <x:col min="6" max="6" width="46" hidden="0" customWidth="1"/>
    <x:col min="7" max="7" width="13" hidden="0" customWidth="1"/>
    <x:col min="8" max="8" width="10" hidden="0" customWidth="1"/>
    <x:col min="9" max="9" width="14" hidden="0" customWidth="1"/>
    <x:col min="10" max="10" width="42" hidden="0" customWidth="1"/>
    <x:col min="11" max="11" width="22" hidden="0" customWidth="1"/>
  </x:cols>
  <x:sheetData>
    <x:row r="1" ht="34" customHeight="1">
      <x:c r="A1" s="3" t="str">
        <x:v>需求明细｜按模块与功能拆分</x:v>
      </x:c>
      <x:c r="B1" s="3" t="str">
        <x:v>需求明细｜按模块与功能拆分</x:v>
      </x:c>
      <x:c r="C1" s="3" t="str">
        <x:v>需求明细｜按模块与功能拆分</x:v>
      </x:c>
      <x:c r="D1" s="3" t="str">
        <x:v>需求明细｜按模块与功能拆分</x:v>
      </x:c>
      <x:c r="E1" s="3" t="str">
        <x:v>需求明细｜按模块与功能拆分</x:v>
      </x:c>
      <x:c r="F1" s="3" t="str">
        <x:v>需求明细｜按模块与功能拆分</x:v>
      </x:c>
      <x:c r="G1" s="3" t="str">
        <x:v>需求明细｜按模块与功能拆分</x:v>
      </x:c>
      <x:c r="H1" s="3" t="str">
        <x:v>需求明细｜按模块与功能拆分</x:v>
      </x:c>
      <x:c r="I1" s="3" t="str">
        <x:v>需求明细｜按模块与功能拆分</x:v>
      </x:c>
      <x:c r="J1" s="3" t="str">
        <x:v>需求明细｜按模块与功能拆分</x:v>
      </x:c>
      <x:c r="K1" s="3" t="str">
        <x:v>需求明细｜按模块与功能拆分</x:v>
      </x:c>
    </x:row>
    <x:row r="2" ht="25" customHeight="1">
      <x:c r="A2" s="113" t="str">
        <x:v>两级结构：功能模块 → 具体功能。当前状态基于 2026-08-31 仓库、PRD、原型与 GitHub 证据；未确认内容明确标记，原型能力不等同生产交付。</x:v>
      </x:c>
      <x:c r="B2" s="113" t="str">
        <x:v>两级结构：功能模块 → 具体功能。当前状态基于 2026-08-31 仓库、PRD、原型与 GitHub 证据；未确认内容明确标记，原型能力不等同生产交付。</x:v>
      </x:c>
      <x:c r="C2" s="113" t="str">
        <x:v>两级结构：功能模块 → 具体功能。当前状态基于 2026-08-31 仓库、PRD、原型与 GitHub 证据；未确认内容明确标记，原型能力不等同生产交付。</x:v>
      </x:c>
      <x:c r="D2" s="113" t="str">
        <x:v>两级结构：功能模块 → 具体功能。当前状态基于 2026-08-31 仓库、PRD、原型与 GitHub 证据；未确认内容明确标记，原型能力不等同生产交付。</x:v>
      </x:c>
      <x:c r="E2" s="113" t="str">
        <x:v>两级结构：功能模块 → 具体功能。当前状态基于 2026-08-31 仓库、PRD、原型与 GitHub 证据；未确认内容明确标记，原型能力不等同生产交付。</x:v>
      </x:c>
      <x:c r="F2" s="113" t="str">
        <x:v>两级结构：功能模块 → 具体功能。当前状态基于 2026-08-31 仓库、PRD、原型与 GitHub 证据；未确认内容明确标记，原型能力不等同生产交付。</x:v>
      </x:c>
      <x:c r="G2" s="113" t="str">
        <x:v>两级结构：功能模块 → 具体功能。当前状态基于 2026-08-31 仓库、PRD、原型与 GitHub 证据；未确认内容明确标记，原型能力不等同生产交付。</x:v>
      </x:c>
      <x:c r="H2" s="113" t="str">
        <x:v>两级结构：功能模块 → 具体功能。当前状态基于 2026-08-31 仓库、PRD、原型与 GitHub 证据；未确认内容明确标记，原型能力不等同生产交付。</x:v>
      </x:c>
      <x:c r="I2" s="113" t="str">
        <x:v>两级结构：功能模块 → 具体功能。当前状态基于 2026-08-31 仓库、PRD、原型与 GitHub 证据；未确认内容明确标记，原型能力不等同生产交付。</x:v>
      </x:c>
      <x:c r="J2" s="113" t="str">
        <x:v>两级结构：功能模块 → 具体功能。当前状态基于 2026-08-31 仓库、PRD、原型与 GitHub 证据；未确认内容明确标记，原型能力不等同生产交付。</x:v>
      </x:c>
      <x:c r="K2" s="113" t="str">
        <x:v>两级结构：功能模块 → 具体功能。当前状态基于 2026-08-31 仓库、PRD、原型与 GitHub 证据；未确认内容明确标记，原型能力不等同生产交付。</x:v>
      </x:c>
    </x:row>
    <x:row r="3" ht="8" customHeight="1"/>
    <x:row r="4" ht="26" customHeight="1">
      <x:c r="A4" s="90" t="str">
        <x:v>模块ID</x:v>
      </x:c>
      <x:c r="B4" s="91" t="str">
        <x:v>功能模块</x:v>
      </x:c>
      <x:c r="C4" s="91" t="str">
        <x:v>功能ID</x:v>
      </x:c>
      <x:c r="D4" s="91" t="str">
        <x:v>功能名称</x:v>
      </x:c>
      <x:c r="E4" s="91" t="str">
        <x:v>功能需求</x:v>
      </x:c>
      <x:c r="F4" s="91" t="str">
        <x:v>业务规则／边界</x:v>
      </x:c>
      <x:c r="G4" s="91" t="str">
        <x:v>范围</x:v>
      </x:c>
      <x:c r="H4" s="91" t="str">
        <x:v>优先级</x:v>
      </x:c>
      <x:c r="I4" s="91" t="str">
        <x:v>当前状态</x:v>
      </x:c>
      <x:c r="J4" s="91" t="str">
        <x:v>验收标准</x:v>
      </x:c>
      <x:c r="K4" s="92" t="str">
        <x:v>关联任务／验收</x:v>
      </x:c>
    </x:row>
    <x:row r="5" ht="34" customHeight="1">
      <x:c r="A5" s="114" t="str">
        <x:v>M01</x:v>
      </x:c>
      <x:c r="B5" s="142" t="str">
        <x:v>需求与范围治理</x:v>
      </x:c>
      <x:c r="C5" s="114" t="str">
        <x:v>F01-01</x:v>
      </x:c>
      <x:c r="D5" s="114" t="str">
        <x:v>材料与需求归档</x:v>
      </x:c>
      <x:c r="E5" s="114" t="str">
        <x:v>整理会议纪要、纸质表单、流程材料及来源索引</x:v>
      </x:c>
      <x:c r="F5" s="114" t="str">
        <x:v>历史材料仅作证据，不自动等同客户确认</x:v>
      </x:c>
      <x:c r="G5" s="114" t="str">
        <x:v>本次收口</x:v>
      </x:c>
      <x:c r="H5" s="114" t="str">
        <x:v>P0</x:v>
      </x:c>
      <x:c r="I5" s="114" t="str">
        <x:v>已完成</x:v>
      </x:c>
      <x:c r="J5" s="114" t="str">
        <x:v>材料索引可追溯到原始来源</x:v>
      </x:c>
      <x:c r="K5" s="114" t="str">
        <x:v>TASK-001／A01</x:v>
      </x:c>
    </x:row>
    <x:row r="6" ht="34" customHeight="1">
      <x:c r="A6" s="115" t="str">
        <x:v>M01</x:v>
      </x:c>
      <x:c r="B6" s="142" t="str">
        <x:v>需求与范围治理</x:v>
      </x:c>
      <x:c r="C6" s="115" t="str">
        <x:v>F01-02</x:v>
      </x:c>
      <x:c r="D6" s="115" t="str">
        <x:v>一期 MVP PRD</x:v>
      </x:c>
      <x:c r="E6" s="115" t="str">
        <x:v>收敛目标、角色、流程、字段、验收与边界</x:v>
      </x:c>
      <x:c r="F6" s="115" t="str">
        <x:v>只有客户批准版本可进入生产计划</x:v>
      </x:c>
      <x:c r="G6" s="115" t="str">
        <x:v>本次收口</x:v>
      </x:c>
      <x:c r="H6" s="115" t="str">
        <x:v>P0</x:v>
      </x:c>
      <x:c r="I6" s="115" t="str">
        <x:v>基本完成</x:v>
      </x:c>
      <x:c r="J6" s="115" t="str">
        <x:v>PRD 内容完整且客户书面批准</x:v>
      </x:c>
      <x:c r="K6" s="115" t="str">
        <x:v>TASK-002／A01</x:v>
      </x:c>
    </x:row>
    <x:row r="7" ht="34" customHeight="1">
      <x:c r="A7" s="116" t="str">
        <x:v>M01</x:v>
      </x:c>
      <x:c r="B7" s="142" t="str">
        <x:v>需求与范围治理</x:v>
      </x:c>
      <x:c r="C7" s="116" t="str">
        <x:v>F01-03</x:v>
      </x:c>
      <x:c r="D7" s="116" t="str">
        <x:v>范围与状态冻结</x:v>
      </x:c>
      <x:c r="E7" s="116" t="str">
        <x:v>确认 P0/P1/P2 及 7 状态／10 状态模型</x:v>
      </x:c>
      <x:c r="F7" s="116" t="str">
        <x:v>报价采购财务不得因原型存在而自动纳入一期</x:v>
      </x:c>
      <x:c r="G7" s="116" t="str">
        <x:v>当前主线</x:v>
      </x:c>
      <x:c r="H7" s="116" t="str">
        <x:v>P0</x:v>
      </x:c>
      <x:c r="I7" s="116" t="str">
        <x:v>待确认</x:v>
      </x:c>
      <x:c r="J7" s="116" t="str">
        <x:v>范围、状态及页面清单形成批准基线</x:v>
      </x:c>
      <x:c r="K7" s="116" t="str">
        <x:v>TASK-011～013／A02</x:v>
      </x:c>
    </x:row>
    <x:row r="8" ht="34" customHeight="1">
      <x:c r="A8" s="115" t="str">
        <x:v>M01</x:v>
      </x:c>
      <x:c r="B8" s="142" t="str">
        <x:v>需求与范围治理</x:v>
      </x:c>
      <x:c r="C8" s="115" t="str">
        <x:v>F01-04</x:v>
      </x:c>
      <x:c r="D8" s="115" t="str">
        <x:v>实施包补全</x:v>
      </x:c>
      <x:c r="E8" s="115" t="str">
        <x:v>形成 plan.md、tasks.md 与可重复验收记录</x:v>
      </x:c>
      <x:c r="F8" s="115" t="str">
        <x:v>必须基于已批准 PRD，不新增未确认内容</x:v>
      </x:c>
      <x:c r="G8" s="115" t="str">
        <x:v>下一阶段</x:v>
      </x:c>
      <x:c r="H8" s="115" t="str">
        <x:v>P0</x:v>
      </x:c>
      <x:c r="I8" s="115" t="str">
        <x:v>待开始</x:v>
      </x:c>
      <x:c r="J8" s="115" t="str">
        <x:v>Feature 包完整且任务可追溯</x:v>
      </x:c>
      <x:c r="K8" s="115" t="str">
        <x:v>TASK-019～020／A01</x:v>
      </x:c>
    </x:row>
    <x:row r="9" ht="34" customHeight="1">
      <x:c r="A9" s="116" t="str">
        <x:v>M02</x:v>
      </x:c>
      <x:c r="B9" s="144" t="str">
        <x:v>交互原型与公网发布</x:v>
      </x:c>
      <x:c r="C9" s="116" t="str">
        <x:v>F02-01</x:v>
      </x:c>
      <x:c r="D9" s="116" t="str">
        <x:v>多角色 PC 原型</x:v>
      </x:c>
      <x:c r="E9" s="116" t="str">
        <x:v>展示 CS、CR、Leader、报价、采购、会计、管理层视图</x:v>
      </x:c>
      <x:c r="F9" s="116" t="str">
        <x:v>角色与页面仅用于评审，不代表真实权限已实现</x:v>
      </x:c>
      <x:c r="G9" s="116" t="str">
        <x:v>本次收口</x:v>
      </x:c>
      <x:c r="H9" s="116" t="str">
        <x:v>P0</x:v>
      </x:c>
      <x:c r="I9" s="116" t="str">
        <x:v>已完成</x:v>
      </x:c>
      <x:c r="J9" s="116" t="str">
        <x:v>主要角色与页面可切换演示</x:v>
      </x:c>
      <x:c r="K9" s="116" t="str">
        <x:v>TASK-005～007／A03</x:v>
      </x:c>
    </x:row>
    <x:row r="10" ht="34" customHeight="1">
      <x:c r="A10" s="115" t="str">
        <x:v>M02</x:v>
      </x:c>
      <x:c r="B10" s="144" t="str">
        <x:v>交互原型与公网发布</x:v>
      </x:c>
      <x:c r="C10" s="115" t="str">
        <x:v>F02-02</x:v>
      </x:c>
      <x:c r="D10" s="115" t="str">
        <x:v>移动端工作台</x:v>
      </x:c>
      <x:c r="E10" s="115" t="str">
        <x:v>展示师傅执行和主管分派的移动路径</x:v>
      </x:c>
      <x:c r="F10" s="115" t="str">
        <x:v>真实终端、网络和权限需在 POC 验证</x:v>
      </x:c>
      <x:c r="G10" s="115" t="str">
        <x:v>本次收口</x:v>
      </x:c>
      <x:c r="H10" s="115" t="str">
        <x:v>P0</x:v>
      </x:c>
      <x:c r="I10" s="115" t="str">
        <x:v>已完成</x:v>
      </x:c>
      <x:c r="J10" s="115" t="str">
        <x:v>移动端核心页面可演示</x:v>
      </x:c>
      <x:c r="K10" s="115" t="str">
        <x:v>TASK-006／A03</x:v>
      </x:c>
    </x:row>
    <x:row r="11" ht="34" customHeight="1">
      <x:c r="A11" s="116" t="str">
        <x:v>M02</x:v>
      </x:c>
      <x:c r="B11" s="144" t="str">
        <x:v>交互原型与公网发布</x:v>
      </x:c>
      <x:c r="C11" s="116" t="str">
        <x:v>F02-03</x:v>
      </x:c>
      <x:c r="D11" s="116" t="str">
        <x:v>GitHub Pages 发布</x:v>
      </x:c>
      <x:c r="E11" s="116" t="str">
        <x:v>自动发布 main 分支中的最新 ui-prototype</x:v>
      </x:c>
      <x:c r="F11" s="116" t="str">
        <x:v>公网发布只证明静态页面可访问</x:v>
      </x:c>
      <x:c r="G11" s="116" t="str">
        <x:v>本次收口</x:v>
      </x:c>
      <x:c r="H11" s="116" t="str">
        <x:v>P0</x:v>
      </x:c>
      <x:c r="I11" s="116" t="str">
        <x:v>已完成</x:v>
      </x:c>
      <x:c r="J11" s="116" t="str">
        <x:v>公网原型 HTTP 200 且对应提交 c2d9c4b</x:v>
      </x:c>
      <x:c r="K11" s="116" t="str">
        <x:v>TASK-006／A04</x:v>
      </x:c>
    </x:row>
    <x:row r="12" ht="34" customHeight="1">
      <x:c r="A12" s="115" t="str">
        <x:v>M02</x:v>
      </x:c>
      <x:c r="B12" s="144" t="str">
        <x:v>交互原型与公网发布</x:v>
      </x:c>
      <x:c r="C12" s="115" t="str">
        <x:v>F02-04</x:v>
      </x:c>
      <x:c r="D12" s="115" t="str">
        <x:v>原型与 PRD 复核</x:v>
      </x:c>
      <x:c r="E12" s="115" t="str">
        <x:v>逐页核对已确认范围、状态、角色和按钮</x:v>
      </x:c>
      <x:c r="F12" s="115" t="str">
        <x:v>超范围功能标为变更池或移出一期评审路径</x:v>
      </x:c>
      <x:c r="G12" s="115" t="str">
        <x:v>当前主线</x:v>
      </x:c>
      <x:c r="H12" s="115" t="str">
        <x:v>P0</x:v>
      </x:c>
      <x:c r="I12" s="115" t="str">
        <x:v>进行中</x:v>
      </x:c>
      <x:c r="J12" s="115" t="str">
        <x:v>评审记录覆盖角色、主流程、移动端和未验证项</x:v>
      </x:c>
      <x:c r="K12" s="115" t="str">
        <x:v>TASK-010／A03</x:v>
      </x:c>
    </x:row>
    <x:row r="13" ht="34" customHeight="1">
      <x:c r="A13" s="116" t="str">
        <x:v>M03</x:v>
      </x:c>
      <x:c r="B13" s="146" t="str">
        <x:v>工单受理与闭环</x:v>
      </x:c>
      <x:c r="C13" s="116" t="str">
        <x:v>F03-01</x:v>
      </x:c>
      <x:c r="D13" s="116" t="str">
        <x:v>CS／CR 建单</x:v>
      </x:c>
      <x:c r="E13" s="116" t="str">
        <x:v>记录客户、联系人、地址、问题、来源、附件和 PM/CM</x:v>
      </x:c>
      <x:c r="F13" s="116" t="str">
        <x:v>即时解决与现场处理需分流</x:v>
      </x:c>
      <x:c r="G13" s="116" t="str">
        <x:v>一期 P0</x:v>
      </x:c>
      <x:c r="H13" s="116" t="str">
        <x:v>P0</x:v>
      </x:c>
      <x:c r="I13" s="116" t="str">
        <x:v>原型完成</x:v>
      </x:c>
      <x:c r="J13" s="116" t="str">
        <x:v>普通工单 3 分钟内完成并进入待分派</x:v>
      </x:c>
      <x:c r="K13" s="116" t="str">
        <x:v>TASK-021／A05</x:v>
      </x:c>
    </x:row>
    <x:row r="14" ht="34" customHeight="1">
      <x:c r="A14" s="115" t="str">
        <x:v>M03</x:v>
      </x:c>
      <x:c r="B14" s="146" t="str">
        <x:v>工单受理与闭环</x:v>
      </x:c>
      <x:c r="C14" s="115" t="str">
        <x:v>F03-02</x:v>
      </x:c>
      <x:c r="D14" s="115" t="str">
        <x:v>工单与项目编号</x:v>
      </x:c>
      <x:c r="E14" s="115" t="str">
        <x:v>生成唯一工单号并独立关联项目编号</x:v>
      </x:c>
      <x:c r="F14" s="115" t="str">
        <x:v>政府前缀未确认时不得推测生成</x:v>
      </x:c>
      <x:c r="G14" s="115" t="str">
        <x:v>一期 P0</x:v>
      </x:c>
      <x:c r="H14" s="115" t="str">
        <x:v>P0</x:v>
      </x:c>
      <x:c r="I14" s="115" t="str">
        <x:v>待确认</x:v>
      </x:c>
      <x:c r="J14" s="115" t="str">
        <x:v>普通／政府编号样例唯一且可查询</x:v>
      </x:c>
      <x:c r="K14" s="115" t="str">
        <x:v>TASK-012／A05</x:v>
      </x:c>
    </x:row>
    <x:row r="15" ht="34" customHeight="1">
      <x:c r="A15" s="116" t="str">
        <x:v>M03</x:v>
      </x:c>
      <x:c r="B15" s="146" t="str">
        <x:v>工单受理与闭环</x:v>
      </x:c>
      <x:c r="C15" s="116" t="str">
        <x:v>F03-03</x:v>
      </x:c>
      <x:c r="D15" s="116" t="str">
        <x:v>列表、详情与筛选</x:v>
      </x:c>
      <x:c r="E15" s="116" t="str">
        <x:v>按状态、负责人、区域、客户、项目号和关键词查询</x:v>
      </x:c>
      <x:c r="F15" s="116" t="str">
        <x:v>结果必须受数据权限约束</x:v>
      </x:c>
      <x:c r="G15" s="116" t="str">
        <x:v>一期 P0</x:v>
      </x:c>
      <x:c r="H15" s="116" t="str">
        <x:v>P0</x:v>
      </x:c>
      <x:c r="I15" s="116" t="str">
        <x:v>原型完成</x:v>
      </x:c>
      <x:c r="J15" s="116" t="str">
        <x:v>组合筛选定位目标工单</x:v>
      </x:c>
      <x:c r="K15" s="116" t="str">
        <x:v>TASK-021／A05</x:v>
      </x:c>
    </x:row>
    <x:row r="16" ht="34" customHeight="1">
      <x:c r="A16" s="115" t="str">
        <x:v>M03</x:v>
      </x:c>
      <x:c r="B16" s="146" t="str">
        <x:v>工单受理与闭环</x:v>
      </x:c>
      <x:c r="C16" s="115" t="str">
        <x:v>F03-04</x:v>
      </x:c>
      <x:c r="D16" s="115" t="str">
        <x:v>状态流转与时间线</x:v>
      </x:c>
      <x:c r="E16" s="115" t="str">
        <x:v>记录创建、派单、接单、拒单、到场、上传、完成等动作</x:v>
      </x:c>
      <x:c r="F16" s="115" t="str">
        <x:v>新动作不得覆盖历史记录</x:v>
      </x:c>
      <x:c r="G16" s="115" t="str">
        <x:v>一期 P0</x:v>
      </x:c>
      <x:c r="H16" s="115" t="str">
        <x:v>P0</x:v>
      </x:c>
      <x:c r="I16" s="115" t="str">
        <x:v>原型完成</x:v>
      </x:c>
      <x:c r="J16" s="115" t="str">
        <x:v>状态、责任人、原因和时间均可追溯</x:v>
      </x:c>
      <x:c r="K16" s="115" t="str">
        <x:v>TASK-021／A09</x:v>
      </x:c>
    </x:row>
    <x:row r="17" ht="34" customHeight="1">
      <x:c r="A17" s="116" t="str">
        <x:v>M03</x:v>
      </x:c>
      <x:c r="B17" s="146" t="str">
        <x:v>工单受理与闭环</x:v>
      </x:c>
      <x:c r="C17" s="116" t="str">
        <x:v>F03-05</x:v>
      </x:c>
      <x:c r="D17" s="116" t="str">
        <x:v>服务报告与完工单</x:v>
      </x:c>
      <x:c r="E17" s="116" t="str">
        <x:v>关联 SR／CP 编号、图片、签名和完工信息</x:v>
      </x:c>
      <x:c r="F17" s="116" t="str">
        <x:v>附件规则和归档策略待 POC</x:v>
      </x:c>
      <x:c r="G17" s="116" t="str">
        <x:v>一期 P0</x:v>
      </x:c>
      <x:c r="H17" s="116" t="str">
        <x:v>P0</x:v>
      </x:c>
      <x:c r="I17" s="116" t="str">
        <x:v>原型完成</x:v>
      </x:c>
      <x:c r="J17" s="116" t="str">
        <x:v>报告与工单关联一致且可查询</x:v>
      </x:c>
      <x:c r="K17" s="116" t="str">
        <x:v>TASK-021／A09</x:v>
      </x:c>
    </x:row>
    <x:row r="18" ht="34" customHeight="1">
      <x:c r="A18" s="115" t="str">
        <x:v>M04</x:v>
      </x:c>
      <x:c r="B18" s="148" t="str">
        <x:v>派单、角色与数据权限</x:v>
      </x:c>
      <x:c r="C18" s="115" t="str">
        <x:v>F04-01</x:v>
      </x:c>
      <x:c r="D18" s="115" t="str">
        <x:v>区域与 Leader 推荐</x:v>
      </x:c>
      <x:c r="E18" s="115" t="str">
        <x:v>按客户地址／区域码推荐团队和 Leader</x:v>
      </x:c>
      <x:c r="F18" s="115" t="str">
        <x:v>映射缺失时只能人工分派</x:v>
      </x:c>
      <x:c r="G18" s="115" t="str">
        <x:v>一期 P0</x:v>
      </x:c>
      <x:c r="H18" s="115" t="str">
        <x:v>P0</x:v>
      </x:c>
      <x:c r="I18" s="115" t="str">
        <x:v>待确认</x:v>
      </x:c>
      <x:c r="J18" s="115" t="str">
        <x:v>缺映射不会产生错误自动指派</x:v>
      </x:c>
      <x:c r="K18" s="115" t="str">
        <x:v>TASK-015／A06</x:v>
      </x:c>
    </x:row>
    <x:row r="19" ht="34" customHeight="1">
      <x:c r="A19" s="116" t="str">
        <x:v>M04</x:v>
      </x:c>
      <x:c r="B19" s="148" t="str">
        <x:v>派单、角色与数据权限</x:v>
      </x:c>
      <x:c r="C19" s="116" t="str">
        <x:v>F04-02</x:v>
      </x:c>
      <x:c r="D19" s="116" t="str">
        <x:v>派单／拒单／改派</x:v>
      </x:c>
      <x:c r="E19" s="116" t="str">
        <x:v>Leader 派单，师傅可接单或填原因拒单</x:v>
      </x:c>
      <x:c r="F19" s="116" t="str">
        <x:v>拒单、改派、退回必须留原因</x:v>
      </x:c>
      <x:c r="G19" s="116" t="str">
        <x:v>一期 P0</x:v>
      </x:c>
      <x:c r="H19" s="116" t="str">
        <x:v>P0</x:v>
      </x:c>
      <x:c r="I19" s="116" t="str">
        <x:v>原型完成</x:v>
      </x:c>
      <x:c r="J19" s="116" t="str">
        <x:v>责任人和每次动作可追溯</x:v>
      </x:c>
      <x:c r="K19" s="116" t="str">
        <x:v>TASK-021／A06</x:v>
      </x:c>
    </x:row>
    <x:row r="20" ht="34" customHeight="1">
      <x:c r="A20" s="115" t="str">
        <x:v>M04</x:v>
      </x:c>
      <x:c r="B20" s="148" t="str">
        <x:v>派单、角色与数据权限</x:v>
      </x:c>
      <x:c r="C20" s="115" t="str">
        <x:v>F04-03</x:v>
      </x:c>
      <x:c r="D20" s="115" t="str">
        <x:v>角色页面权限</x:v>
      </x:c>
      <x:c r="E20" s="115" t="str">
        <x:v>按 CS、CR、Leader、师傅等显示可用入口</x:v>
      </x:c>
      <x:c r="F20" s="115" t="str">
        <x:v>前端隐藏不等于服务端权限</x:v>
      </x:c>
      <x:c r="G20" s="115" t="str">
        <x:v>一期 P0</x:v>
      </x:c>
      <x:c r="H20" s="115" t="str">
        <x:v>P0</x:v>
      </x:c>
      <x:c r="I20" s="115" t="str">
        <x:v>原型完成</x:v>
      </x:c>
      <x:c r="J20" s="115" t="str">
        <x:v>页面与操作符合批准权限矩阵</x:v>
      </x:c>
      <x:c r="K20" s="115" t="str">
        <x:v>TASK-017／A08</x:v>
      </x:c>
    </x:row>
    <x:row r="21" ht="34" customHeight="1">
      <x:c r="A21" s="116" t="str">
        <x:v>M04</x:v>
      </x:c>
      <x:c r="B21" s="148" t="str">
        <x:v>派单、角色与数据权限</x:v>
      </x:c>
      <x:c r="C21" s="116" t="str">
        <x:v>F04-04</x:v>
      </x:c>
      <x:c r="D21" s="116" t="str">
        <x:v>真实数据范围</x:v>
      </x:c>
      <x:c r="E21" s="116" t="str">
        <x:v>按本人、团队、区域或全公司限制数据</x:v>
      </x:c>
      <x:c r="F21" s="116" t="str">
        <x:v>需用真实账号验证越权</x:v>
      </x:c>
      <x:c r="G21" s="116" t="str">
        <x:v>POC</x:v>
      </x:c>
      <x:c r="H21" s="116" t="str">
        <x:v>P0</x:v>
      </x:c>
      <x:c r="I21" s="116" t="str">
        <x:v>未开始</x:v>
      </x:c>
      <x:c r="J21" s="116" t="str">
        <x:v>师傅不能访问未授权工单</x:v>
      </x:c>
      <x:c r="K21" s="116" t="str">
        <x:v>TASK-017／A08</x:v>
      </x:c>
    </x:row>
    <x:row r="22" ht="34" customHeight="1">
      <x:c r="A22" s="115" t="str">
        <x:v>M05</x:v>
      </x:c>
      <x:c r="B22" s="150" t="str">
        <x:v>师傅移动端与现场证据</x:v>
      </x:c>
      <x:c r="C22" s="115" t="str">
        <x:v>F05-01</x:v>
      </x:c>
      <x:c r="D22" s="115" t="str">
        <x:v>我的待办</x:v>
      </x:c>
      <x:c r="E22" s="115" t="str">
        <x:v>展示待接单、处理中和退回工单</x:v>
      </x:c>
      <x:c r="F22" s="115" t="str">
        <x:v>只显示本人授权任务</x:v>
      </x:c>
      <x:c r="G22" s="115" t="str">
        <x:v>一期 P0</x:v>
      </x:c>
      <x:c r="H22" s="115" t="str">
        <x:v>P0</x:v>
      </x:c>
      <x:c r="I22" s="115" t="str">
        <x:v>原型完成</x:v>
      </x:c>
      <x:c r="J22" s="115" t="str">
        <x:v>师傅能在 2 分钟内接单或拒单</x:v>
      </x:c>
      <x:c r="K22" s="115" t="str">
        <x:v>TASK-021／A07</x:v>
      </x:c>
    </x:row>
    <x:row r="23" ht="34" customHeight="1">
      <x:c r="A23" s="116" t="str">
        <x:v>M05</x:v>
      </x:c>
      <x:c r="B23" s="150" t="str">
        <x:v>师傅移动端与现场证据</x:v>
      </x:c>
      <x:c r="C23" s="116" t="str">
        <x:v>F05-02</x:v>
      </x:c>
      <x:c r="D23" s="116" t="str">
        <x:v>到场与处理结果</x:v>
      </x:c>
      <x:c r="E23" s="116" t="str">
        <x:v>记录到场时间、处理内容和后续需要</x:v>
      </x:c>
      <x:c r="F23" s="116" t="str">
        <x:v>不采集实时轨迹</x:v>
      </x:c>
      <x:c r="G23" s="116" t="str">
        <x:v>一期 P0</x:v>
      </x:c>
      <x:c r="H23" s="116" t="str">
        <x:v>P0</x:v>
      </x:c>
      <x:c r="I23" s="116" t="str">
        <x:v>原型完成</x:v>
      </x:c>
      <x:c r="J23" s="116" t="str">
        <x:v>到场与处理记录写入时间线</x:v>
      </x:c>
      <x:c r="K23" s="116" t="str">
        <x:v>TASK-021／A07</x:v>
      </x:c>
    </x:row>
    <x:row r="24" ht="34" customHeight="1">
      <x:c r="A24" s="115" t="str">
        <x:v>M05</x:v>
      </x:c>
      <x:c r="B24" s="150" t="str">
        <x:v>师傅移动端与现场证据</x:v>
      </x:c>
      <x:c r="C24" s="115" t="str">
        <x:v>F05-03</x:v>
      </x:c>
      <x:c r="D24" s="115" t="str">
        <x:v>照片与豁免</x:v>
      </x:c>
      <x:c r="E24" s="115" t="str">
        <x:v>可拍照工单上传证据；不可拍照填写原因和替代说明</x:v>
      </x:c>
      <x:c r="F24" s="115" t="str">
        <x:v>不可拍照清单和授权豁免规则待确认</x:v>
      </x:c>
      <x:c r="G24" s="115" t="str">
        <x:v>一期 P0</x:v>
      </x:c>
      <x:c r="H24" s="115" t="str">
        <x:v>P0</x:v>
      </x:c>
      <x:c r="I24" s="115" t="str">
        <x:v>待确认</x:v>
      </x:c>
      <x:c r="J24" s="115" t="str">
        <x:v>可拍照／不可拍照各一单通过</x:v>
      </x:c>
      <x:c r="K24" s="115" t="str">
        <x:v>TASK-012／A07</x:v>
      </x:c>
    </x:row>
    <x:row r="25" ht="34" customHeight="1">
      <x:c r="A25" s="116" t="str">
        <x:v>M05</x:v>
      </x:c>
      <x:c r="B25" s="150" t="str">
        <x:v>师傅移动端与现场证据</x:v>
      </x:c>
      <x:c r="C25" s="116" t="str">
        <x:v>F05-04</x:v>
      </x:c>
      <x:c r="D25" s="116" t="str">
        <x:v>Leader 完工确认</x:v>
      </x:c>
      <x:c r="E25" s="116" t="str">
        <x:v>按配置直接完成或进入待主管确认</x:v>
      </x:c>
      <x:c r="F25" s="116" t="str">
        <x:v>是否强制确认由客户决定</x:v>
      </x:c>
      <x:c r="G25" s="116" t="str">
        <x:v>一期 P0</x:v>
      </x:c>
      <x:c r="H25" s="116" t="str">
        <x:v>P0</x:v>
      </x:c>
      <x:c r="I25" s="116" t="str">
        <x:v>待确认</x:v>
      </x:c>
      <x:c r="J25" s="116" t="str">
        <x:v>两种配置均按状态矩阵正确流转</x:v>
      </x:c>
      <x:c r="K25" s="116" t="str">
        <x:v>TASK-012／A07</x:v>
      </x:c>
    </x:row>
    <x:row r="26" ht="34" customHeight="1">
      <x:c r="A26" s="115" t="str">
        <x:v>M05</x:v>
      </x:c>
      <x:c r="B26" s="150" t="str">
        <x:v>师傅移动端与现场证据</x:v>
      </x:c>
      <x:c r="C26" s="115" t="str">
        <x:v>F05-05</x:v>
      </x:c>
      <x:c r="D26" s="115" t="str">
        <x:v>真实手机与容量验证</x:v>
      </x:c>
      <x:c r="E26" s="115" t="str">
        <x:v>验证拍照、上传、弱网、存储和归档</x:v>
      </x:c>
      <x:c r="F26" s="115" t="str">
        <x:v>容量数字不得在 POC 前作为承诺</x:v>
      </x:c>
      <x:c r="G26" s="115" t="str">
        <x:v>POC</x:v>
      </x:c>
      <x:c r="H26" s="115" t="str">
        <x:v>P0</x:v>
      </x:c>
      <x:c r="I26" s="115" t="str">
        <x:v>未开始</x:v>
      </x:c>
      <x:c r="J26" s="115" t="str">
        <x:v>形成成功率、容量与归档策略结论</x:v>
      </x:c>
      <x:c r="K26" s="115" t="str">
        <x:v>TASK-018／A10</x:v>
      </x:c>
    </x:row>
    <x:row r="27" ht="34" customHeight="1">
      <x:c r="A27" s="116" t="str">
        <x:v>M06</x:v>
      </x:c>
      <x:c r="B27" s="152" t="str">
        <x:v>报价采购财务扩展原型</x:v>
      </x:c>
      <x:c r="C27" s="116" t="str">
        <x:v>F06-01</x:v>
      </x:c>
      <x:c r="D27" s="116" t="str">
        <x:v>报价／标书演示</x:v>
      </x:c>
      <x:c r="E27" s="116" t="str">
        <x:v>展示报价版本、状态、标书和中标记录</x:v>
      </x:c>
      <x:c r="F27" s="116" t="str">
        <x:v>一期 PRD 仅预留报价字段</x:v>
      </x:c>
      <x:c r="G27" s="116" t="str">
        <x:v>变更池</x:v>
      </x:c>
      <x:c r="H27" s="116" t="str">
        <x:v>P2</x:v>
      </x:c>
      <x:c r="I27" s="116" t="str">
        <x:v>原型完成</x:v>
      </x:c>
      <x:c r="J27" s="116" t="str">
        <x:v>客户确认纳入或移入二期</x:v>
      </x:c>
      <x:c r="K27" s="116" t="str">
        <x:v>TASK-013／A11</x:v>
      </x:c>
    </x:row>
    <x:row r="28" ht="34" customHeight="1">
      <x:c r="A28" s="115" t="str">
        <x:v>M06</x:v>
      </x:c>
      <x:c r="B28" s="152" t="str">
        <x:v>报价采购财务扩展原型</x:v>
      </x:c>
      <x:c r="C28" s="115" t="str">
        <x:v>F06-02</x:v>
      </x:c>
      <x:c r="D28" s="115" t="str">
        <x:v>采购／备货演示</x:v>
      </x:c>
      <x:c r="E28" s="115" t="str">
        <x:v>展示采购单、供应商、到货、验收和完工纸</x:v>
      </x:c>
      <x:c r="F28" s="115" t="str">
        <x:v>一期不得扩展为库存系统</x:v>
      </x:c>
      <x:c r="G28" s="115" t="str">
        <x:v>变更池</x:v>
      </x:c>
      <x:c r="H28" s="115" t="str">
        <x:v>P2</x:v>
      </x:c>
      <x:c r="I28" s="115" t="str">
        <x:v>原型完成</x:v>
      </x:c>
      <x:c r="J28" s="115" t="str">
        <x:v>范围边界与工单关联规则确认</x:v>
      </x:c>
      <x:c r="K28" s="115" t="str">
        <x:v>TASK-013／A11</x:v>
      </x:c>
    </x:row>
    <x:row r="29" ht="34" customHeight="1">
      <x:c r="A29" s="116" t="str">
        <x:v>M06</x:v>
      </x:c>
      <x:c r="B29" s="152" t="str">
        <x:v>报价采购财务扩展原型</x:v>
      </x:c>
      <x:c r="C29" s="116" t="str">
        <x:v>F06-03</x:v>
      </x:c>
      <x:c r="D29" s="116" t="str">
        <x:v>发票／收款演示</x:v>
      </x:c>
      <x:c r="E29" s="116" t="str">
        <x:v>展示发票开具、收款登记和资料打印</x:v>
      </x:c>
      <x:c r="F29" s="116" t="str">
        <x:v>完整财务流程不在当前 P0</x:v>
      </x:c>
      <x:c r="G29" s="116" t="str">
        <x:v>变更池</x:v>
      </x:c>
      <x:c r="H29" s="116" t="str">
        <x:v>P2</x:v>
      </x:c>
      <x:c r="I29" s="116" t="str">
        <x:v>原型完成</x:v>
      </x:c>
      <x:c r="J29" s="116" t="str">
        <x:v>客户确认纳入或移入二期</x:v>
      </x:c>
      <x:c r="K29" s="116" t="str">
        <x:v>TASK-013／A11</x:v>
      </x:c>
    </x:row>
    <x:row r="30" ht="34" customHeight="1">
      <x:c r="A30" s="115" t="str">
        <x:v>M06</x:v>
      </x:c>
      <x:c r="B30" s="152" t="str">
        <x:v>报价采购财务扩展原型</x:v>
      </x:c>
      <x:c r="C30" s="115" t="str">
        <x:v>F06-04</x:v>
      </x:c>
      <x:c r="D30" s="115" t="str">
        <x:v>一期关联预留</x:v>
      </x:c>
      <x:c r="E30" s="115" t="str">
        <x:v>保留报价号、PO、ML、到货及附件关联字段</x:v>
      </x:c>
      <x:c r="F30" s="115" t="str">
        <x:v>不得让 P0 验收依赖完整子系统</x:v>
      </x:c>
      <x:c r="G30" s="115" t="str">
        <x:v>一期 P2</x:v>
      </x:c>
      <x:c r="H30" s="115" t="str">
        <x:v>P2</x:v>
      </x:c>
      <x:c r="I30" s="115" t="str">
        <x:v>基本完成</x:v>
      </x:c>
      <x:c r="J30" s="115" t="str">
        <x:v>字段与主工单可关联并可追溯</x:v>
      </x:c>
      <x:c r="K30" s="115" t="str">
        <x:v>TASK-021／A11</x:v>
      </x:c>
    </x:row>
    <x:row r="31" ht="34" customHeight="1">
      <x:c r="A31" s="116" t="str">
        <x:v>M07</x:v>
      </x:c>
      <x:c r="B31" s="154" t="str">
        <x:v>钉钉／宜搭 POC</x:v>
      </x:c>
      <x:c r="C31" s="116" t="str">
        <x:v>F07-01</x:v>
      </x:c>
      <x:c r="D31" s="116" t="str">
        <x:v>许可与容量</x:v>
      </x:c>
      <x:c r="E31" s="116" t="str">
        <x:v>确认钉钉／宜搭许可、账号人数和附件容量</x:v>
      </x:c>
      <x:c r="F31" s="116" t="str">
        <x:v>近 800 人及图片量必须用真实方案核实</x:v>
      </x:c>
      <x:c r="G31" s="116" t="str">
        <x:v>POC 前置</x:v>
      </x:c>
      <x:c r="H31" s="116" t="str">
        <x:v>P0</x:v>
      </x:c>
      <x:c r="I31" s="116" t="str">
        <x:v>待确认</x:v>
      </x:c>
      <x:c r="J31" s="116" t="str">
        <x:v>许可、容量和费用结论书面确认</x:v>
      </x:c>
      <x:c r="K31" s="116" t="str">
        <x:v>TASK-016／A10</x:v>
      </x:c>
    </x:row>
    <x:row r="32" ht="34" customHeight="1">
      <x:c r="A32" s="115" t="str">
        <x:v>M07</x:v>
      </x:c>
      <x:c r="B32" s="154" t="str">
        <x:v>钉钉／宜搭 POC</x:v>
      </x:c>
      <x:c r="C32" s="115" t="str">
        <x:v>F07-02</x:v>
      </x:c>
      <x:c r="D32" s="115" t="str">
        <x:v>真实账号与权限</x:v>
      </x:c>
      <x:c r="E32" s="115" t="str">
        <x:v>用 CS、Leader、师傅和管理员账号走查</x:v>
      </x:c>
      <x:c r="F32" s="115" t="str">
        <x:v>不得用本地角色切换代替验收</x:v>
      </x:c>
      <x:c r="G32" s="115" t="str">
        <x:v>POC</x:v>
      </x:c>
      <x:c r="H32" s="115" t="str">
        <x:v>P0</x:v>
      </x:c>
      <x:c r="I32" s="115" t="str">
        <x:v>未开始</x:v>
      </x:c>
      <x:c r="J32" s="115" t="str">
        <x:v>免登、角色和数据范围通过</x:v>
      </x:c>
      <x:c r="K32" s="115" t="str">
        <x:v>TASK-017／A08</x:v>
      </x:c>
    </x:row>
    <x:row r="33" ht="34" customHeight="1">
      <x:c r="A33" s="116" t="str">
        <x:v>M07</x:v>
      </x:c>
      <x:c r="B33" s="154" t="str">
        <x:v>钉钉／宜搭 POC</x:v>
      </x:c>
      <x:c r="C33" s="116" t="str">
        <x:v>F07-03</x:v>
      </x:c>
      <x:c r="D33" s="116" t="str">
        <x:v>消息与待办</x:v>
      </x:c>
      <x:c r="E33" s="116" t="str">
        <x:v>验证派单、拒单、退回和完成通知</x:v>
      </x:c>
      <x:c r="F33" s="116" t="str">
        <x:v>通知渠道需客户确认</x:v>
      </x:c>
      <x:c r="G33" s="116" t="str">
        <x:v>POC</x:v>
      </x:c>
      <x:c r="H33" s="116" t="str">
        <x:v>P0</x:v>
      </x:c>
      <x:c r="I33" s="116" t="str">
        <x:v>未开始</x:v>
      </x:c>
      <x:c r="J33" s="116" t="str">
        <x:v>关键事件按角色到达且可追溯</x:v>
      </x:c>
      <x:c r="K33" s="116" t="str">
        <x:v>TASK-018／A10</x:v>
      </x:c>
    </x:row>
    <x:row r="34" ht="34" customHeight="1">
      <x:c r="A34" s="115" t="str">
        <x:v>M07</x:v>
      </x:c>
      <x:c r="B34" s="154" t="str">
        <x:v>钉钉／宜搭 POC</x:v>
      </x:c>
      <x:c r="C34" s="115" t="str">
        <x:v>F07-04</x:v>
      </x:c>
      <x:c r="D34" s="115" t="str">
        <x:v>移动网络与图片</x:v>
      </x:c>
      <x:c r="E34" s="115" t="str">
        <x:v>验证真实手机、弱网、图片上传和存储</x:v>
      </x:c>
      <x:c r="F34" s="115" t="str">
        <x:v>形成在线保存与归档周期</x:v>
      </x:c>
      <x:c r="G34" s="115" t="str">
        <x:v>POC</x:v>
      </x:c>
      <x:c r="H34" s="115" t="str">
        <x:v>P0</x:v>
      </x:c>
      <x:c r="I34" s="115" t="str">
        <x:v>未开始</x:v>
      </x:c>
      <x:c r="J34" s="115" t="str">
        <x:v>照片上传成功率不低于 95%</x:v>
      </x:c>
      <x:c r="K34" s="115" t="str">
        <x:v>TASK-018／A10</x:v>
      </x:c>
    </x:row>
    <x:row r="35" ht="34" customHeight="1">
      <x:c r="A35" s="116" t="str">
        <x:v>M08</x:v>
      </x:c>
      <x:c r="B35" s="156" t="str">
        <x:v>试点主数据与组织准备</x:v>
      </x:c>
      <x:c r="C35" s="116" t="str">
        <x:v>F08-01</x:v>
      </x:c>
      <x:c r="D35" s="116" t="str">
        <x:v>试点团队</x:v>
      </x:c>
      <x:c r="E35" s="116" t="str">
        <x:v>确定 1 个区域、1 名 Leader、3–5 名师傅和 1–2 名 CS</x:v>
      </x:c>
      <x:c r="F35" s="116" t="str">
        <x:v>人员需具备可用账号与验收时间</x:v>
      </x:c>
      <x:c r="G35" s="116" t="str">
        <x:v>POC 前置</x:v>
      </x:c>
      <x:c r="H35" s="116" t="str">
        <x:v>P0</x:v>
      </x:c>
      <x:c r="I35" s="116" t="str">
        <x:v>待确认</x:v>
      </x:c>
      <x:c r="J35" s="116" t="str">
        <x:v>试点名单和负责人签认</x:v>
      </x:c>
      <x:c r="K35" s="116" t="str">
        <x:v>TASK-014／A12</x:v>
      </x:c>
    </x:row>
    <x:row r="36" ht="34" customHeight="1">
      <x:c r="A36" s="115" t="str">
        <x:v>M08</x:v>
      </x:c>
      <x:c r="B36" s="156" t="str">
        <x:v>试点主数据与组织准备</x:v>
      </x:c>
      <x:c r="C36" s="115" t="str">
        <x:v>F08-02</x:v>
      </x:c>
      <x:c r="D36" s="115" t="str">
        <x:v>客户与组织主数据</x:v>
      </x:c>
      <x:c r="E36" s="115" t="str">
        <x:v>收集客户、地址、区域、团队、人员和技能映射</x:v>
      </x:c>
      <x:c r="F36" s="115" t="str">
        <x:v>导入前需去重和业务签认</x:v>
      </x:c>
      <x:c r="G36" s="115" t="str">
        <x:v>POC 前置</x:v>
      </x:c>
      <x:c r="H36" s="115" t="str">
        <x:v>P0</x:v>
      </x:c>
      <x:c r="I36" s="115" t="str">
        <x:v>待开始</x:v>
      </x:c>
      <x:c r="J36" s="115" t="str">
        <x:v>试点主数据完整并签认</x:v>
      </x:c>
      <x:c r="K36" s="115" t="str">
        <x:v>TASK-015／A12</x:v>
      </x:c>
    </x:row>
    <x:row r="37" ht="34" customHeight="1">
      <x:c r="A37" s="116" t="str">
        <x:v>M08</x:v>
      </x:c>
      <x:c r="B37" s="156" t="str">
        <x:v>试点主数据与组织准备</x:v>
      </x:c>
      <x:c r="C37" s="116" t="str">
        <x:v>F08-03</x:v>
      </x:c>
      <x:c r="D37" s="116" t="str">
        <x:v>样例工单与照片策略</x:v>
      </x:c>
      <x:c r="E37" s="116" t="str">
        <x:v>准备 20–30 张真实或脱敏工单及不可拍照清单</x:v>
      </x:c>
      <x:c r="F37" s="116" t="str">
        <x:v>覆盖普通、政府、PM、CM 和异常场景</x:v>
      </x:c>
      <x:c r="G37" s="116" t="str">
        <x:v>POC 前置</x:v>
      </x:c>
      <x:c r="H37" s="116" t="str">
        <x:v>P0</x:v>
      </x:c>
      <x:c r="I37" s="116" t="str">
        <x:v>待开始</x:v>
      </x:c>
      <x:c r="J37" s="116" t="str">
        <x:v>样例覆盖验收场景且可用于试点</x:v>
      </x:c>
      <x:c r="K37" s="116" t="str">
        <x:v>TASK-015／A12</x:v>
      </x:c>
    </x:row>
    <x:row r="38" ht="34" customHeight="1">
      <x:c r="A38" s="115" t="str">
        <x:v>M09</x:v>
      </x:c>
      <x:c r="B38" s="158" t="str">
        <x:v>生产开发与集成</x:v>
      </x:c>
      <x:c r="C38" s="115" t="str">
        <x:v>F09-01</x:v>
      </x:c>
      <x:c r="D38" s="115" t="str">
        <x:v>批准实施计划</x:v>
      </x:c>
      <x:c r="E38" s="115" t="str">
        <x:v>基于批准 PRD 和 POC 结论拆分生产任务</x:v>
      </x:c>
      <x:c r="F38" s="115" t="str">
        <x:v>未批准前不进入生产实现</x:v>
      </x:c>
      <x:c r="G38" s="115" t="str">
        <x:v>下一阶段</x:v>
      </x:c>
      <x:c r="H38" s="115" t="str">
        <x:v>P0</x:v>
      </x:c>
      <x:c r="I38" s="115" t="str">
        <x:v>未开始</x:v>
      </x:c>
      <x:c r="J38" s="115" t="str">
        <x:v>plan.md 与 tasks.md 完整可追溯</x:v>
      </x:c>
      <x:c r="K38" s="115" t="str">
        <x:v>TASK-019～020／A13</x:v>
      </x:c>
    </x:row>
    <x:row r="39" ht="34" customHeight="1">
      <x:c r="A39" s="116" t="str">
        <x:v>M09</x:v>
      </x:c>
      <x:c r="B39" s="158" t="str">
        <x:v>生产开发与集成</x:v>
      </x:c>
      <x:c r="C39" s="116" t="str">
        <x:v>F09-02</x:v>
      </x:c>
      <x:c r="D39" s="116" t="str">
        <x:v>P0 生产实现</x:v>
      </x:c>
      <x:c r="E39" s="116" t="str">
        <x:v>建设真实后端、数据、权限、附件、消息和审计</x:v>
      </x:c>
      <x:c r="F39" s="116" t="str">
        <x:v>仅覆盖已批准一期范围</x:v>
      </x:c>
      <x:c r="G39" s="116" t="str">
        <x:v>下一阶段</x:v>
      </x:c>
      <x:c r="H39" s="116" t="str">
        <x:v>P0</x:v>
      </x:c>
      <x:c r="I39" s="116" t="str">
        <x:v>未开始</x:v>
      </x:c>
      <x:c r="J39" s="116" t="str">
        <x:v>P0 主流程在真实环境运行</x:v>
      </x:c>
      <x:c r="K39" s="116" t="str">
        <x:v>TASK-021／A13</x:v>
      </x:c>
    </x:row>
    <x:row r="40" ht="34" customHeight="1">
      <x:c r="A40" s="115" t="str">
        <x:v>M09</x:v>
      </x:c>
      <x:c r="B40" s="158" t="str">
        <x:v>生产开发与集成</x:v>
      </x:c>
      <x:c r="C40" s="115" t="str">
        <x:v>F09-03</x:v>
      </x:c>
      <x:c r="D40" s="115" t="str">
        <x:v>部署与运维</x:v>
      </x:c>
      <x:c r="E40" s="115" t="str">
        <x:v>完成环境、监控、备份、恢复和操作手册</x:v>
      </x:c>
      <x:c r="F40" s="115" t="str">
        <x:v>必须完成恢复演练和责任交接</x:v>
      </x:c>
      <x:c r="G40" s="115" t="str">
        <x:v>上线前</x:v>
      </x:c>
      <x:c r="H40" s="115" t="str">
        <x:v>P0</x:v>
      </x:c>
      <x:c r="I40" s="115" t="str">
        <x:v>未开始</x:v>
      </x:c>
      <x:c r="J40" s="115" t="str">
        <x:v>部署可重复、监控可用、备份可恢复</x:v>
      </x:c>
      <x:c r="K40" s="115" t="str">
        <x:v>TASK-025／A13</x:v>
      </x:c>
    </x:row>
    <x:row r="41" ht="34" customHeight="1">
      <x:c r="A41" s="116" t="str">
        <x:v>M10</x:v>
      </x:c>
      <x:c r="B41" s="160" t="str">
        <x:v>UAT、试点与上线</x:v>
      </x:c>
      <x:c r="C41" s="116" t="str">
        <x:v>F10-01</x:v>
      </x:c>
      <x:c r="D41" s="116" t="str">
        <x:v>UAT 用例与数据</x:v>
      </x:c>
      <x:c r="E41" s="116" t="str">
        <x:v>将 AT-01～AT-07 转为可重复测试</x:v>
      </x:c>
      <x:c r="F41" s="116" t="str">
        <x:v>每个 P0 场景须有责任人和证据</x:v>
      </x:c>
      <x:c r="G41" s="116" t="str">
        <x:v>上线前</x:v>
      </x:c>
      <x:c r="H41" s="116" t="str">
        <x:v>P0</x:v>
      </x:c>
      <x:c r="I41" s="116" t="str">
        <x:v>未开始</x:v>
      </x:c>
      <x:c r="J41" s="116" t="str">
        <x:v>验收用例、数据和期望结果齐全</x:v>
      </x:c>
      <x:c r="K41" s="116" t="str">
        <x:v>TASK-023／A14</x:v>
      </x:c>
    </x:row>
    <x:row r="42" ht="34" customHeight="1">
      <x:c r="A42" s="115" t="str">
        <x:v>M10</x:v>
      </x:c>
      <x:c r="B42" s="160" t="str">
        <x:v>UAT、试点与上线</x:v>
      </x:c>
      <x:c r="C42" s="115" t="str">
        <x:v>F10-02</x:v>
      </x:c>
      <x:c r="D42" s="115" t="str">
        <x:v>试点运行</x:v>
      </x:c>
      <x:c r="E42" s="115" t="str">
        <x:v>连续使用 7–10 个工作日并闭环问题</x:v>
      </x:c>
      <x:c r="F42" s="115" t="str">
        <x:v>试点需覆盖 20–30 张工单</x:v>
      </x:c>
      <x:c r="G42" s="115" t="str">
        <x:v>上线前</x:v>
      </x:c>
      <x:c r="H42" s="115" t="str">
        <x:v>P0</x:v>
      </x:c>
      <x:c r="I42" s="115" t="str">
        <x:v>未开始</x:v>
      </x:c>
      <x:c r="J42" s="115" t="str">
        <x:v>P0 流程稳定且问题有结论</x:v>
      </x:c>
      <x:c r="K42" s="115" t="str">
        <x:v>TASK-024／A14</x:v>
      </x:c>
    </x:row>
    <x:row r="43" ht="34" customHeight="1">
      <x:c r="A43" s="116" t="str">
        <x:v>M10</x:v>
      </x:c>
      <x:c r="B43" s="160" t="str">
        <x:v>UAT、试点与上线</x:v>
      </x:c>
      <x:c r="C43" s="116" t="str">
        <x:v>F10-03</x:v>
      </x:c>
      <x:c r="D43" s="116" t="str">
        <x:v>上线与签收</x:v>
      </x:c>
      <x:c r="E43" s="116" t="str">
        <x:v>完成上线审批、操作交接和项目签收</x:v>
      </x:c>
      <x:c r="F43" s="116" t="str">
        <x:v>未通过 Gate 不得上线</x:v>
      </x:c>
      <x:c r="G43" s="116" t="str">
        <x:v>上线</x:v>
      </x:c>
      <x:c r="H43" s="116" t="str">
        <x:v>P0</x:v>
      </x:c>
      <x:c r="I43" s="116" t="str">
        <x:v>未开始</x:v>
      </x:c>
      <x:c r="J43" s="116" t="str">
        <x:v>客户 UAT、上线记录和签收材料完整</x:v>
      </x:c>
      <x:c r="K43" s="116" t="str">
        <x:v>TASK-025／A14</x:v>
      </x:c>
    </x:row>
    <x:row r="44" ht="7" customHeight="1">
      <x:c r="A44" s="115"/>
      <x:c r="B44" s="123"/>
      <x:c r="C44" s="115"/>
      <x:c r="D44" s="115"/>
      <x:c r="E44" s="115"/>
      <x:c r="F44" s="115"/>
      <x:c r="G44" s="115"/>
      <x:c r="H44" s="115"/>
      <x:c r="I44" s="115"/>
      <x:c r="J44" s="115"/>
      <x:c r="K44" s="115"/>
    </x:row>
    <x:row r="45" ht="7" customHeight="1">
      <x:c r="A45" s="116"/>
      <x:c r="B45" s="123"/>
      <x:c r="C45" s="116"/>
      <x:c r="D45" s="116"/>
      <x:c r="E45" s="116"/>
      <x:c r="F45" s="116"/>
      <x:c r="G45" s="116"/>
      <x:c r="H45" s="116"/>
      <x:c r="I45" s="116"/>
      <x:c r="J45" s="116"/>
      <x:c r="K45" s="116"/>
    </x:row>
    <x:row r="46" ht="7" customHeight="1">
      <x:c r="A46" s="115"/>
      <x:c r="B46" s="123"/>
      <x:c r="C46" s="115"/>
      <x:c r="D46" s="115"/>
      <x:c r="E46" s="115"/>
      <x:c r="F46" s="115"/>
      <x:c r="G46" s="115"/>
      <x:c r="H46" s="115"/>
      <x:c r="I46" s="115"/>
      <x:c r="J46" s="115"/>
      <x:c r="K46" s="115"/>
    </x:row>
    <x:row r="47" ht="7" customHeight="1">
      <x:c r="A47" s="116"/>
      <x:c r="B47" s="123"/>
      <x:c r="C47" s="116"/>
      <x:c r="D47" s="116"/>
      <x:c r="E47" s="116"/>
      <x:c r="F47" s="116"/>
      <x:c r="G47" s="116"/>
      <x:c r="H47" s="116"/>
      <x:c r="I47" s="116"/>
      <x:c r="J47" s="116"/>
      <x:c r="K47" s="116"/>
    </x:row>
    <x:row r="48" ht="7" customHeight="1">
      <x:c r="A48" s="115"/>
      <x:c r="B48" s="123"/>
      <x:c r="C48" s="115"/>
      <x:c r="D48" s="115"/>
      <x:c r="E48" s="115"/>
      <x:c r="F48" s="115"/>
      <x:c r="G48" s="115"/>
      <x:c r="H48" s="115"/>
      <x:c r="I48" s="115"/>
      <x:c r="J48" s="115"/>
      <x:c r="K48" s="115"/>
    </x:row>
    <x:row r="49" ht="7" customHeight="1">
      <x:c r="A49" s="116"/>
      <x:c r="B49" s="127"/>
      <x:c r="C49" s="116"/>
      <x:c r="D49" s="116"/>
      <x:c r="E49" s="116"/>
      <x:c r="F49" s="116"/>
      <x:c r="G49" s="116"/>
      <x:c r="H49" s="116"/>
      <x:c r="I49" s="116"/>
      <x:c r="J49" s="116"/>
      <x:c r="K49" s="116"/>
    </x:row>
    <x:row r="50" ht="7" customHeight="1">
      <x:c r="A50" s="115"/>
      <x:c r="B50" s="127"/>
      <x:c r="C50" s="115"/>
      <x:c r="D50" s="115"/>
      <x:c r="E50" s="115"/>
      <x:c r="F50" s="115"/>
      <x:c r="G50" s="115"/>
      <x:c r="H50" s="115"/>
      <x:c r="I50" s="115"/>
      <x:c r="J50" s="115"/>
      <x:c r="K50" s="115"/>
    </x:row>
    <x:row r="51" ht="7" customHeight="1">
      <x:c r="A51" s="116"/>
      <x:c r="B51" s="127"/>
      <x:c r="C51" s="116"/>
      <x:c r="D51" s="116"/>
      <x:c r="E51" s="116"/>
      <x:c r="F51" s="116"/>
      <x:c r="G51" s="116"/>
      <x:c r="H51" s="116"/>
      <x:c r="I51" s="116"/>
      <x:c r="J51" s="116"/>
      <x:c r="K51" s="116"/>
    </x:row>
    <x:row r="52" ht="7" customHeight="1">
      <x:c r="A52" s="115"/>
      <x:c r="B52" s="127"/>
      <x:c r="C52" s="115"/>
      <x:c r="D52" s="115"/>
      <x:c r="E52" s="115"/>
      <x:c r="F52" s="115"/>
      <x:c r="G52" s="115"/>
      <x:c r="H52" s="115"/>
      <x:c r="I52" s="115"/>
      <x:c r="J52" s="115"/>
      <x:c r="K52" s="115"/>
    </x:row>
    <x:row r="53" ht="7" customHeight="1">
      <x:c r="A53" s="116"/>
      <x:c r="B53" s="127"/>
      <x:c r="C53" s="116"/>
      <x:c r="D53" s="116"/>
      <x:c r="E53" s="116"/>
      <x:c r="F53" s="116"/>
      <x:c r="G53" s="116"/>
      <x:c r="H53" s="116"/>
      <x:c r="I53" s="116"/>
      <x:c r="J53" s="116"/>
      <x:c r="K53" s="116"/>
    </x:row>
    <x:row r="54" ht="7" customHeight="1">
      <x:c r="A54" s="115"/>
      <x:c r="B54" s="131"/>
      <x:c r="C54" s="115"/>
      <x:c r="D54" s="115"/>
      <x:c r="E54" s="115"/>
      <x:c r="F54" s="115"/>
      <x:c r="G54" s="115"/>
      <x:c r="H54" s="115"/>
      <x:c r="I54" s="115"/>
      <x:c r="J54" s="115"/>
      <x:c r="K54" s="115"/>
    </x:row>
    <x:row r="55" ht="7" customHeight="1">
      <x:c r="A55" s="116"/>
      <x:c r="B55" s="131"/>
      <x:c r="C55" s="116"/>
      <x:c r="D55" s="116"/>
      <x:c r="E55" s="116"/>
      <x:c r="F55" s="116"/>
      <x:c r="G55" s="116"/>
      <x:c r="H55" s="116"/>
      <x:c r="I55" s="116"/>
      <x:c r="J55" s="116"/>
      <x:c r="K55" s="116"/>
    </x:row>
    <x:row r="56" ht="7" customHeight="1">
      <x:c r="A56" s="115"/>
      <x:c r="B56" s="131"/>
      <x:c r="C56" s="115"/>
      <x:c r="D56" s="115"/>
      <x:c r="E56" s="115"/>
      <x:c r="F56" s="115"/>
      <x:c r="G56" s="115"/>
      <x:c r="H56" s="115"/>
      <x:c r="I56" s="115"/>
      <x:c r="J56" s="115"/>
      <x:c r="K56" s="115"/>
    </x:row>
    <x:row r="57" ht="7" customHeight="1">
      <x:c r="A57" s="116"/>
      <x:c r="B57" s="131"/>
      <x:c r="C57" s="116"/>
      <x:c r="D57" s="116"/>
      <x:c r="E57" s="116"/>
      <x:c r="F57" s="116"/>
      <x:c r="G57" s="116"/>
      <x:c r="H57" s="116"/>
      <x:c r="I57" s="116"/>
      <x:c r="J57" s="116"/>
      <x:c r="K57" s="116"/>
    </x:row>
    <x:row r="58" ht="7" customHeight="1">
      <x:c r="A58" s="115"/>
      <x:c r="B58" s="131"/>
      <x:c r="C58" s="115"/>
      <x:c r="D58" s="115"/>
      <x:c r="E58" s="115"/>
      <x:c r="F58" s="115"/>
      <x:c r="G58" s="115"/>
      <x:c r="H58" s="115"/>
      <x:c r="I58" s="115"/>
      <x:c r="J58" s="115"/>
      <x:c r="K58" s="115"/>
    </x:row>
    <x:row r="59" ht="7" customHeight="1">
      <x:c r="A59" s="116"/>
      <x:c r="B59" s="135"/>
      <x:c r="C59" s="116"/>
      <x:c r="D59" s="116"/>
      <x:c r="E59" s="116"/>
      <x:c r="F59" s="116"/>
      <x:c r="G59" s="116"/>
      <x:c r="H59" s="116"/>
      <x:c r="I59" s="116"/>
      <x:c r="J59" s="116"/>
      <x:c r="K59" s="116"/>
    </x:row>
    <x:row r="60" ht="7" customHeight="1">
      <x:c r="A60" s="115"/>
      <x:c r="B60" s="135"/>
      <x:c r="C60" s="115"/>
      <x:c r="D60" s="115"/>
      <x:c r="E60" s="115"/>
      <x:c r="F60" s="115"/>
      <x:c r="G60" s="115"/>
      <x:c r="H60" s="115"/>
      <x:c r="I60" s="115"/>
      <x:c r="J60" s="115"/>
      <x:c r="K60" s="115"/>
    </x:row>
    <x:row r="61" ht="7" customHeight="1">
      <x:c r="A61" s="116"/>
      <x:c r="B61" s="135"/>
      <x:c r="C61" s="116"/>
      <x:c r="D61" s="116"/>
      <x:c r="E61" s="116"/>
      <x:c r="F61" s="116"/>
      <x:c r="G61" s="116"/>
      <x:c r="H61" s="116"/>
      <x:c r="I61" s="116"/>
      <x:c r="J61" s="116"/>
      <x:c r="K61" s="116"/>
    </x:row>
    <x:row r="62" ht="7" customHeight="1">
      <x:c r="A62" s="115"/>
      <x:c r="B62" s="135"/>
      <x:c r="C62" s="115"/>
      <x:c r="D62" s="115"/>
      <x:c r="E62" s="115"/>
      <x:c r="F62" s="115"/>
      <x:c r="G62" s="115"/>
      <x:c r="H62" s="115"/>
      <x:c r="I62" s="115"/>
      <x:c r="J62" s="115"/>
      <x:c r="K62" s="115"/>
    </x:row>
    <x:row r="63" ht="7" customHeight="1">
      <x:c r="A63" s="116"/>
      <x:c r="B63" s="123"/>
      <x:c r="C63" s="116"/>
      <x:c r="D63" s="116"/>
      <x:c r="E63" s="116"/>
      <x:c r="F63" s="116"/>
      <x:c r="G63" s="116"/>
      <x:c r="H63" s="116"/>
      <x:c r="I63" s="116"/>
      <x:c r="J63" s="116"/>
      <x:c r="K63" s="116"/>
    </x:row>
    <x:row r="64" ht="7" customHeight="1">
      <x:c r="A64" s="115"/>
      <x:c r="B64" s="123"/>
      <x:c r="C64" s="115"/>
      <x:c r="D64" s="115"/>
      <x:c r="E64" s="115"/>
      <x:c r="F64" s="115"/>
      <x:c r="G64" s="115"/>
      <x:c r="H64" s="115"/>
      <x:c r="I64" s="115"/>
      <x:c r="J64" s="115"/>
      <x:c r="K64" s="115"/>
    </x:row>
    <x:row r="65" ht="7" customHeight="1">
      <x:c r="A65" s="116"/>
      <x:c r="B65" s="123"/>
      <x:c r="C65" s="116"/>
      <x:c r="D65" s="116"/>
      <x:c r="E65" s="116"/>
      <x:c r="F65" s="116"/>
      <x:c r="G65" s="116"/>
      <x:c r="H65" s="116"/>
      <x:c r="I65" s="116"/>
      <x:c r="J65" s="116"/>
      <x:c r="K65" s="116"/>
    </x:row>
    <x:row r="66" ht="7" customHeight="1">
      <x:c r="A66" s="115"/>
      <x:c r="B66" s="123"/>
      <x:c r="C66" s="115"/>
      <x:c r="D66" s="115"/>
      <x:c r="E66" s="115"/>
      <x:c r="F66" s="115"/>
      <x:c r="G66" s="115"/>
      <x:c r="H66" s="115"/>
      <x:c r="I66" s="115"/>
      <x:c r="J66" s="115"/>
      <x:c r="K66" s="115"/>
    </x:row>
    <x:row r="67" ht="7" customHeight="1">
      <x:c r="A67" s="116"/>
      <x:c r="B67" s="127"/>
      <x:c r="C67" s="116"/>
      <x:c r="D67" s="116"/>
      <x:c r="E67" s="116"/>
      <x:c r="F67" s="116"/>
      <x:c r="G67" s="116"/>
      <x:c r="H67" s="116"/>
      <x:c r="I67" s="116"/>
      <x:c r="J67" s="116"/>
      <x:c r="K67" s="116"/>
    </x:row>
    <x:row r="68" ht="7" customHeight="1">
      <x:c r="A68" s="115"/>
      <x:c r="B68" s="127"/>
      <x:c r="C68" s="115"/>
      <x:c r="D68" s="115"/>
      <x:c r="E68" s="115"/>
      <x:c r="F68" s="115"/>
      <x:c r="G68" s="115"/>
      <x:c r="H68" s="115"/>
      <x:c r="I68" s="115"/>
      <x:c r="J68" s="115"/>
      <x:c r="K68" s="115"/>
    </x:row>
    <x:row r="69" ht="7" customHeight="1">
      <x:c r="A69" s="116"/>
      <x:c r="B69" s="127"/>
      <x:c r="C69" s="116"/>
      <x:c r="D69" s="116"/>
      <x:c r="E69" s="116"/>
      <x:c r="F69" s="116"/>
      <x:c r="G69" s="116"/>
      <x:c r="H69" s="116"/>
      <x:c r="I69" s="116"/>
      <x:c r="J69" s="116"/>
      <x:c r="K69" s="116"/>
    </x:row>
    <x:row r="70" ht="7" customHeight="1">
      <x:c r="A70" s="115"/>
      <x:c r="B70" s="127"/>
      <x:c r="C70" s="115"/>
      <x:c r="D70" s="115"/>
      <x:c r="E70" s="115"/>
      <x:c r="F70" s="115"/>
      <x:c r="G70" s="115"/>
      <x:c r="H70" s="115"/>
      <x:c r="I70" s="115"/>
      <x:c r="J70" s="115"/>
      <x:c r="K70" s="115"/>
    </x:row>
    <x:row r="71" ht="7" customHeight="1">
      <x:c r="A71" s="116"/>
      <x:c r="B71" s="127"/>
      <x:c r="C71" s="116"/>
      <x:c r="D71" s="116"/>
      <x:c r="E71" s="116"/>
      <x:c r="F71" s="116"/>
      <x:c r="G71" s="116"/>
      <x:c r="H71" s="116"/>
      <x:c r="I71" s="116"/>
      <x:c r="J71" s="116"/>
      <x:c r="K71" s="116"/>
    </x:row>
    <x:row r="72" ht="7" customHeight="1">
      <x:c r="A72" s="115"/>
      <x:c r="B72" s="127"/>
      <x:c r="C72" s="115"/>
      <x:c r="D72" s="115"/>
      <x:c r="E72" s="115"/>
      <x:c r="F72" s="115"/>
      <x:c r="G72" s="115"/>
      <x:c r="H72" s="115"/>
      <x:c r="I72" s="115"/>
      <x:c r="J72" s="115"/>
      <x:c r="K72" s="115"/>
    </x:row>
    <x:row r="73" ht="7" customHeight="1">
      <x:c r="A73" s="116"/>
      <x:c r="B73" s="131"/>
      <x:c r="C73" s="116"/>
      <x:c r="D73" s="116"/>
      <x:c r="E73" s="116"/>
      <x:c r="F73" s="116"/>
      <x:c r="G73" s="116"/>
      <x:c r="H73" s="116"/>
      <x:c r="I73" s="116"/>
      <x:c r="J73" s="116"/>
      <x:c r="K73" s="116"/>
    </x:row>
    <x:row r="74" ht="7" customHeight="1">
      <x:c r="A74" s="115"/>
      <x:c r="B74" s="131"/>
      <x:c r="C74" s="115"/>
      <x:c r="D74" s="115"/>
      <x:c r="E74" s="115"/>
      <x:c r="F74" s="115"/>
      <x:c r="G74" s="115"/>
      <x:c r="H74" s="115"/>
      <x:c r="I74" s="115"/>
      <x:c r="J74" s="115"/>
      <x:c r="K74" s="115"/>
    </x:row>
    <x:row r="75" ht="7" customHeight="1">
      <x:c r="A75" s="116"/>
      <x:c r="B75" s="131"/>
      <x:c r="C75" s="116"/>
      <x:c r="D75" s="116"/>
      <x:c r="E75" s="116"/>
      <x:c r="F75" s="116"/>
      <x:c r="G75" s="116"/>
      <x:c r="H75" s="116"/>
      <x:c r="I75" s="116"/>
      <x:c r="J75" s="116"/>
      <x:c r="K75" s="116"/>
    </x:row>
    <x:row r="76" ht="7" customHeight="1">
      <x:c r="A76" s="115"/>
      <x:c r="B76" s="131"/>
      <x:c r="C76" s="115"/>
      <x:c r="D76" s="115"/>
      <x:c r="E76" s="115"/>
      <x:c r="F76" s="115"/>
      <x:c r="G76" s="115"/>
      <x:c r="H76" s="115"/>
      <x:c r="I76" s="115"/>
      <x:c r="J76" s="115"/>
      <x:c r="K76" s="115"/>
    </x:row>
    <x:row r="77" ht="7" customHeight="1">
      <x:c r="A77" s="116"/>
      <x:c r="B77" s="131"/>
      <x:c r="C77" s="116"/>
      <x:c r="D77" s="116"/>
      <x:c r="E77" s="116"/>
      <x:c r="F77" s="116"/>
      <x:c r="G77" s="116"/>
      <x:c r="H77" s="116"/>
      <x:c r="I77" s="116"/>
      <x:c r="J77" s="116"/>
      <x:c r="K77" s="116"/>
    </x:row>
    <x:row r="78" ht="7" customHeight="1">
      <x:c r="A78" s="115"/>
      <x:c r="B78" s="131"/>
      <x:c r="C78" s="115"/>
      <x:c r="D78" s="115"/>
      <x:c r="E78" s="115"/>
      <x:c r="F78" s="115"/>
      <x:c r="G78" s="115"/>
      <x:c r="H78" s="115"/>
      <x:c r="I78" s="115"/>
      <x:c r="J78" s="115"/>
      <x:c r="K78" s="115"/>
    </x:row>
    <x:row r="79" ht="7" customHeight="1">
      <x:c r="A79" s="116"/>
      <x:c r="B79" s="135"/>
      <x:c r="C79" s="116"/>
      <x:c r="D79" s="116"/>
      <x:c r="E79" s="116"/>
      <x:c r="F79" s="116"/>
      <x:c r="G79" s="116"/>
      <x:c r="H79" s="116"/>
      <x:c r="I79" s="116"/>
      <x:c r="J79" s="116"/>
      <x:c r="K79" s="116"/>
    </x:row>
    <x:row r="80" ht="7" customHeight="1">
      <x:c r="A80" s="115"/>
      <x:c r="B80" s="135"/>
      <x:c r="C80" s="115"/>
      <x:c r="D80" s="115"/>
      <x:c r="E80" s="115"/>
      <x:c r="F80" s="115"/>
      <x:c r="G80" s="115"/>
      <x:c r="H80" s="115"/>
      <x:c r="I80" s="115"/>
      <x:c r="J80" s="115"/>
      <x:c r="K80" s="115"/>
    </x:row>
    <x:row r="81" ht="7" customHeight="1">
      <x:c r="A81" s="116"/>
      <x:c r="B81" s="135"/>
      <x:c r="C81" s="116"/>
      <x:c r="D81" s="116"/>
      <x:c r="E81" s="116"/>
      <x:c r="F81" s="116"/>
      <x:c r="G81" s="116"/>
      <x:c r="H81" s="116"/>
      <x:c r="I81" s="116"/>
      <x:c r="J81" s="116"/>
      <x:c r="K81" s="116"/>
    </x:row>
    <x:row r="82" ht="7" customHeight="1">
      <x:c r="A82" s="115"/>
      <x:c r="B82" s="135"/>
      <x:c r="C82" s="115"/>
      <x:c r="D82" s="115"/>
      <x:c r="E82" s="115"/>
      <x:c r="F82" s="115"/>
      <x:c r="G82" s="115"/>
      <x:c r="H82" s="115"/>
      <x:c r="I82" s="115"/>
      <x:c r="J82" s="115"/>
      <x:c r="K82" s="115"/>
    </x:row>
    <x:row r="83" ht="7" customHeight="1">
      <x:c r="A83" s="117"/>
      <x:c r="B83" s="135"/>
      <x:c r="C83" s="117"/>
      <x:c r="D83" s="117"/>
      <x:c r="E83" s="117"/>
      <x:c r="F83" s="117"/>
      <x:c r="G83" s="117"/>
      <x:c r="H83" s="117"/>
      <x:c r="I83" s="117"/>
      <x:c r="J83" s="117"/>
      <x:c r="K83" s="117"/>
    </x:row>
  </x:sheetData>
  <x:mergeCells>
    <x:mergeCell ref="A1:K1"/>
    <x:mergeCell ref="A2:K2"/>
    <x:mergeCell ref="B5:B8"/>
    <x:mergeCell ref="B9:B12"/>
    <x:mergeCell ref="B13:B17"/>
    <x:mergeCell ref="B18:B21"/>
    <x:mergeCell ref="B22:B26"/>
    <x:mergeCell ref="B27:B30"/>
    <x:mergeCell ref="B31:B34"/>
    <x:mergeCell ref="B35:B37"/>
    <x:mergeCell ref="B38:B40"/>
    <x:mergeCell ref="B41:B43"/>
  </x:mergeCells>
  <x:conditionalFormatting sqref="I5:I83">
    <x:cfRule type="containsText" dxfId="13" priority="1" operator="containsText" text="已完成"/>
    <x:cfRule type="containsText" dxfId="14" priority="2" operator="containsText" text="PASS"/>
    <x:cfRule type="containsText" dxfId="15" priority="3" operator="containsText" text="基本完成"/>
    <x:cfRule type="containsText" dxfId="16" priority="4" operator="containsText" text="部分完成"/>
    <x:cfRule type="containsText" dxfId="17" priority="5" operator="containsText" text="部分通过"/>
    <x:cfRule type="containsText" dxfId="18" priority="6" operator="containsText" text="修复中"/>
    <x:cfRule type="containsText" dxfId="19" priority="7" operator="containsText" text="待收口"/>
    <x:cfRule type="containsText" dxfId="20" priority="8" operator="containsText" text="待验收"/>
    <x:cfRule type="containsText" dxfId="21" priority="9" operator="containsText" text="待确认"/>
    <x:cfRule type="containsText" dxfId="22" priority="10" operator="containsText" text="待开发"/>
    <x:cfRule type="containsText" dxfId="23" priority="11" operator="containsText" text="BLOCKED"/>
    <x:cfRule type="containsText" dxfId="24" priority="12" operator="containsText" text="未开始"/>
    <x:cfRule type="containsText" dxfId="25" priority="13" operator="containsText" text="未完成"/>
  </x:conditionalFormatting>
  <x:dataValidations count="4">
    <x:dataValidation type="list" sqref="H5:H83">
      <x:formula1>"P0,P1,P2,P3"</x:formula1>
    </x:dataValidation>
    <x:dataValidation type="list" sqref="I5:I83">
      <x:formula1>"已完成,基本完成,部分完成,修复中,待开发,待验收,待确认,未开始,BLOCKED"</x:formula1>
    </x:dataValidation>
    <x:dataValidation type="list" sqref="I5:I43">
      <x:formula1>"已完成,基本完成,原型完成,进行中,待确认,待开始,未开始,BLOCKED"</x:formula1>
    </x:dataValidation>
    <x:dataValidation type="list" sqref="H5:H43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48" hidden="0" customWidth="1"/>
    <x:col min="4" max="4" width="48" hidden="0" customWidth="1"/>
    <x:col min="5" max="5" width="14" hidden="0" customWidth="1"/>
    <x:col min="6" max="6" width="10" hidden="0" customWidth="1"/>
    <x:col min="7" max="7" width="13" hidden="0" customWidth="1"/>
    <x:col min="8" max="8" width="10" hidden="0" customWidth="1"/>
    <x:col min="9" max="9" width="43" hidden="0" customWidth="1"/>
    <x:col min="10" max="10" width="16" hidden="0" customWidth="1"/>
  </x:cols>
  <x:sheetData>
    <x:row r="1" ht="34" customHeight="1">
      <x:c r="A1" s="3" t="str">
        <x:v>功能模块明细</x:v>
      </x:c>
      <x:c r="B1" s="3" t="str">
        <x:v>功能模块明细</x:v>
      </x:c>
      <x:c r="C1" s="3" t="str">
        <x:v>功能模块明细</x:v>
      </x:c>
      <x:c r="D1" s="3" t="str">
        <x:v>功能模块明细</x:v>
      </x:c>
      <x:c r="E1" s="3" t="str">
        <x:v>功能模块明细</x:v>
      </x:c>
      <x:c r="F1" s="3" t="str">
        <x:v>功能模块明细</x:v>
      </x:c>
      <x:c r="G1" s="3" t="str">
        <x:v>功能模块明细</x:v>
      </x:c>
      <x:c r="H1" s="3" t="str">
        <x:v>功能模块明细</x:v>
      </x:c>
      <x:c r="I1" s="3" t="str">
        <x:v>功能模块明细</x:v>
      </x:c>
      <x:c r="J1" s="3" t="str">
        <x:v>功能模块明细</x:v>
      </x:c>
    </x:row>
    <x:row r="2" ht="25" customHeight="1">
      <x:c r="A2" s="113" t="str">
        <x:v>完成度按已确认需求、原型证据、POC、生产实现、测试和上线准备综合判断；原型完成不等于生产上线。权重合计 100%。</x:v>
      </x:c>
      <x:c r="B2" s="113" t="str">
        <x:v>完成度按已确认需求、原型证据、POC、生产实现、测试和上线准备综合判断；原型完成不等于生产上线。权重合计 100%。</x:v>
      </x:c>
      <x:c r="C2" s="113" t="str">
        <x:v>完成度按已确认需求、原型证据、POC、生产实现、测试和上线准备综合判断；原型完成不等于生产上线。权重合计 100%。</x:v>
      </x:c>
      <x:c r="D2" s="113" t="str">
        <x:v>完成度按已确认需求、原型证据、POC、生产实现、测试和上线准备综合判断；原型完成不等于生产上线。权重合计 100%。</x:v>
      </x:c>
      <x:c r="E2" s="113" t="str">
        <x:v>完成度按已确认需求、原型证据、POC、生产实现、测试和上线准备综合判断；原型完成不等于生产上线。权重合计 100%。</x:v>
      </x:c>
      <x:c r="F2" s="113" t="str">
        <x:v>完成度按已确认需求、原型证据、POC、生产实现、测试和上线准备综合判断；原型完成不等于生产上线。权重合计 100%。</x:v>
      </x:c>
      <x:c r="G2" s="113" t="str">
        <x:v>完成度按已确认需求、原型证据、POC、生产实现、测试和上线准备综合判断；原型完成不等于生产上线。权重合计 100%。</x:v>
      </x:c>
      <x:c r="H2" s="113" t="str">
        <x:v>完成度按已确认需求、原型证据、POC、生产实现、测试和上线准备综合判断；原型完成不等于生产上线。权重合计 100%。</x:v>
      </x:c>
      <x:c r="I2" s="113" t="str">
        <x:v>完成度按已确认需求、原型证据、POC、生产实现、测试和上线准备综合判断；原型完成不等于生产上线。权重合计 100%。</x:v>
      </x:c>
      <x:c r="J2" s="113" t="str">
        <x:v>完成度按已确认需求、原型证据、POC、生产实现、测试和上线准备综合判断；原型完成不等于生产上线。权重合计 100%。</x:v>
      </x:c>
    </x:row>
    <x:row r="3" ht="8" customHeight="1"/>
    <x:row r="4" ht="26" customHeight="1">
      <x:c r="A4" s="90" t="str">
        <x:v>模块ID</x:v>
      </x:c>
      <x:c r="B4" s="91" t="str">
        <x:v>功能模块</x:v>
      </x:c>
      <x:c r="C4" s="91" t="str">
        <x:v>当前可用能力</x:v>
      </x:c>
      <x:c r="D4" s="91" t="str">
        <x:v>上线缺口</x:v>
      </x:c>
      <x:c r="E4" s="91" t="str">
        <x:v>状态</x:v>
      </x:c>
      <x:c r="F4" s="91" t="str">
        <x:v>权重</x:v>
      </x:c>
      <x:c r="G4" s="91" t="str">
        <x:v>完成度</x:v>
      </x:c>
      <x:c r="H4" s="91" t="str">
        <x:v>优先级</x:v>
      </x:c>
      <x:c r="I4" s="91" t="str">
        <x:v>完成标准</x:v>
      </x:c>
      <x:c r="J4" s="92" t="str">
        <x:v>验收编号</x:v>
      </x:c>
    </x:row>
    <x:row r="5" ht="42" customHeight="1">
      <x:c r="A5" s="100" t="str">
        <x:v>MOD-01</x:v>
      </x:c>
      <x:c r="B5" s="100" t="str">
        <x:v>需求与范围治理</x:v>
      </x:c>
      <x:c r="C5" s="100" t="str">
        <x:v>已形成一期 MVP PRD、详细规格、需求质量清单、材料索引与待确认问题清单</x:v>
      </x:c>
      <x:c r="D5" s="100" t="str">
        <x:v>PRD 状态仍为待客户确认；7 状态／10 状态及 P0/P1/P2 边界尚未冻结；缺已批准 plan.md、tasks.md</x:v>
      </x:c>
      <x:c r="E5" s="100" t="str">
        <x:f>IF(G5&gt;=0.8,"基本完成",IF(G5&gt;=0.5,"部分完成",IF(G5&gt;0,"待收口","未开始")))</x:f>
        <x:v>部分完成</x:v>
      </x:c>
      <x:c r="F5" s="103" t="n">
        <x:v>0.15</x:v>
      </x:c>
      <x:c r="G5" s="103" t="n">
        <x:v>0.78</x:v>
      </x:c>
      <x:c r="H5" s="100" t="str">
        <x:v>P0</x:v>
      </x:c>
      <x:c r="I5" s="100" t="str">
        <x:v>客户书面批准一期范围、角色、流程、状态、字段及验收标准，并补齐 plan.md、tasks.md</x:v>
      </x:c>
      <x:c r="J5" s="100" t="str">
        <x:v>A01／A02</x:v>
      </x:c>
    </x:row>
    <x:row r="6" ht="42" customHeight="1">
      <x:c r="A6" s="101" t="str">
        <x:v>MOD-02</x:v>
      </x:c>
      <x:c r="B6" s="101" t="str">
        <x:v>交互原型与公网发布</x:v>
      </x:c>
      <x:c r="C6" s="101" t="str">
        <x:v>多角色 PC／移动端单文件原型已完成；包含 CALL、分派、报价、标书、备货、会计、报告、统计和设置；GitHub Pages 已发布</x:v>
      </x:c>
      <x:c r="D6" s="101" t="str">
        <x:v>当前原型包含超出一期 P0 的报价／采购／财务完整演示；需按批准范围复核并形成新一轮客户评审记录</x:v>
      </x:c>
      <x:c r="E6" s="101" t="str">
        <x:f>IF(G6&gt;=0.8,"基本完成",IF(G6&gt;=0.5,"部分完成",IF(G6&gt;0,"待收口","未开始")))</x:f>
        <x:v>基本完成</x:v>
      </x:c>
      <x:c r="F6" s="104" t="n">
        <x:v>0.15</x:v>
      </x:c>
      <x:c r="G6" s="104" t="n">
        <x:v>0.9</x:v>
      </x:c>
      <x:c r="H6" s="101" t="str">
        <x:v>P0</x:v>
      </x:c>
      <x:c r="I6" s="101" t="str">
        <x:v>原型与批准 PRD 一致，CS／Leader／师傅主流程可走通，评审问题闭环并形成版本验收记录</x:v>
      </x:c>
      <x:c r="J6" s="101" t="str">
        <x:v>A03／A04</x:v>
      </x:c>
    </x:row>
    <x:row r="7" ht="42" customHeight="1">
      <x:c r="A7" s="101" t="str">
        <x:v>MOD-03</x:v>
      </x:c>
      <x:c r="B7" s="101" t="str">
        <x:v>工单受理与闭环</x:v>
      </x:c>
      <x:c r="C7" s="101" t="str">
        <x:v>原型已演示建单、列表、详情、状态流转、处理记录、服务报告与完工单</x:v>
      </x:c>
      <x:c r="D7" s="101" t="str">
        <x:v>唯一编号规则、政府前缀、状态终点、真实附件与操作日志尚未在生产环境验证</x:v>
      </x:c>
      <x:c r="E7" s="101" t="str">
        <x:f>IF(G7&gt;=0.8,"基本完成",IF(G7&gt;=0.5,"部分完成",IF(G7&gt;0,"待收口","未开始")))</x:f>
        <x:v>部分完成</x:v>
      </x:c>
      <x:c r="F7" s="104" t="n">
        <x:v>0.15</x:v>
      </x:c>
      <x:c r="G7" s="104" t="n">
        <x:v>0.68</x:v>
      </x:c>
      <x:c r="H7" s="101" t="str">
        <x:v>P0</x:v>
      </x:c>
      <x:c r="I7" s="101" t="str">
        <x:v>普通／政府样例建单、查询、流转、附件和时间线全部按批准规则通过验收</x:v>
      </x:c>
      <x:c r="J7" s="101" t="str">
        <x:v>A05／A09</x:v>
      </x:c>
    </x:row>
    <x:row r="8" ht="42" customHeight="1">
      <x:c r="A8" s="101" t="str">
        <x:v>MOD-04</x:v>
      </x:c>
      <x:c r="B8" s="101" t="str">
        <x:v>派单、角色与数据权限</x:v>
      </x:c>
      <x:c r="C8" s="101" t="str">
        <x:v>原型已演示区域、Team Leader、师傅、角色导航、分派、拒单／改派及分派中心优化</x:v>
      </x:c>
      <x:c r="D8" s="101" t="str">
        <x:v>区域—团队—Leader—师傅映射缺失；角色权限目前主要为前端演示，未验证真实账号和服务端数据范围</x:v>
      </x:c>
      <x:c r="E8" s="101" t="str">
        <x:f>IF(G8&gt;=0.8,"基本完成",IF(G8&gt;=0.5,"部分完成",IF(G8&gt;0,"待收口","未开始")))</x:f>
        <x:v>部分完成</x:v>
      </x:c>
      <x:c r="F8" s="104" t="n">
        <x:v>0.1</x:v>
      </x:c>
      <x:c r="G8" s="104" t="n">
        <x:v>0.6</x:v>
      </x:c>
      <x:c r="H8" s="101" t="str">
        <x:v>P0</x:v>
      </x:c>
      <x:c r="I8" s="101" t="str">
        <x:v>真实组织与试点账号完成权限、越权、派单、拒单和改派验证，操作全程留痕</x:v>
      </x:c>
      <x:c r="J8" s="101" t="str">
        <x:v>A06／A08</x:v>
      </x:c>
    </x:row>
    <x:row r="9" ht="42" customHeight="1">
      <x:c r="A9" s="101" t="str">
        <x:v>MOD-05</x:v>
      </x:c>
      <x:c r="B9" s="101" t="str">
        <x:v>师傅移动端与现场证据</x:v>
      </x:c>
      <x:c r="C9" s="101" t="str">
        <x:v>已提供师傅／主管移动工作台、接单、到场、处理、服务报告、完工单上传与签名演示</x:v>
      </x:c>
      <x:c r="D9" s="101" t="str">
        <x:v>不可拍照清单、照片强制／豁免规则、真实手机网络、容量和附件存储均未验证</x:v>
      </x:c>
      <x:c r="E9" s="101" t="str">
        <x:f>IF(G9&gt;=0.8,"基本完成",IF(G9&gt;=0.5,"部分完成",IF(G9&gt;0,"待收口","未开始")))</x:f>
        <x:v>部分完成</x:v>
      </x:c>
      <x:c r="F9" s="104" t="n">
        <x:v>0.1</x:v>
      </x:c>
      <x:c r="G9" s="104" t="n">
        <x:v>0.62</x:v>
      </x:c>
      <x:c r="H9" s="101" t="str">
        <x:v>P0</x:v>
      </x:c>
      <x:c r="I9" s="101" t="str">
        <x:v>师傅用真实手机完成可拍照与不可拍照各一单，状态、证据、时长和权限符合验收标准</x:v>
      </x:c>
      <x:c r="J9" s="101" t="str">
        <x:v>A07／A10</x:v>
      </x:c>
    </x:row>
    <x:row r="10" ht="42" customHeight="1">
      <x:c r="A10" s="101" t="str">
        <x:v>MOD-06</x:v>
      </x:c>
      <x:c r="B10" s="101" t="str">
        <x:v>报价采购财务扩展原型</x:v>
      </x:c>
      <x:c r="C10" s="101" t="str">
        <x:v>原型已演示报价版本、标书、采购／备货、完工纸、发票、收款及报告联动</x:v>
      </x:c>
      <x:c r="D10" s="101" t="str">
        <x:v>当前 PRD 仅允许一期预留关联字段，完整流程未获客户确认；不得视为生产交付</x:v>
      </x:c>
      <x:c r="E10" s="101" t="str">
        <x:f>IF(G10&gt;=0.8,"基本完成",IF(G10&gt;=0.5,"部分完成",IF(G10&gt;0,"待收口","未开始")))</x:f>
        <x:v>部分完成</x:v>
      </x:c>
      <x:c r="F10" s="104" t="n">
        <x:v>0.05</x:v>
      </x:c>
      <x:c r="G10" s="104" t="n">
        <x:v>0.72</x:v>
      </x:c>
      <x:c r="H10" s="101" t="str">
        <x:v>P2</x:v>
      </x:c>
      <x:c r="I10" s="101" t="str">
        <x:v>客户确认纳入范围或明确移入二期变更池，原型入口与一期基线保持一致</x:v>
      </x:c>
      <x:c r="J10" s="101" t="str">
        <x:v>A02／A11</x:v>
      </x:c>
    </x:row>
    <x:row r="11" ht="42" customHeight="1">
      <x:c r="A11" s="101" t="str">
        <x:v>MOD-07</x:v>
      </x:c>
      <x:c r="B11" s="101" t="str">
        <x:v>钉钉／宜搭 POC</x:v>
      </x:c>
      <x:c r="C11" s="101" t="str">
        <x:v>已有技术可行性分析与 POC 前置条件清单</x:v>
      </x:c>
      <x:c r="D11" s="101" t="str">
        <x:v>无宜搭应用、真实钉钉账号、消息、数据权限、图片容量和网络验证证据</x:v>
      </x:c>
      <x:c r="E11" s="101" t="str">
        <x:f>IF(G11&gt;=0.8,"基本完成",IF(G11&gt;=0.5,"部分完成",IF(G11&gt;0,"待收口","未开始")))</x:f>
        <x:v>未开始</x:v>
      </x:c>
      <x:c r="F11" s="104" t="n">
        <x:v>0.1</x:v>
      </x:c>
      <x:c r="G11" s="104" t="n">
        <x:v>0</x:v>
      </x:c>
      <x:c r="H11" s="101" t="str">
        <x:v>P0</x:v>
      </x:c>
      <x:c r="I11" s="101" t="str">
        <x:v>真实账号、权限、移动端、消息、图片上传与容量验证通过并形成 POC 结论</x:v>
      </x:c>
      <x:c r="J11" s="101" t="str">
        <x:v>A08／A10</x:v>
      </x:c>
    </x:row>
    <x:row r="12" ht="42" customHeight="1">
      <x:c r="A12" s="101" t="str">
        <x:v>MOD-08</x:v>
      </x:c>
      <x:c r="B12" s="101" t="str">
        <x:v>试点主数据与组织准备</x:v>
      </x:c>
      <x:c r="C12" s="101" t="str">
        <x:v>已有客户、地址、区域、团队、人员、编号、照片策略等字段模板和导入需求</x:v>
      </x:c>
      <x:c r="D12" s="101" t="str">
        <x:v>试点团队、客户／地址清单、区域映射、工单样例和不可拍照清单尚未收到或签认</x:v>
      </x:c>
      <x:c r="E12" s="101" t="str">
        <x:f>IF(G12&gt;=0.8,"基本完成",IF(G12&gt;=0.5,"部分完成",IF(G12&gt;0,"待收口","未开始")))</x:f>
        <x:v>待收口</x:v>
      </x:c>
      <x:c r="F12" s="104" t="n">
        <x:v>0.08</x:v>
      </x:c>
      <x:c r="G12" s="104" t="n">
        <x:v>0.1</x:v>
      </x:c>
      <x:c r="H12" s="101" t="str">
        <x:v>P0</x:v>
      </x:c>
      <x:c r="I12" s="101" t="str">
        <x:v>1 个试点区域、角色人员、20–30 张样例工单及主数据完成清洗和客户签认</x:v>
      </x:c>
      <x:c r="J12" s="101" t="str">
        <x:v>A12</x:v>
      </x:c>
    </x:row>
    <x:row r="13" ht="42" customHeight="1">
      <x:c r="A13" s="101" t="str">
        <x:v>MOD-09</x:v>
      </x:c>
      <x:c r="B13" s="101" t="str">
        <x:v>生产开发与集成</x:v>
      </x:c>
      <x:c r="C13" s="101" t="str">
        <x:v>当前仓库具备静态 HTML 原型与 GitHub Pages 发布链路</x:v>
      </x:c>
      <x:c r="D13" s="101" t="str">
        <x:v>无已批准实施计划、生产后端、真实数据服务、消息、附件存储、监控和部署交付</x:v>
      </x:c>
      <x:c r="E13" s="101" t="str">
        <x:f>IF(G13&gt;=0.8,"基本完成",IF(G13&gt;=0.5,"部分完成",IF(G13&gt;0,"待收口","未开始")))</x:f>
        <x:v>未开始</x:v>
      </x:c>
      <x:c r="F13" s="104" t="n">
        <x:v>0.07</x:v>
      </x:c>
      <x:c r="G13" s="104" t="n">
        <x:v>0</x:v>
      </x:c>
      <x:c r="H13" s="101" t="str">
        <x:v>P0</x:v>
      </x:c>
      <x:c r="I13" s="101" t="str">
        <x:v>基于批准 PRD 与 POC 结论完成 P0 生产实现、集成测试、部署与运维准备</x:v>
      </x:c>
      <x:c r="J13" s="101" t="str">
        <x:v>A13</x:v>
      </x:c>
    </x:row>
    <x:row r="14" ht="42" customHeight="1">
      <x:c r="A14" s="101" t="str">
        <x:v>MOD-10</x:v>
      </x:c>
      <x:c r="B14" s="101" t="str">
        <x:v>UAT、试点与上线</x:v>
      </x:c>
      <x:c r="C14" s="101" t="str">
        <x:v>已有 7 个 P0 验收场景和 5 项可量化成功标准</x:v>
      </x:c>
      <x:c r="D14" s="101" t="str">
        <x:v>无测试工单、UAT 记录、7–10 个工作日试点、问题闭环和签收证据</x:v>
      </x:c>
      <x:c r="E14" s="101" t="str">
        <x:f>IF(G14&gt;=0.8,"基本完成",IF(G14&gt;=0.5,"部分完成",IF(G14&gt;0,"待收口","未开始")))</x:f>
        <x:v>未开始</x:v>
      </x:c>
      <x:c r="F14" s="104" t="n">
        <x:v>0.05</x:v>
      </x:c>
      <x:c r="G14" s="104" t="n">
        <x:v>0</x:v>
      </x:c>
      <x:c r="H14" s="101" t="str">
        <x:v>P0</x:v>
      </x:c>
      <x:c r="I14" s="101" t="str">
        <x:v>试点完成、P0 场景通过、UAT 问题关闭、上线与操作交接完成</x:v>
      </x:c>
      <x:c r="J14" s="101" t="str">
        <x:v>A14</x:v>
      </x:c>
    </x:row>
    <x:row r="15" ht="7" customHeight="1">
      <x:c r="A15" s="101"/>
      <x:c r="B15" s="101"/>
      <x:c r="C15" s="101"/>
      <x:c r="D15" s="101"/>
      <x:c r="E15" s="101"/>
      <x:c r="F15" s="104"/>
      <x:c r="G15" s="104"/>
      <x:c r="H15" s="101"/>
      <x:c r="I15" s="101"/>
      <x:c r="J15" s="101"/>
    </x:row>
    <x:row r="16" ht="7" customHeight="1">
      <x:c r="A16" s="101"/>
      <x:c r="B16" s="101"/>
      <x:c r="C16" s="101"/>
      <x:c r="D16" s="101"/>
      <x:c r="E16" s="101"/>
      <x:c r="F16" s="104"/>
      <x:c r="G16" s="104"/>
      <x:c r="H16" s="101"/>
      <x:c r="I16" s="101"/>
      <x:c r="J16" s="101"/>
    </x:row>
    <x:row r="17" ht="7" customHeight="1">
      <x:c r="A17" s="101"/>
      <x:c r="B17" s="101"/>
      <x:c r="C17" s="101"/>
      <x:c r="D17" s="101"/>
      <x:c r="E17" s="101"/>
      <x:c r="F17" s="104"/>
      <x:c r="G17" s="104"/>
      <x:c r="H17" s="101"/>
      <x:c r="I17" s="101"/>
      <x:c r="J17" s="101"/>
    </x:row>
    <x:row r="18" ht="7" customHeight="1">
      <x:c r="A18" s="101"/>
      <x:c r="B18" s="101"/>
      <x:c r="C18" s="101"/>
      <x:c r="D18" s="101"/>
      <x:c r="E18" s="101"/>
      <x:c r="F18" s="104"/>
      <x:c r="G18" s="104"/>
      <x:c r="H18" s="101"/>
      <x:c r="I18" s="101"/>
      <x:c r="J18" s="101"/>
    </x:row>
    <x:row r="19" ht="7" customHeight="1">
      <x:c r="A19" s="101"/>
      <x:c r="B19" s="101"/>
      <x:c r="C19" s="101"/>
      <x:c r="D19" s="101"/>
      <x:c r="E19" s="101"/>
      <x:c r="F19" s="104"/>
      <x:c r="G19" s="104"/>
      <x:c r="H19" s="101"/>
      <x:c r="I19" s="101"/>
      <x:c r="J19" s="101"/>
    </x:row>
    <x:row r="20" ht="7" customHeight="1">
      <x:c r="A20" s="102"/>
      <x:c r="B20" s="102"/>
      <x:c r="C20" s="102"/>
      <x:c r="D20" s="102"/>
      <x:c r="E20" s="102"/>
      <x:c r="F20" s="105"/>
      <x:c r="G20" s="105"/>
      <x:c r="H20" s="102"/>
      <x:c r="I20" s="102"/>
      <x:c r="J20" s="102"/>
    </x:row>
  </x:sheetData>
  <x:mergeCells>
    <x:mergeCell ref="A1:J1"/>
    <x:mergeCell ref="A2:J2"/>
  </x:mergeCells>
  <x:conditionalFormatting sqref="E5:E20">
    <x:cfRule type="containsText" dxfId="26" priority="1" operator="containsText" text="已完成"/>
    <x:cfRule type="containsText" dxfId="27" priority="2" operator="containsText" text="PASS"/>
    <x:cfRule type="containsText" dxfId="28" priority="3" operator="containsText" text="基本完成"/>
    <x:cfRule type="containsText" dxfId="29" priority="4" operator="containsText" text="部分完成"/>
    <x:cfRule type="containsText" dxfId="30" priority="5" operator="containsText" text="部分通过"/>
    <x:cfRule type="containsText" dxfId="31" priority="6" operator="containsText" text="修复中"/>
    <x:cfRule type="containsText" dxfId="32" priority="7" operator="containsText" text="待收口"/>
    <x:cfRule type="containsText" dxfId="33" priority="8" operator="containsText" text="待验收"/>
    <x:cfRule type="containsText" dxfId="34" priority="9" operator="containsText" text="待确认"/>
    <x:cfRule type="containsText" dxfId="35" priority="10" operator="containsText" text="待开发"/>
    <x:cfRule type="containsText" dxfId="36" priority="11" operator="containsText" text="BLOCKED"/>
    <x:cfRule type="containsText" dxfId="37" priority="12" operator="containsText" text="未开始"/>
    <x:cfRule type="containsText" dxfId="38" priority="13" operator="containsText" text="未完成"/>
  </x:conditionalFormatting>
  <x:conditionalFormatting sqref="G5:G20">
    <x:cfRule type="dataBar" priority="14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{2766924D-512E-A0BA-337A-14511178730F}</x14:id>
        </x:ext>
      </x:extLst>
    </x:cfRule>
  </x:conditionalFormatting>
  <x:dataValidations count="3">
    <x:dataValidation type="decimal" operator="between" sqref="G5:G20">
      <x:formula1>0</x:formula1>
      <x:formula2>1</x:formula2>
    </x:dataValidation>
    <x:dataValidation type="list" sqref="E5:E20">
      <x:formula1>"基本完成,部分完成,待收口,未开始,BLOCKED"</x:formula1>
    </x:dataValidation>
    <x:dataValidation type="list" sqref="H5:H2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8b10a11bb4de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2766924D-512E-A0BA-337A-14511178730F}">
            <x14:dataBar gradient="1">
              <x14:cfvo type="min"/>
              <x14:cfvo type="max"/>
              <x14:fillColor rgb="FF4F46E5"/>
            </x14:dataBar>
          </x14:cfRule>
          <xm:sqref>G5:G20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40" hidden="0" customWidth="1"/>
    <x:col min="4" max="4" width="18" hidden="0" customWidth="1"/>
    <x:col min="5" max="5" width="1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52" hidden="0" customWidth="1"/>
    <x:col min="12" max="12" width="36" hidden="0" customWidth="1"/>
    <x:col min="13" max="13" width="36" hidden="0" customWidth="1"/>
    <x:col min="14" max="14" width="20" hidden="0" customWidth="1"/>
  </x:cols>
  <x:sheetData>
    <x:row r="1" ht="34" customHeight="1">
      <x:c r="A1" s="3" t="str">
        <x:v>项目推进明细</x:v>
      </x:c>
      <x:c r="B1" s="3" t="str">
        <x:v>项目推进明细</x:v>
      </x:c>
      <x:c r="C1" s="3" t="str">
        <x:v>项目推进明细</x:v>
      </x:c>
      <x:c r="D1" s="3" t="str">
        <x:v>项目推进明细</x:v>
      </x:c>
      <x:c r="E1" s="3" t="str">
        <x:v>项目推进明细</x:v>
      </x:c>
      <x:c r="F1" s="3" t="str">
        <x:v>项目推进明细</x:v>
      </x:c>
      <x:c r="G1" s="3" t="str">
        <x:v>项目推进明细</x:v>
      </x:c>
      <x:c r="H1" s="3" t="str">
        <x:v>项目推进明细</x:v>
      </x:c>
      <x:c r="I1" s="3" t="str">
        <x:v>项目推进明细</x:v>
      </x:c>
      <x:c r="J1" s="3" t="str">
        <x:v>项目推进明细</x:v>
      </x:c>
      <x:c r="K1" s="3" t="str">
        <x:v>项目推进明细</x:v>
      </x:c>
      <x:c r="L1" s="3" t="str">
        <x:v>项目推进明细</x:v>
      </x:c>
      <x:c r="M1" s="3" t="str">
        <x:v>项目推进明细</x:v>
      </x:c>
      <x:c r="N1" s="3" t="str">
        <x:v>项目推进明细</x:v>
      </x:c>
    </x:row>
    <x:row r="2" ht="25" customHeight="1">
      <x:c r="A2" s="113" t="str">
        <x:v>状态可直接编辑；完成度由状态公式自动换算。筛选 P0＋非“已完成”即可查看当前主线。责任方暂按角色，PEND-01 确认后替换为姓名；未来日期为建议基线。</x:v>
      </x:c>
      <x:c r="B2" s="113" t="str">
        <x:v>状态可直接编辑；完成度由状态公式自动换算。筛选 P0＋非“已完成”即可查看当前主线。责任方暂按角色，PEND-01 确认后替换为姓名；未来日期为建议基线。</x:v>
      </x:c>
      <x:c r="C2" s="113" t="str">
        <x:v>状态可直接编辑；完成度由状态公式自动换算。筛选 P0＋非“已完成”即可查看当前主线。责任方暂按角色，PEND-01 确认后替换为姓名；未来日期为建议基线。</x:v>
      </x:c>
      <x:c r="D2" s="113" t="str">
        <x:v>状态可直接编辑；完成度由状态公式自动换算。筛选 P0＋非“已完成”即可查看当前主线。责任方暂按角色，PEND-01 确认后替换为姓名；未来日期为建议基线。</x:v>
      </x:c>
      <x:c r="E2" s="113" t="str">
        <x:v>状态可直接编辑；完成度由状态公式自动换算。筛选 P0＋非“已完成”即可查看当前主线。责任方暂按角色，PEND-01 确认后替换为姓名；未来日期为建议基线。</x:v>
      </x:c>
      <x:c r="F2" s="113" t="str">
        <x:v>状态可直接编辑；完成度由状态公式自动换算。筛选 P0＋非“已完成”即可查看当前主线。责任方暂按角色，PEND-01 确认后替换为姓名；未来日期为建议基线。</x:v>
      </x:c>
      <x:c r="G2" s="113" t="str">
        <x:v>状态可直接编辑；完成度由状态公式自动换算。筛选 P0＋非“已完成”即可查看当前主线。责任方暂按角色，PEND-01 确认后替换为姓名；未来日期为建议基线。</x:v>
      </x:c>
      <x:c r="H2" s="113" t="str">
        <x:v>状态可直接编辑；完成度由状态公式自动换算。筛选 P0＋非“已完成”即可查看当前主线。责任方暂按角色，PEND-01 确认后替换为姓名；未来日期为建议基线。</x:v>
      </x:c>
      <x:c r="I2" s="113" t="str">
        <x:v>状态可直接编辑；完成度由状态公式自动换算。筛选 P0＋非“已完成”即可查看当前主线。责任方暂按角色，PEND-01 确认后替换为姓名；未来日期为建议基线。</x:v>
      </x:c>
      <x:c r="J2" s="113" t="str">
        <x:v>状态可直接编辑；完成度由状态公式自动换算。筛选 P0＋非“已完成”即可查看当前主线。责任方暂按角色，PEND-01 确认后替换为姓名；未来日期为建议基线。</x:v>
      </x:c>
      <x:c r="K2" s="113" t="str">
        <x:v>状态可直接编辑；完成度由状态公式自动换算。筛选 P0＋非“已完成”即可查看当前主线。责任方暂按角色，PEND-01 确认后替换为姓名；未来日期为建议基线。</x:v>
      </x:c>
      <x:c r="L2" s="113" t="str">
        <x:v>状态可直接编辑；完成度由状态公式自动换算。筛选 P0＋非“已完成”即可查看当前主线。责任方暂按角色，PEND-01 确认后替换为姓名；未来日期为建议基线。</x:v>
      </x:c>
      <x:c r="M2" s="113" t="str">
        <x:v>状态可直接编辑；完成度由状态公式自动换算。筛选 P0＋非“已完成”即可查看当前主线。责任方暂按角色，PEND-01 确认后替换为姓名；未来日期为建议基线。</x:v>
      </x:c>
      <x:c r="N2" s="113" t="str">
        <x:v>状态可直接编辑；完成度由状态公式自动换算。筛选 P0＋非“已完成”即可查看当前主线。责任方暂按角色，PEND-01 确认后替换为姓名；未来日期为建议基线。</x:v>
      </x:c>
    </x:row>
    <x:row r="3" ht="8" customHeight="1"/>
    <x:row r="4" ht="26" customHeight="1">
      <x:c r="A4" s="90" t="str">
        <x:v>任务ID</x:v>
      </x:c>
      <x:c r="B4" s="91" t="str">
        <x:v>功能模块</x:v>
      </x:c>
      <x:c r="C4" s="91" t="str">
        <x:v>任务名称</x:v>
      </x:c>
      <x:c r="D4" s="91" t="str">
        <x:v>类型</x:v>
      </x:c>
      <x:c r="E4" s="91" t="str">
        <x:v>优先级</x:v>
      </x:c>
      <x:c r="F4" s="91" t="str">
        <x:v>责任方</x:v>
      </x:c>
      <x:c r="G4" s="91" t="str">
        <x:v>状态</x:v>
      </x:c>
      <x:c r="H4" s="91" t="str">
        <x:v>计划开始</x:v>
      </x:c>
      <x:c r="I4" s="91" t="str">
        <x:v>计划完成</x:v>
      </x:c>
      <x:c r="J4" s="91" t="str">
        <x:v>完成度</x:v>
      </x:c>
      <x:c r="K4" s="91" t="str">
        <x:v>验收标准／完成条件</x:v>
      </x:c>
      <x:c r="L4" s="91" t="str">
        <x:v>阻塞原因</x:v>
      </x:c>
      <x:c r="M4" s="91" t="str">
        <x:v>下一步</x:v>
      </x:c>
      <x:c r="N4" s="92" t="str">
        <x:v>里程碑</x:v>
      </x:c>
    </x:row>
    <x:row r="5" ht="38" customHeight="1">
      <x:c r="A5" s="100" t="str">
        <x:v>TASK-001</x:v>
      </x:c>
      <x:c r="B5" s="100" t="str">
        <x:v>需求与范围治理</x:v>
      </x:c>
      <x:c r="C5" s="100" t="str">
        <x:v>完成材料索引、需求分析和现状梳理</x:v>
      </x:c>
      <x:c r="D5" s="100" t="str">
        <x:v>需求</x:v>
      </x:c>
      <x:c r="E5" s="100" t="str">
        <x:v>P0</x:v>
      </x:c>
      <x:c r="F5" s="100" t="str">
        <x:v>产品负责人／业务分析</x:v>
      </x:c>
      <x:c r="G5" s="100" t="str">
        <x:v>已完成</x:v>
      </x:c>
      <x:c r="H5" s="138" t="n">
        <x:v>46204</x:v>
      </x:c>
      <x:c r="I5" s="138" t="n">
        <x:v>46223</x:v>
      </x:c>
      <x:c r="J5" s="103" t="n">
        <x:f>IF(G5="已完成",1,IF(G5="待验收",0.9,IF(G5="进行中",0.5,IF(G5="修复中",0.5,IF(G5="待确认",0.3,0)))))</x:f>
        <x:v>1</x:v>
      </x:c>
      <x:c r="K5" s="100" t="str">
        <x:v>材料、需求和项目状态报告可追溯</x:v>
      </x:c>
      <x:c r="L5" s="100" t="str"/>
      <x:c r="M5" s="100" t="str">
        <x:v>保持来源索引</x:v>
      </x:c>
      <x:c r="N5" s="100" t="str">
        <x:v>M0 资料与需求</x:v>
      </x:c>
    </x:row>
    <x:row r="6" ht="38" customHeight="1">
      <x:c r="A6" s="101" t="str">
        <x:v>TASK-002</x:v>
      </x:c>
      <x:c r="B6" s="101" t="str">
        <x:v>需求与范围治理</x:v>
      </x:c>
      <x:c r="C6" s="101" t="str">
        <x:v>形成一期 MVP PRD 与详细规格</x:v>
      </x:c>
      <x:c r="D6" s="101" t="str">
        <x:v>需求</x:v>
      </x:c>
      <x:c r="E6" s="101" t="str">
        <x:v>P0</x:v>
      </x:c>
      <x:c r="F6" s="101" t="str">
        <x:v>产品负责人</x:v>
      </x:c>
      <x:c r="G6" s="101" t="str">
        <x:v>已完成</x:v>
      </x:c>
      <x:c r="H6" s="139" t="n">
        <x:v>46223</x:v>
      </x:c>
      <x:c r="I6" s="139" t="n">
        <x:v>46223</x:v>
      </x:c>
      <x:c r="J6" s="104" t="n">
        <x:f>IF(G6="已完成",1,IF(G6="待验收",0.9,IF(G6="进行中",0.5,IF(G6="修复中",0.5,IF(G6="待确认",0.3,0)))))</x:f>
        <x:v>1</x:v>
      </x:c>
      <x:c r="K6" s="101" t="str">
        <x:v>PRD、详细规格和质量清单完成</x:v>
      </x:c>
      <x:c r="L6" s="101" t="str"/>
      <x:c r="M6" s="101" t="str">
        <x:v>提交客户确认</x:v>
      </x:c>
      <x:c r="N6" s="101" t="str">
        <x:v>M0 资料与需求</x:v>
      </x:c>
    </x:row>
    <x:row r="7" ht="38" customHeight="1">
      <x:c r="A7" s="101" t="str">
        <x:v>TASK-003</x:v>
      </x:c>
      <x:c r="B7" s="101" t="str">
        <x:v>交互原型与公网发布</x:v>
      </x:c>
      <x:c r="C7" s="101" t="str">
        <x:v>完成旧版 MVP 原型固化和验收记录</x:v>
      </x:c>
      <x:c r="D7" s="101" t="str">
        <x:v>原型／评审</x:v>
      </x:c>
      <x:c r="E7" s="101" t="str">
        <x:v>P0</x:v>
      </x:c>
      <x:c r="F7" s="101" t="str">
        <x:v>产品负责人／设计</x:v>
      </x:c>
      <x:c r="G7" s="101" t="str">
        <x:v>已完成</x:v>
      </x:c>
      <x:c r="H7" s="139" t="n">
        <x:v>46188</x:v>
      </x:c>
      <x:c r="I7" s="139" t="n">
        <x:v>46223</x:v>
      </x:c>
      <x:c r="J7" s="104" t="n">
        <x:f>IF(G7="已完成",1,IF(G7="待验收",0.9,IF(G7="进行中",0.5,IF(G7="修复中",0.5,IF(G7="待确认",0.3,0)))))</x:f>
        <x:v>1</x:v>
      </x:c>
      <x:c r="K7" s="101" t="str">
        <x:v>原型截图、范围检查和问题清单完成</x:v>
      </x:c>
      <x:c r="L7" s="101" t="str"/>
      <x:c r="M7" s="101" t="str">
        <x:v>以当前 ui-prototype 复核</x:v>
      </x:c>
      <x:c r="N7" s="101" t="str">
        <x:v>M0 原型基线</x:v>
      </x:c>
    </x:row>
    <x:row r="8" ht="38" customHeight="1">
      <x:c r="A8" s="101" t="str">
        <x:v>TASK-004</x:v>
      </x:c>
      <x:c r="B8" s="101" t="str">
        <x:v>交互原型与公网发布</x:v>
      </x:c>
      <x:c r="C8" s="101" t="str">
        <x:v>完成多角色 PC／移动端全流程演示</x:v>
      </x:c>
      <x:c r="D8" s="101" t="str">
        <x:v>原型</x:v>
      </x:c>
      <x:c r="E8" s="101" t="str">
        <x:v>P0</x:v>
      </x:c>
      <x:c r="F8" s="101" t="str">
        <x:v>产品设计／前端</x:v>
      </x:c>
      <x:c r="G8" s="101" t="str">
        <x:v>已完成</x:v>
      </x:c>
      <x:c r="H8" s="139" t="n">
        <x:v>46224</x:v>
      </x:c>
      <x:c r="I8" s="139" t="n">
        <x:v>46234</x:v>
      </x:c>
      <x:c r="J8" s="104" t="n">
        <x:f>IF(G8="已完成",1,IF(G8="待验收",0.9,IF(G8="进行中",0.5,IF(G8="修复中",0.5,IF(G8="待确认",0.3,0)))))</x:f>
        <x:v>1</x:v>
      </x:c>
      <x:c r="K8" s="101" t="str">
        <x:v>CALL、分派、移动执行和报告链路可演示</x:v>
      </x:c>
      <x:c r="L8" s="101" t="str"/>
      <x:c r="M8" s="101" t="str">
        <x:v>保持版本可访问</x:v>
      </x:c>
      <x:c r="N8" s="101" t="str">
        <x:v>M0 原型基线</x:v>
      </x:c>
    </x:row>
    <x:row r="9" ht="38" customHeight="1">
      <x:c r="A9" s="101" t="str">
        <x:v>TASK-005</x:v>
      </x:c>
      <x:c r="B9" s="101" t="str">
        <x:v>报价采购财务扩展原型</x:v>
      </x:c>
      <x:c r="C9" s="101" t="str">
        <x:v>完成报价、标书、备货、会计和完工纸演示</x:v>
      </x:c>
      <x:c r="D9" s="101" t="str">
        <x:v>原型</x:v>
      </x:c>
      <x:c r="E9" s="101" t="str">
        <x:v>P2</x:v>
      </x:c>
      <x:c r="F9" s="101" t="str">
        <x:v>产品设计／前端</x:v>
      </x:c>
      <x:c r="G9" s="101" t="str">
        <x:v>已完成</x:v>
      </x:c>
      <x:c r="H9" s="139" t="n">
        <x:v>46230</x:v>
      </x:c>
      <x:c r="I9" s="139" t="n">
        <x:v>46234</x:v>
      </x:c>
      <x:c r="J9" s="104" t="n">
        <x:f>IF(G9="已完成",1,IF(G9="待验收",0.9,IF(G9="进行中",0.5,IF(G9="修复中",0.5,IF(G9="待确认",0.3,0)))))</x:f>
        <x:v>1</x:v>
      </x:c>
      <x:c r="K9" s="101" t="str">
        <x:v>扩展模块在原型中可演示</x:v>
      </x:c>
      <x:c r="L9" s="101" t="str">
        <x:v>超出一期 P0，需范围决策</x:v>
      </x:c>
      <x:c r="M9" s="101" t="str">
        <x:v>纳入变更池评审</x:v>
      </x:c>
      <x:c r="N9" s="101" t="str">
        <x:v>M0 原型基线</x:v>
      </x:c>
    </x:row>
    <x:row r="10" ht="38" customHeight="1">
      <x:c r="A10" s="101" t="str">
        <x:v>TASK-006</x:v>
      </x:c>
      <x:c r="B10" s="101" t="str">
        <x:v>交互原型与公网发布</x:v>
      </x:c>
      <x:c r="C10" s="101" t="str">
        <x:v>发布 GitHub Pages 公网原型</x:v>
      </x:c>
      <x:c r="D10" s="101" t="str">
        <x:v>发布</x:v>
      </x:c>
      <x:c r="E10" s="101" t="str">
        <x:v>P0</x:v>
      </x:c>
      <x:c r="F10" s="101" t="str">
        <x:v>前端／项目负责人</x:v>
      </x:c>
      <x:c r="G10" s="101" t="str">
        <x:v>已完成</x:v>
      </x:c>
      <x:c r="H10" s="139" t="n">
        <x:v>46231</x:v>
      </x:c>
      <x:c r="I10" s="139" t="n">
        <x:v>46258</x:v>
      </x:c>
      <x:c r="J10" s="104" t="n">
        <x:f>IF(G10="已完成",1,IF(G10="待验收",0.9,IF(G10="进行中",0.5,IF(G10="修复中",0.5,IF(G10="待确认",0.3,0)))))</x:f>
        <x:v>1</x:v>
      </x:c>
      <x:c r="K10" s="101" t="str">
        <x:v>公网地址返回 HTTP 200，版本对应 main</x:v>
      </x:c>
      <x:c r="L10" s="101" t="str"/>
      <x:c r="M10" s="101" t="str">
        <x:v>每次 main 更新后自动发布</x:v>
      </x:c>
      <x:c r="N10" s="101" t="str">
        <x:v>M0 原型基线</x:v>
      </x:c>
    </x:row>
    <x:row r="11" ht="38" customHeight="1">
      <x:c r="A11" s="101" t="str">
        <x:v>TASK-007</x:v>
      </x:c>
      <x:c r="B11" s="101" t="str">
        <x:v>派单、角色与数据权限</x:v>
      </x:c>
      <x:c r="C11" s="101" t="str">
        <x:v>完成角色切换、侧边栏、分派中心和人员样例优化</x:v>
      </x:c>
      <x:c r="D11" s="101" t="str">
        <x:v>原型</x:v>
      </x:c>
      <x:c r="E11" s="101" t="str">
        <x:v>P0</x:v>
      </x:c>
      <x:c r="F11" s="101" t="str">
        <x:v>产品设计／前端</x:v>
      </x:c>
      <x:c r="G11" s="101" t="str">
        <x:v>已完成</x:v>
      </x:c>
      <x:c r="H11" s="139" t="n">
        <x:v>46238</x:v>
      </x:c>
      <x:c r="I11" s="139" t="n">
        <x:v>46253</x:v>
      </x:c>
      <x:c r="J11" s="104" t="n">
        <x:f>IF(G11="已完成",1,IF(G11="待验收",0.9,IF(G11="进行中",0.5,IF(G11="修复中",0.5,IF(G11="待确认",0.3,0)))))</x:f>
        <x:v>1</x:v>
      </x:c>
      <x:c r="K11" s="101" t="str">
        <x:v>角色入口和分派中心演示可用</x:v>
      </x:c>
      <x:c r="L11" s="101" t="str"/>
      <x:c r="M11" s="101" t="str">
        <x:v>等待真实权限 POC</x:v>
      </x:c>
      <x:c r="N11" s="101" t="str">
        <x:v>M0 原型基线</x:v>
      </x:c>
    </x:row>
    <x:row r="12" ht="38" customHeight="1">
      <x:c r="A12" s="101" t="str">
        <x:v>TASK-008</x:v>
      </x:c>
      <x:c r="B12" s="101" t="str">
        <x:v>交互原型与公网发布</x:v>
      </x:c>
      <x:c r="C12" s="101" t="str">
        <x:v>修复 JS 语法并优化备货管理</x:v>
      </x:c>
      <x:c r="D12" s="101" t="str">
        <x:v>修复</x:v>
      </x:c>
      <x:c r="E12" s="101" t="str">
        <x:v>P0</x:v>
      </x:c>
      <x:c r="F12" s="101" t="str">
        <x:v>前端</x:v>
      </x:c>
      <x:c r="G12" s="101" t="str">
        <x:v>已完成</x:v>
      </x:c>
      <x:c r="H12" s="139" t="n">
        <x:v>46253</x:v>
      </x:c>
      <x:c r="I12" s="139" t="n">
        <x:v>46253</x:v>
      </x:c>
      <x:c r="J12" s="104" t="n">
        <x:f>IF(G12="已完成",1,IF(G12="待验收",0.9,IF(G12="进行中",0.5,IF(G12="修复中",0.5,IF(G12="待确认",0.3,0)))))</x:f>
        <x:v>1</x:v>
      </x:c>
      <x:c r="K12" s="101" t="str">
        <x:v>main 提交 c2d9c4b 已发布</x:v>
      </x:c>
      <x:c r="L12" s="101" t="str"/>
      <x:c r="M12" s="101" t="str">
        <x:v>纳入当前评审版本</x:v>
      </x:c>
      <x:c r="N12" s="101" t="str">
        <x:v>M0 原型基线</x:v>
      </x:c>
    </x:row>
    <x:row r="13" ht="38" customHeight="1">
      <x:c r="A13" s="101" t="str">
        <x:v>TASK-009</x:v>
      </x:c>
      <x:c r="B13" s="101" t="str">
        <x:v>需求与范围治理</x:v>
      </x:c>
      <x:c r="C13" s="101" t="str">
        <x:v>复核仓库与 GitHub 最新版本一致</x:v>
      </x:c>
      <x:c r="D13" s="101" t="str">
        <x:v>版本治理</x:v>
      </x:c>
      <x:c r="E13" s="101" t="str">
        <x:v>P0</x:v>
      </x:c>
      <x:c r="F13" s="101" t="str">
        <x:v>项目负责人</x:v>
      </x:c>
      <x:c r="G13" s="101" t="str">
        <x:v>已完成</x:v>
      </x:c>
      <x:c r="H13" s="139" t="n">
        <x:v>46258</x:v>
      </x:c>
      <x:c r="I13" s="139" t="n">
        <x:v>46265</x:v>
      </x:c>
      <x:c r="J13" s="104" t="n">
        <x:f>IF(G13="已完成",1,IF(G13="待验收",0.9,IF(G13="进行中",0.5,IF(G13="修复中",0.5,IF(G13="待确认",0.3,0)))))</x:f>
        <x:v>1</x:v>
      </x:c>
      <x:c r="K13" s="101" t="str">
        <x:v>本地 main 与 origin/main 一致</x:v>
      </x:c>
      <x:c r="L13" s="101" t="str"/>
      <x:c r="M13" s="101" t="str">
        <x:v>保持单一评审基线</x:v>
      </x:c>
      <x:c r="N13" s="101" t="str">
        <x:v>M0 原型基线</x:v>
      </x:c>
    </x:row>
    <x:row r="14" ht="38" customHeight="1">
      <x:c r="A14" s="101" t="str">
        <x:v>TASK-010</x:v>
      </x:c>
      <x:c r="B14" s="101" t="str">
        <x:v>交互原型与公网发布</x:v>
      </x:c>
      <x:c r="C14" s="101" t="str">
        <x:v>按当前 PRD 复核最新版原型范围与主流程</x:v>
      </x:c>
      <x:c r="D14" s="101" t="str">
        <x:v>评审</x:v>
      </x:c>
      <x:c r="E14" s="101" t="str">
        <x:v>P0</x:v>
      </x:c>
      <x:c r="F14" s="101" t="str">
        <x:v>产品负责人／测试验收</x:v>
      </x:c>
      <x:c r="G14" s="101" t="str">
        <x:v>进行中</x:v>
      </x:c>
      <x:c r="H14" s="139" t="n">
        <x:v>46266</x:v>
      </x:c>
      <x:c r="I14" s="139" t="n">
        <x:v>46268</x:v>
      </x:c>
      <x:c r="J14" s="104" t="n">
        <x:f>IF(G14="已完成",1,IF(G14="待验收",0.9,IF(G14="进行中",0.5,IF(G14="修复中",0.5,IF(G14="待确认",0.3,0)))))</x:f>
        <x:v>0.5</x:v>
      </x:c>
      <x:c r="K14" s="101" t="str">
        <x:v>逐页标注已确认、待确认和超范围项</x:v>
      </x:c>
      <x:c r="L14" s="101" t="str">
        <x:v>PRD 尚未批准</x:v>
      </x:c>
      <x:c r="M14" s="101" t="str">
        <x:v>输出客户评审问题清单</x:v>
      </x:c>
      <x:c r="N14" s="101" t="str">
        <x:v>M1 范围冻结</x:v>
      </x:c>
    </x:row>
    <x:row r="15" ht="38" customHeight="1">
      <x:c r="A15" s="101" t="str">
        <x:v>TASK-011</x:v>
      </x:c>
      <x:c r="B15" s="101" t="str">
        <x:v>需求与范围治理</x:v>
      </x:c>
      <x:c r="C15" s="101" t="str">
        <x:v>召开一期范围确认会</x:v>
      </x:c>
      <x:c r="D15" s="101" t="str">
        <x:v>会议／决策</x:v>
      </x:c>
      <x:c r="E15" s="101" t="str">
        <x:v>P0</x:v>
      </x:c>
      <x:c r="F15" s="101" t="str">
        <x:v>客户业务负责人／产品负责人</x:v>
      </x:c>
      <x:c r="G15" s="101" t="str">
        <x:v>待确认</x:v>
      </x:c>
      <x:c r="H15" s="139" t="n">
        <x:v>46269</x:v>
      </x:c>
      <x:c r="I15" s="139" t="n">
        <x:v>46269</x:v>
      </x:c>
      <x:c r="J15" s="104" t="n">
        <x:f>IF(G15="已完成",1,IF(G15="待验收",0.9,IF(G15="进行中",0.5,IF(G15="修复中",0.5,IF(G15="待确认",0.3,0)))))</x:f>
        <x:v>0.3</x:v>
      </x:c>
      <x:c r="K15" s="101" t="str">
        <x:v>确认 P0/P1/P2、7／10 状态和扩展模块边界</x:v>
      </x:c>
      <x:c r="L15" s="101" t="str">
        <x:v>需客户参会与书面结论</x:v>
      </x:c>
      <x:c r="M15" s="101" t="str">
        <x:v>安排 90 分钟工作坊</x:v>
      </x:c>
      <x:c r="N15" s="101" t="str">
        <x:v>M1 范围冻结</x:v>
      </x:c>
    </x:row>
    <x:row r="16" ht="38" customHeight="1">
      <x:c r="A16" s="101" t="str">
        <x:v>TASK-012</x:v>
      </x:c>
      <x:c r="B16" s="101" t="str">
        <x:v>需求与范围治理</x:v>
      </x:c>
      <x:c r="C16" s="101" t="str">
        <x:v>关闭 PM/CM、编号、完工确认与照片豁免规则</x:v>
      </x:c>
      <x:c r="D16" s="101" t="str">
        <x:v>业务规则</x:v>
      </x:c>
      <x:c r="E16" s="101" t="str">
        <x:v>P0</x:v>
      </x:c>
      <x:c r="F16" s="101" t="str">
        <x:v>客户业务负责人／Leader／CS</x:v>
      </x:c>
      <x:c r="G16" s="101" t="str">
        <x:v>待确认</x:v>
      </x:c>
      <x:c r="H16" s="139" t="n">
        <x:v>46269</x:v>
      </x:c>
      <x:c r="I16" s="139" t="n">
        <x:v>46272</x:v>
      </x:c>
      <x:c r="J16" s="104" t="n">
        <x:f>IF(G16="已完成",1,IF(G16="待验收",0.9,IF(G16="进行中",0.5,IF(G16="修复中",0.5,IF(G16="待确认",0.3,0)))))</x:f>
        <x:v>0.3</x:v>
      </x:c>
      <x:c r="K16" s="101" t="str">
        <x:v>CQ-01～CQ-05 有书面答案</x:v>
      </x:c>
      <x:c r="L16" s="101" t="str">
        <x:v>缺真实样例和规则负责人</x:v>
      </x:c>
      <x:c r="M16" s="101" t="str">
        <x:v>准备决策表与样例</x:v>
      </x:c>
      <x:c r="N16" s="101" t="str">
        <x:v>M1 范围冻结</x:v>
      </x:c>
    </x:row>
    <x:row r="17" ht="38" customHeight="1">
      <x:c r="A17" s="101" t="str">
        <x:v>TASK-013</x:v>
      </x:c>
      <x:c r="B17" s="101" t="str">
        <x:v>需求与范围治理</x:v>
      </x:c>
      <x:c r="C17" s="101" t="str">
        <x:v>冻结角色、页面、状态和一期验收标准</x:v>
      </x:c>
      <x:c r="D17" s="101" t="str">
        <x:v>基线</x:v>
      </x:c>
      <x:c r="E17" s="101" t="str">
        <x:v>P0</x:v>
      </x:c>
      <x:c r="F17" s="101" t="str">
        <x:v>产品负责人／客户业务负责人</x:v>
      </x:c>
      <x:c r="G17" s="101" t="str">
        <x:v>BLOCKED</x:v>
      </x:c>
      <x:c r="H17" s="139" t="n">
        <x:v>46273</x:v>
      </x:c>
      <x:c r="I17" s="139" t="n">
        <x:v>46273</x:v>
      </x:c>
      <x:c r="J17" s="104" t="n">
        <x:f>IF(G17="已完成",1,IF(G17="待验收",0.9,IF(G17="进行中",0.5,IF(G17="修复中",0.5,IF(G17="待确认",0.3,0)))))</x:f>
        <x:v>0</x:v>
      </x:c>
      <x:c r="K17" s="101" t="str">
        <x:v>PRD 状态更新为已批准</x:v>
      </x:c>
      <x:c r="L17" s="101" t="str">
        <x:v>依赖 TASK-010～012</x:v>
      </x:c>
      <x:c r="M17" s="101" t="str">
        <x:v>批准 PRD 与原型评审基线</x:v>
      </x:c>
      <x:c r="N17" s="101" t="str">
        <x:v>M1 范围冻结</x:v>
      </x:c>
    </x:row>
    <x:row r="18" ht="38" customHeight="1">
      <x:c r="A18" s="101" t="str">
        <x:v>TASK-014</x:v>
      </x:c>
      <x:c r="B18" s="101" t="str">
        <x:v>试点主数据与组织准备</x:v>
      </x:c>
      <x:c r="C18" s="101" t="str">
        <x:v>确定试点区域、人员和项目责任人</x:v>
      </x:c>
      <x:c r="D18" s="101" t="str">
        <x:v>试点准备</x:v>
      </x:c>
      <x:c r="E18" s="101" t="str">
        <x:v>P0</x:v>
      </x:c>
      <x:c r="F18" s="101" t="str">
        <x:v>客户项目负责人</x:v>
      </x:c>
      <x:c r="G18" s="101" t="str">
        <x:v>待确认</x:v>
      </x:c>
      <x:c r="H18" s="139" t="n">
        <x:v>46273</x:v>
      </x:c>
      <x:c r="I18" s="139" t="n">
        <x:v>46274</x:v>
      </x:c>
      <x:c r="J18" s="104" t="n">
        <x:f>IF(G18="已完成",1,IF(G18="待验收",0.9,IF(G18="进行中",0.5,IF(G18="修复中",0.5,IF(G18="待确认",0.3,0)))))</x:f>
        <x:v>0.3</x:v>
      </x:c>
      <x:c r="K18" s="101" t="str">
        <x:v>1 个区域、1 名 Leader、3–5 名师傅、1–2 名 CS 签认</x:v>
      </x:c>
      <x:c r="L18" s="101" t="str">
        <x:v>客户未指定人员</x:v>
      </x:c>
      <x:c r="M18" s="101" t="str">
        <x:v>提交试点名单</x:v>
      </x:c>
      <x:c r="N18" s="101" t="str">
        <x:v>M2 POC 准备</x:v>
      </x:c>
    </x:row>
    <x:row r="19" ht="38" customHeight="1">
      <x:c r="A19" s="101" t="str">
        <x:v>TASK-015</x:v>
      </x:c>
      <x:c r="B19" s="101" t="str">
        <x:v>试点主数据与组织准备</x:v>
      </x:c>
      <x:c r="C19" s="101" t="str">
        <x:v>收集主数据、区域映射和 20–30 张样例工单</x:v>
      </x:c>
      <x:c r="D19" s="101" t="str">
        <x:v>数据</x:v>
      </x:c>
      <x:c r="E19" s="101" t="str">
        <x:v>P0</x:v>
      </x:c>
      <x:c r="F19" s="101" t="str">
        <x:v>客户数据负责人／业务负责人</x:v>
      </x:c>
      <x:c r="G19" s="101" t="str">
        <x:v>待开始</x:v>
      </x:c>
      <x:c r="H19" s="139" t="n">
        <x:v>46274</x:v>
      </x:c>
      <x:c r="I19" s="139" t="n">
        <x:v>46276</x:v>
      </x:c>
      <x:c r="J19" s="104" t="n">
        <x:f>IF(G19="已完成",1,IF(G19="待验收",0.9,IF(G19="进行中",0.5,IF(G19="修复中",0.5,IF(G19="待确认",0.3,0)))))</x:f>
        <x:v>0</x:v>
      </x:c>
      <x:c r="K19" s="101" t="str">
        <x:v>客户、地址、团队、人员、编号和照片策略数据可用</x:v>
      </x:c>
      <x:c r="L19" s="101" t="str">
        <x:v>依赖客户提供原始清单</x:v>
      </x:c>
      <x:c r="M19" s="101" t="str">
        <x:v>发放数据模板并签认</x:v>
      </x:c>
      <x:c r="N19" s="101" t="str">
        <x:v>M2 POC 准备</x:v>
      </x:c>
    </x:row>
    <x:row r="20" ht="38" customHeight="1">
      <x:c r="A20" s="101" t="str">
        <x:v>TASK-016</x:v>
      </x:c>
      <x:c r="B20" s="101" t="str">
        <x:v>钉钉／宜搭 POC</x:v>
      </x:c>
      <x:c r="C20" s="101" t="str">
        <x:v>确认许可、账号人数、存储容量与 POC 环境</x:v>
      </x:c>
      <x:c r="D20" s="101" t="str">
        <x:v>环境／商务</x:v>
      </x:c>
      <x:c r="E20" s="101" t="str">
        <x:v>P0</x:v>
      </x:c>
      <x:c r="F20" s="101" t="str">
        <x:v>客户 IT／采购／项目负责人</x:v>
      </x:c>
      <x:c r="G20" s="101" t="str">
        <x:v>待确认</x:v>
      </x:c>
      <x:c r="H20" s="139" t="n">
        <x:v>46273</x:v>
      </x:c>
      <x:c r="I20" s="139" t="n">
        <x:v>46275</x:v>
      </x:c>
      <x:c r="J20" s="104" t="n">
        <x:f>IF(G20="已完成",1,IF(G20="待验收",0.9,IF(G20="进行中",0.5,IF(G20="修复中",0.5,IF(G20="待确认",0.3,0)))))</x:f>
        <x:v>0.3</x:v>
      </x:c>
      <x:c r="K20" s="101" t="str">
        <x:v>许可、容量、环境和费用结论明确</x:v>
      </x:c>
      <x:c r="L20" s="101" t="str">
        <x:v>近 800 人与图片容量未验证</x:v>
      </x:c>
      <x:c r="M20" s="101" t="str">
        <x:v>获取平台配置与账号方案</x:v>
      </x:c>
      <x:c r="N20" s="101" t="str">
        <x:v>M2 POC 准备</x:v>
      </x:c>
    </x:row>
    <x:row r="21" ht="38" customHeight="1">
      <x:c r="A21" s="101" t="str">
        <x:v>TASK-017</x:v>
      </x:c>
      <x:c r="B21" s="101" t="str">
        <x:v>钉钉／宜搭 POC</x:v>
      </x:c>
      <x:c r="C21" s="101" t="str">
        <x:v>验证真实账号免登、角色和数据权限</x:v>
      </x:c>
      <x:c r="D21" s="101" t="str">
        <x:v>POC／安全</x:v>
      </x:c>
      <x:c r="E21" s="101" t="str">
        <x:v>P0</x:v>
      </x:c>
      <x:c r="F21" s="101" t="str">
        <x:v>技术开发／客户 IT／测试验收</x:v>
      </x:c>
      <x:c r="G21" s="101" t="str">
        <x:v>BLOCKED</x:v>
      </x:c>
      <x:c r="H21" s="139" t="n">
        <x:v>46276</x:v>
      </x:c>
      <x:c r="I21" s="139" t="n">
        <x:v>46281</x:v>
      </x:c>
      <x:c r="J21" s="104" t="n">
        <x:f>IF(G21="已完成",1,IF(G21="待验收",0.9,IF(G21="进行中",0.5,IF(G21="修复中",0.5,IF(G21="待确认",0.3,0)))))</x:f>
        <x:v>0</x:v>
      </x:c>
      <x:c r="K21" s="101" t="str">
        <x:v>CS、Leader、师傅、管理员权限与越权测试通过</x:v>
      </x:c>
      <x:c r="L21" s="101" t="str">
        <x:v>依赖 TASK-014／016</x:v>
      </x:c>
      <x:c r="M21" s="101" t="str">
        <x:v>准备测试账号和权限矩阵</x:v>
      </x:c>
      <x:c r="N21" s="101" t="str">
        <x:v>M2 POC 验证</x:v>
      </x:c>
    </x:row>
    <x:row r="22" ht="38" customHeight="1">
      <x:c r="A22" s="101" t="str">
        <x:v>TASK-018</x:v>
      </x:c>
      <x:c r="B22" s="101" t="str">
        <x:v>钉钉／宜搭 POC</x:v>
      </x:c>
      <x:c r="C22" s="101" t="str">
        <x:v>验证消息、移动端、弱网、图片上传与容量</x:v>
      </x:c>
      <x:c r="D22" s="101" t="str">
        <x:v>POC／集成</x:v>
      </x:c>
      <x:c r="E22" s="101" t="str">
        <x:v>P0</x:v>
      </x:c>
      <x:c r="F22" s="101" t="str">
        <x:v>技术开发／测试验收／客户 IT</x:v>
      </x:c>
      <x:c r="G22" s="101" t="str">
        <x:v>BLOCKED</x:v>
      </x:c>
      <x:c r="H22" s="139" t="n">
        <x:v>46279</x:v>
      </x:c>
      <x:c r="I22" s="139" t="n">
        <x:v>46283</x:v>
      </x:c>
      <x:c r="J22" s="104" t="n">
        <x:f>IF(G22="已完成",1,IF(G22="待验收",0.9,IF(G22="进行中",0.5,IF(G22="修复中",0.5,IF(G22="待确认",0.3,0)))))</x:f>
        <x:v>0</x:v>
      </x:c>
      <x:c r="K22" s="101" t="str">
        <x:v>关键通知到达；照片成功率、容量和归档策略有结论</x:v>
      </x:c>
      <x:c r="L22" s="101" t="str">
        <x:v>依赖 POC 环境和样例</x:v>
      </x:c>
      <x:c r="M22" s="101" t="str">
        <x:v>准备场景脚本和测试手机</x:v>
      </x:c>
      <x:c r="N22" s="101" t="str">
        <x:v>M2 POC 验证</x:v>
      </x:c>
    </x:row>
    <x:row r="23" ht="38" customHeight="1">
      <x:c r="A23" s="101" t="str">
        <x:v>TASK-019</x:v>
      </x:c>
      <x:c r="B23" s="101" t="str">
        <x:v>需求与范围治理</x:v>
      </x:c>
      <x:c r="C23" s="101" t="str">
        <x:v>根据确认结论更新 PRD 并补齐技术计划</x:v>
      </x:c>
      <x:c r="D23" s="101" t="str">
        <x:v>规格／计划</x:v>
      </x:c>
      <x:c r="E23" s="101" t="str">
        <x:v>P0</x:v>
      </x:c>
      <x:c r="F23" s="101" t="str">
        <x:v>产品负责人／技术负责人</x:v>
      </x:c>
      <x:c r="G23" s="101" t="str">
        <x:v>BLOCKED</x:v>
      </x:c>
      <x:c r="H23" s="139" t="n">
        <x:v>46283</x:v>
      </x:c>
      <x:c r="I23" s="139" t="n">
        <x:v>46286</x:v>
      </x:c>
      <x:c r="J23" s="104" t="n">
        <x:f>IF(G23="已完成",1,IF(G23="待验收",0.9,IF(G23="进行中",0.5,IF(G23="修复中",0.5,IF(G23="待确认",0.3,0)))))</x:f>
        <x:v>0</x:v>
      </x:c>
      <x:c r="K23" s="101" t="str">
        <x:v>spec.md 已批准，plan.md 完整</x:v>
      </x:c>
      <x:c r="L23" s="101" t="str">
        <x:v>依赖范围冻结和 POC 结论</x:v>
      </x:c>
      <x:c r="M23" s="101" t="str">
        <x:v>记录所有范围变更</x:v>
      </x:c>
      <x:c r="N23" s="101" t="str">
        <x:v>M3 实施准备</x:v>
      </x:c>
    </x:row>
    <x:row r="24" ht="38" customHeight="1">
      <x:c r="A24" s="101" t="str">
        <x:v>TASK-020</x:v>
      </x:c>
      <x:c r="B24" s="101" t="str">
        <x:v>需求与范围治理</x:v>
      </x:c>
      <x:c r="C24" s="101" t="str">
        <x:v>生成可执行 tasks.md 与验收映射</x:v>
      </x:c>
      <x:c r="D24" s="101" t="str">
        <x:v>计划</x:v>
      </x:c>
      <x:c r="E24" s="101" t="str">
        <x:v>P0</x:v>
      </x:c>
      <x:c r="F24" s="101" t="str">
        <x:v>技术负责人／测试验收</x:v>
      </x:c>
      <x:c r="G24" s="101" t="str">
        <x:v>BLOCKED</x:v>
      </x:c>
      <x:c r="H24" s="139" t="n">
        <x:v>46287</x:v>
      </x:c>
      <x:c r="I24" s="139" t="n">
        <x:v>46290</x:v>
      </x:c>
      <x:c r="J24" s="104" t="n">
        <x:f>IF(G24="已完成",1,IF(G24="待验收",0.9,IF(G24="进行中",0.5,IF(G24="修复中",0.5,IF(G24="待确认",0.3,0)))))</x:f>
        <x:v>0</x:v>
      </x:c>
      <x:c r="K24" s="101" t="str">
        <x:v>每项任务关联需求、文件、完成定义和验证方式</x:v>
      </x:c>
      <x:c r="L24" s="101" t="str">
        <x:v>依赖 TASK-019</x:v>
      </x:c>
      <x:c r="M24" s="101" t="str">
        <x:v>拆分 P0 实施任务</x:v>
      </x:c>
      <x:c r="N24" s="101" t="str">
        <x:v>M3 实施准备</x:v>
      </x:c>
    </x:row>
    <x:row r="25" ht="38" customHeight="1">
      <x:c r="A25" s="101" t="str">
        <x:v>TASK-021</x:v>
      </x:c>
      <x:c r="B25" s="101" t="str">
        <x:v>生产开发与集成</x:v>
      </x:c>
      <x:c r="C25" s="101" t="str">
        <x:v>实现批准范围内的 P0 生产闭环</x:v>
      </x:c>
      <x:c r="D25" s="101" t="str">
        <x:v>开发／集成</x:v>
      </x:c>
      <x:c r="E25" s="101" t="str">
        <x:v>P0</x:v>
      </x:c>
      <x:c r="F25" s="101" t="str">
        <x:v>技术开发</x:v>
      </x:c>
      <x:c r="G25" s="101" t="str">
        <x:v>BLOCKED</x:v>
      </x:c>
      <x:c r="H25" s="139" t="n">
        <x:v>46293</x:v>
      </x:c>
      <x:c r="I25" s="139" t="n">
        <x:v>46311</x:v>
      </x:c>
      <x:c r="J25" s="104" t="n">
        <x:f>IF(G25="已完成",1,IF(G25="待验收",0.9,IF(G25="进行中",0.5,IF(G25="修复中",0.5,IF(G25="待确认",0.3,0)))))</x:f>
        <x:v>0</x:v>
      </x:c>
      <x:c r="K25" s="101" t="str">
        <x:v>真实后端、权限、附件、消息和审计可运行</x:v>
      </x:c>
      <x:c r="L25" s="101" t="str">
        <x:v>当前 Gate 1／2 未通过</x:v>
      </x:c>
      <x:c r="M25" s="101" t="str">
        <x:v>仅在 TASK-020 完成后启动</x:v>
      </x:c>
      <x:c r="N25" s="101" t="str">
        <x:v>M4 生产实现</x:v>
      </x:c>
    </x:row>
    <x:row r="26" ht="38" customHeight="1">
      <x:c r="A26" s="101" t="str">
        <x:v>TASK-022</x:v>
      </x:c>
      <x:c r="B26" s="101" t="str">
        <x:v>试点主数据与组织准备</x:v>
      </x:c>
      <x:c r="C26" s="101" t="str">
        <x:v>清洗并导入试点主数据</x:v>
      </x:c>
      <x:c r="D26" s="101" t="str">
        <x:v>数据／导入</x:v>
      </x:c>
      <x:c r="E26" s="101" t="str">
        <x:v>P0</x:v>
      </x:c>
      <x:c r="F26" s="101" t="str">
        <x:v>数据负责人／技术开发</x:v>
      </x:c>
      <x:c r="G26" s="101" t="str">
        <x:v>BLOCKED</x:v>
      </x:c>
      <x:c r="H26" s="139" t="n">
        <x:v>46300</x:v>
      </x:c>
      <x:c r="I26" s="139" t="n">
        <x:v>46311</x:v>
      </x:c>
      <x:c r="J26" s="104" t="n">
        <x:f>IF(G26="已完成",1,IF(G26="待验收",0.9,IF(G26="进行中",0.5,IF(G26="修复中",0.5,IF(G26="待确认",0.3,0)))))</x:f>
        <x:v>0</x:v>
      </x:c>
      <x:c r="K26" s="101" t="str">
        <x:v>导入数量、异常和映射均签认</x:v>
      </x:c>
      <x:c r="L26" s="101" t="str">
        <x:v>依赖 TASK-015 和生产环境</x:v>
      </x:c>
      <x:c r="M26" s="101" t="str">
        <x:v>先完成数据质量检查</x:v>
      </x:c>
      <x:c r="N26" s="101" t="str">
        <x:v>M4 生产实现</x:v>
      </x:c>
    </x:row>
    <x:row r="27" ht="38" customHeight="1">
      <x:c r="A27" s="101" t="str">
        <x:v>TASK-023</x:v>
      </x:c>
      <x:c r="B27" s="101" t="str">
        <x:v>UAT、试点与上线</x:v>
      </x:c>
      <x:c r="C27" s="101" t="str">
        <x:v>执行 P0 回归与业务 UAT</x:v>
      </x:c>
      <x:c r="D27" s="101" t="str">
        <x:v>测试／验收</x:v>
      </x:c>
      <x:c r="E27" s="101" t="str">
        <x:v>P0</x:v>
      </x:c>
      <x:c r="F27" s="101" t="str">
        <x:v>测试验收／业务负责人</x:v>
      </x:c>
      <x:c r="G27" s="101" t="str">
        <x:v>BLOCKED</x:v>
      </x:c>
      <x:c r="H27" s="139" t="n">
        <x:v>46314</x:v>
      </x:c>
      <x:c r="I27" s="139" t="n">
        <x:v>46318</x:v>
      </x:c>
      <x:c r="J27" s="104" t="n">
        <x:f>IF(G27="已完成",1,IF(G27="待验收",0.9,IF(G27="进行中",0.5,IF(G27="修复中",0.5,IF(G27="待确认",0.3,0)))))</x:f>
        <x:v>0</x:v>
      </x:c>
      <x:c r="K27" s="101" t="str">
        <x:v>AT-01～AT-07 全部有结果和证据</x:v>
      </x:c>
      <x:c r="L27" s="101" t="str">
        <x:v>依赖 TASK-021～022</x:v>
      </x:c>
      <x:c r="M27" s="101" t="str">
        <x:v>准备 UAT 用例与数据</x:v>
      </x:c>
      <x:c r="N27" s="101" t="str">
        <x:v>M5 UAT</x:v>
      </x:c>
    </x:row>
    <x:row r="28" ht="38" customHeight="1">
      <x:c r="A28" s="101" t="str">
        <x:v>TASK-024</x:v>
      </x:c>
      <x:c r="B28" s="101" t="str">
        <x:v>UAT、试点与上线</x:v>
      </x:c>
      <x:c r="C28" s="101" t="str">
        <x:v>运行 7–10 个工作日试点并闭环问题</x:v>
      </x:c>
      <x:c r="D28" s="101" t="str">
        <x:v>试点</x:v>
      </x:c>
      <x:c r="E28" s="101" t="str">
        <x:v>P0</x:v>
      </x:c>
      <x:c r="F28" s="101" t="str">
        <x:v>业务负责人／试点团队／项目负责人</x:v>
      </x:c>
      <x:c r="G28" s="101" t="str">
        <x:v>BLOCKED</x:v>
      </x:c>
      <x:c r="H28" s="139" t="n">
        <x:v>46321</x:v>
      </x:c>
      <x:c r="I28" s="139" t="n">
        <x:v>46332</x:v>
      </x:c>
      <x:c r="J28" s="104" t="n">
        <x:f>IF(G28="已完成",1,IF(G28="待验收",0.9,IF(G28="进行中",0.5,IF(G28="修复中",0.5,IF(G28="待确认",0.3,0)))))</x:f>
        <x:v>0</x:v>
      </x:c>
      <x:c r="K28" s="101" t="str">
        <x:v>20–30 张工单闭环，责任人与卡点可识别</x:v>
      </x:c>
      <x:c r="L28" s="101" t="str">
        <x:v>依赖 UAT 通过</x:v>
      </x:c>
      <x:c r="M28" s="101" t="str">
        <x:v>建立每日问题台账</x:v>
      </x:c>
      <x:c r="N28" s="101" t="str">
        <x:v>M6 试点</x:v>
      </x:c>
    </x:row>
    <x:row r="29" ht="38" customHeight="1">
      <x:c r="A29" s="101" t="str">
        <x:v>TASK-025</x:v>
      </x:c>
      <x:c r="B29" s="101" t="str">
        <x:v>UAT、试点与上线</x:v>
      </x:c>
      <x:c r="C29" s="101" t="str">
        <x:v>完成上线、操作交接和项目签收</x:v>
      </x:c>
      <x:c r="D29" s="101" t="str">
        <x:v>上线／交接</x:v>
      </x:c>
      <x:c r="E29" s="101" t="str">
        <x:v>P0</x:v>
      </x:c>
      <x:c r="F29" s="101" t="str">
        <x:v>客户项目负责人／产品负责人／客户 IT</x:v>
      </x:c>
      <x:c r="G29" s="101" t="str">
        <x:v>BLOCKED</x:v>
      </x:c>
      <x:c r="H29" s="139" t="n">
        <x:v>46335</x:v>
      </x:c>
      <x:c r="I29" s="139" t="n">
        <x:v>46339</x:v>
      </x:c>
      <x:c r="J29" s="104" t="n">
        <x:f>IF(G29="已完成",1,IF(G29="待验收",0.9,IF(G29="进行中",0.5,IF(G29="修复中",0.5,IF(G29="待确认",0.3,0)))))</x:f>
        <x:v>0</x:v>
      </x:c>
      <x:c r="K29" s="101" t="str">
        <x:v>上线记录、操作手册、运维交接和签收齐全</x:v>
      </x:c>
      <x:c r="L29" s="101" t="str">
        <x:v>依赖试点通过和上线审批</x:v>
      </x:c>
      <x:c r="M29" s="101" t="str">
        <x:v>完成恢复演练与签字</x:v>
      </x:c>
      <x:c r="N29" s="101" t="str">
        <x:v>M7 上线</x:v>
      </x:c>
    </x:row>
    <x:row r="30" ht="7" customHeight="1">
      <x:c r="A30" s="101"/>
      <x:c r="B30" s="101"/>
      <x:c r="C30" s="101"/>
      <x:c r="D30" s="101"/>
      <x:c r="E30" s="101"/>
      <x:c r="F30" s="101"/>
      <x:c r="G30" s="101"/>
      <x:c r="H30" s="139"/>
      <x:c r="I30" s="139"/>
      <x:c r="J30" s="104"/>
      <x:c r="K30" s="101"/>
      <x:c r="L30" s="101"/>
      <x:c r="M30" s="101"/>
      <x:c r="N30" s="101"/>
    </x:row>
    <x:row r="31" ht="7" customHeight="1">
      <x:c r="A31" s="101"/>
      <x:c r="B31" s="101"/>
      <x:c r="C31" s="101"/>
      <x:c r="D31" s="101"/>
      <x:c r="E31" s="101"/>
      <x:c r="F31" s="101"/>
      <x:c r="G31" s="101"/>
      <x:c r="H31" s="139"/>
      <x:c r="I31" s="139"/>
      <x:c r="J31" s="104"/>
      <x:c r="K31" s="101"/>
      <x:c r="L31" s="101"/>
      <x:c r="M31" s="101"/>
      <x:c r="N31" s="101"/>
    </x:row>
    <x:row r="32" ht="7" customHeight="1">
      <x:c r="A32" s="101"/>
      <x:c r="B32" s="101"/>
      <x:c r="C32" s="101"/>
      <x:c r="D32" s="101"/>
      <x:c r="E32" s="101"/>
      <x:c r="F32" s="101"/>
      <x:c r="G32" s="101"/>
      <x:c r="H32" s="139"/>
      <x:c r="I32" s="139"/>
      <x:c r="J32" s="104"/>
      <x:c r="K32" s="101"/>
      <x:c r="L32" s="101"/>
      <x:c r="M32" s="101"/>
      <x:c r="N32" s="101"/>
    </x:row>
    <x:row r="33" ht="7" customHeight="1">
      <x:c r="A33" s="101"/>
      <x:c r="B33" s="101"/>
      <x:c r="C33" s="101"/>
      <x:c r="D33" s="101"/>
      <x:c r="E33" s="101"/>
      <x:c r="F33" s="101"/>
      <x:c r="G33" s="101"/>
      <x:c r="H33" s="139"/>
      <x:c r="I33" s="139"/>
      <x:c r="J33" s="104"/>
      <x:c r="K33" s="101"/>
      <x:c r="L33" s="101"/>
      <x:c r="M33" s="101"/>
      <x:c r="N33" s="101"/>
    </x:row>
    <x:row r="34" ht="7" customHeight="1">
      <x:c r="A34" s="101"/>
      <x:c r="B34" s="101"/>
      <x:c r="C34" s="101"/>
      <x:c r="D34" s="101"/>
      <x:c r="E34" s="101"/>
      <x:c r="F34" s="101"/>
      <x:c r="G34" s="101"/>
      <x:c r="H34" s="139"/>
      <x:c r="I34" s="139"/>
      <x:c r="J34" s="104"/>
      <x:c r="K34" s="101"/>
      <x:c r="L34" s="101"/>
      <x:c r="M34" s="101"/>
      <x:c r="N34" s="101"/>
    </x:row>
    <x:row r="35" ht="7" customHeight="1">
      <x:c r="A35" s="101"/>
      <x:c r="B35" s="101"/>
      <x:c r="C35" s="101"/>
      <x:c r="D35" s="101"/>
      <x:c r="E35" s="101"/>
      <x:c r="F35" s="101"/>
      <x:c r="G35" s="101"/>
      <x:c r="H35" s="139"/>
      <x:c r="I35" s="139"/>
      <x:c r="J35" s="104"/>
      <x:c r="K35" s="101"/>
      <x:c r="L35" s="101"/>
      <x:c r="M35" s="101"/>
      <x:c r="N35" s="101"/>
    </x:row>
    <x:row r="36" ht="7" customHeight="1">
      <x:c r="A36" s="101"/>
      <x:c r="B36" s="101"/>
      <x:c r="C36" s="101"/>
      <x:c r="D36" s="101"/>
      <x:c r="E36" s="101"/>
      <x:c r="F36" s="101"/>
      <x:c r="G36" s="101"/>
      <x:c r="H36" s="139"/>
      <x:c r="I36" s="139"/>
      <x:c r="J36" s="104"/>
      <x:c r="K36" s="101"/>
      <x:c r="L36" s="101"/>
      <x:c r="M36" s="101"/>
      <x:c r="N36" s="101"/>
    </x:row>
    <x:row r="37" ht="7" customHeight="1">
      <x:c r="A37" s="101"/>
      <x:c r="B37" s="101"/>
      <x:c r="C37" s="101"/>
      <x:c r="D37" s="101"/>
      <x:c r="E37" s="101"/>
      <x:c r="F37" s="101"/>
      <x:c r="G37" s="101"/>
      <x:c r="H37" s="139"/>
      <x:c r="I37" s="139"/>
      <x:c r="J37" s="104"/>
      <x:c r="K37" s="101"/>
      <x:c r="L37" s="101"/>
      <x:c r="M37" s="101"/>
      <x:c r="N37" s="101"/>
    </x:row>
    <x:row r="38" ht="7" customHeight="1">
      <x:c r="A38" s="101"/>
      <x:c r="B38" s="101"/>
      <x:c r="C38" s="101"/>
      <x:c r="D38" s="101"/>
      <x:c r="E38" s="101"/>
      <x:c r="F38" s="101"/>
      <x:c r="G38" s="101"/>
      <x:c r="H38" s="139"/>
      <x:c r="I38" s="139"/>
      <x:c r="J38" s="104"/>
      <x:c r="K38" s="101"/>
      <x:c r="L38" s="101"/>
      <x:c r="M38" s="101"/>
      <x:c r="N38" s="101"/>
    </x:row>
    <x:row r="39" ht="7" customHeight="1">
      <x:c r="A39" s="101"/>
      <x:c r="B39" s="101"/>
      <x:c r="C39" s="101"/>
      <x:c r="D39" s="101"/>
      <x:c r="E39" s="101"/>
      <x:c r="F39" s="101"/>
      <x:c r="G39" s="101"/>
      <x:c r="H39" s="139"/>
      <x:c r="I39" s="139"/>
      <x:c r="J39" s="104"/>
      <x:c r="K39" s="101"/>
      <x:c r="L39" s="101"/>
      <x:c r="M39" s="101"/>
      <x:c r="N39" s="101"/>
    </x:row>
    <x:row r="40" ht="7" customHeight="1">
      <x:c r="A40" s="101"/>
      <x:c r="B40" s="101"/>
      <x:c r="C40" s="101"/>
      <x:c r="D40" s="101"/>
      <x:c r="E40" s="101"/>
      <x:c r="F40" s="101"/>
      <x:c r="G40" s="101"/>
      <x:c r="H40" s="139"/>
      <x:c r="I40" s="139"/>
      <x:c r="J40" s="104"/>
      <x:c r="K40" s="101"/>
      <x:c r="L40" s="101"/>
      <x:c r="M40" s="101"/>
      <x:c r="N40" s="101"/>
    </x:row>
    <x:row r="41" ht="7" customHeight="1">
      <x:c r="A41" s="101"/>
      <x:c r="B41" s="101"/>
      <x:c r="C41" s="101"/>
      <x:c r="D41" s="101"/>
      <x:c r="E41" s="101"/>
      <x:c r="F41" s="101"/>
      <x:c r="G41" s="101"/>
      <x:c r="H41" s="139"/>
      <x:c r="I41" s="139"/>
      <x:c r="J41" s="104"/>
      <x:c r="K41" s="101"/>
      <x:c r="L41" s="101"/>
      <x:c r="M41" s="101"/>
      <x:c r="N41" s="101"/>
    </x:row>
    <x:row r="42" ht="7" customHeight="1">
      <x:c r="A42" s="101"/>
      <x:c r="B42" s="101"/>
      <x:c r="C42" s="101"/>
      <x:c r="D42" s="101"/>
      <x:c r="E42" s="101"/>
      <x:c r="F42" s="101"/>
      <x:c r="G42" s="101"/>
      <x:c r="H42" s="139"/>
      <x:c r="I42" s="139"/>
      <x:c r="J42" s="104"/>
      <x:c r="K42" s="101"/>
      <x:c r="L42" s="101"/>
      <x:c r="M42" s="101"/>
      <x:c r="N42" s="101"/>
    </x:row>
    <x:row r="43" ht="7" customHeight="1">
      <x:c r="A43" s="101"/>
      <x:c r="B43" s="101"/>
      <x:c r="C43" s="101"/>
      <x:c r="D43" s="101"/>
      <x:c r="E43" s="101"/>
      <x:c r="F43" s="101"/>
      <x:c r="G43" s="101"/>
      <x:c r="H43" s="139"/>
      <x:c r="I43" s="139"/>
      <x:c r="J43" s="104"/>
      <x:c r="K43" s="101"/>
      <x:c r="L43" s="101"/>
      <x:c r="M43" s="101"/>
      <x:c r="N43" s="101"/>
    </x:row>
    <x:row r="44" ht="7" customHeight="1">
      <x:c r="A44" s="102"/>
      <x:c r="B44" s="102"/>
      <x:c r="C44" s="102"/>
      <x:c r="D44" s="102"/>
      <x:c r="E44" s="102"/>
      <x:c r="F44" s="102"/>
      <x:c r="G44" s="102"/>
      <x:c r="H44" s="140"/>
      <x:c r="I44" s="140"/>
      <x:c r="J44" s="105"/>
      <x:c r="K44" s="102"/>
      <x:c r="L44" s="102"/>
      <x:c r="M44" s="102"/>
      <x:c r="N44" s="102"/>
    </x:row>
  </x:sheetData>
  <x:mergeCells>
    <x:mergeCell ref="A1:N1"/>
    <x:mergeCell ref="A2:N2"/>
  </x:mergeCells>
  <x:conditionalFormatting sqref="G5:G44">
    <x:cfRule type="containsText" dxfId="39" priority="1" operator="containsText" text="已完成"/>
    <x:cfRule type="containsText" dxfId="40" priority="2" operator="containsText" text="PASS"/>
    <x:cfRule type="containsText" dxfId="41" priority="3" operator="containsText" text="基本完成"/>
    <x:cfRule type="containsText" dxfId="42" priority="4" operator="containsText" text="部分完成"/>
    <x:cfRule type="containsText" dxfId="43" priority="5" operator="containsText" text="部分通过"/>
    <x:cfRule type="containsText" dxfId="44" priority="6" operator="containsText" text="修复中"/>
    <x:cfRule type="containsText" dxfId="45" priority="7" operator="containsText" text="待收口"/>
    <x:cfRule type="containsText" dxfId="46" priority="8" operator="containsText" text="待验收"/>
    <x:cfRule type="containsText" dxfId="47" priority="9" operator="containsText" text="待确认"/>
    <x:cfRule type="containsText" dxfId="48" priority="10" operator="containsText" text="待开发"/>
    <x:cfRule type="containsText" dxfId="49" priority="11" operator="containsText" text="BLOCKED"/>
    <x:cfRule type="containsText" dxfId="50" priority="12" operator="containsText" text="未开始"/>
    <x:cfRule type="containsText" dxfId="51" priority="13" operator="containsText" text="未完成"/>
  </x:conditionalFormatting>
  <x:conditionalFormatting sqref="J5:J44">
    <x:cfRule type="dataBar" priority="14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{ECDC0913-999F-C0B7-003C-F875C50478BC}</x14:id>
        </x:ext>
      </x:extLst>
    </x:cfRule>
  </x:conditionalFormatting>
  <x:dataValidations count="5">
    <x:dataValidation type="list" sqref="E5:E44">
      <x:formula1>"P0,P1,P2,P3"</x:formula1>
    </x:dataValidation>
    <x:dataValidation type="list" sqref="F5:F44">
      <x:formula1>"技术开发,测试验收,产品负责人,业务负责人,数据负责人,客户IT运维,技术开发／测试验收,技术开发／产品负责人,数据负责人／业务负责人"</x:formula1>
    </x:dataValidation>
    <x:dataValidation type="list" sqref="G5:G44">
      <x:formula1>"已完成,部分完成,修复中,待开发,待验收,待确认,未开始,BLOCKED"</x:formula1>
    </x:dataValidation>
    <x:dataValidation type="list" sqref="G5:G29">
      <x:formula1>"已完成,待验收,进行中,修复中,待确认,待开始,BLOCKED"</x:formula1>
    </x:dataValidation>
    <x:dataValidation type="list" sqref="E5:E2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d12a90ec1642f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ECDC0913-999F-C0B7-003C-F875C50478BC}">
            <x14:dataBar gradient="1">
              <x14:cfvo type="min"/>
              <x14:cfvo type="max"/>
              <x14:fillColor rgb="FF4F46E5"/>
            </x14:dataBar>
          </x14:cfRule>
          <xm:sqref>J5:J44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38" hidden="0" customWidth="1"/>
    <x:col min="5" max="5" width="14" hidden="0" customWidth="1"/>
    <x:col min="6" max="6" width="44" hidden="0" customWidth="1"/>
    <x:col min="7" max="7" width="32" hidden="0" customWidth="1"/>
    <x:col min="8" max="8" width="26" hidden="0" customWidth="1"/>
  </x:cols>
  <x:sheetData>
    <x:row r="1" ht="34" customHeight="1">
      <x:c r="A1" s="3" t="str">
        <x:v>验收清单</x:v>
      </x:c>
      <x:c r="B1" s="3" t="str">
        <x:v>验收清单</x:v>
      </x:c>
      <x:c r="C1" s="3" t="str">
        <x:v>验收清单</x:v>
      </x:c>
      <x:c r="D1" s="3" t="str">
        <x:v>验收清单</x:v>
      </x:c>
      <x:c r="E1" s="3" t="str">
        <x:v>验收清单</x:v>
      </x:c>
      <x:c r="F1" s="3" t="str">
        <x:v>验收清单</x:v>
      </x:c>
      <x:c r="G1" s="3" t="str">
        <x:v>验收清单</x:v>
      </x:c>
      <x:c r="H1" s="3" t="str">
        <x:v>验收清单</x:v>
      </x:c>
    </x:row>
    <x:row r="2" ht="25" customHeight="1">
      <x:c r="A2" s="113" t="str">
        <x:v>PASS 仅表示对应范围已有可复核证据；“部分通过”仍需关闭缺口后进入最终人工验收。生产上线必须满足 A08、A10、A12～A14。</x:v>
      </x:c>
      <x:c r="B2" s="113" t="str">
        <x:v>PASS 仅表示对应范围已有可复核证据；“部分通过”仍需关闭缺口后进入最终人工验收。生产上线必须满足 A08、A10、A12～A14。</x:v>
      </x:c>
      <x:c r="C2" s="113" t="str">
        <x:v>PASS 仅表示对应范围已有可复核证据；“部分通过”仍需关闭缺口后进入最终人工验收。生产上线必须满足 A08、A10、A12～A14。</x:v>
      </x:c>
      <x:c r="D2" s="113" t="str">
        <x:v>PASS 仅表示对应范围已有可复核证据；“部分通过”仍需关闭缺口后进入最终人工验收。生产上线必须满足 A08、A10、A12～A14。</x:v>
      </x:c>
      <x:c r="E2" s="113" t="str">
        <x:v>PASS 仅表示对应范围已有可复核证据；“部分通过”仍需关闭缺口后进入最终人工验收。生产上线必须满足 A08、A10、A12～A14。</x:v>
      </x:c>
      <x:c r="F2" s="113" t="str">
        <x:v>PASS 仅表示对应范围已有可复核证据；“部分通过”仍需关闭缺口后进入最终人工验收。生产上线必须满足 A08、A10、A12～A14。</x:v>
      </x:c>
      <x:c r="G2" s="113" t="str">
        <x:v>PASS 仅表示对应范围已有可复核证据；“部分通过”仍需关闭缺口后进入最终人工验收。生产上线必须满足 A08、A10、A12～A14。</x:v>
      </x:c>
      <x:c r="H2" s="113" t="str">
        <x:v>PASS 仅表示对应范围已有可复核证据；“部分通过”仍需关闭缺口后进入最终人工验收。生产上线必须满足 A08、A10、A12～A14。</x:v>
      </x:c>
    </x:row>
    <x:row r="3" ht="8" customHeight="1"/>
    <x:row r="4" ht="26" customHeight="1">
      <x:c r="A4" s="90" t="str">
        <x:v>编号</x:v>
      </x:c>
      <x:c r="B4" s="91" t="str">
        <x:v>验收场景</x:v>
      </x:c>
      <x:c r="C4" s="91" t="str">
        <x:v>自动验收内容</x:v>
      </x:c>
      <x:c r="D4" s="91" t="str">
        <x:v>人工验收操作</x:v>
      </x:c>
      <x:c r="E4" s="91" t="str">
        <x:v>当前结果</x:v>
      </x:c>
      <x:c r="F4" s="91" t="str">
        <x:v>证据／说明</x:v>
      </x:c>
      <x:c r="G4" s="91" t="str">
        <x:v>人工配合</x:v>
      </x:c>
      <x:c r="H4" s="92" t="str">
        <x:v>复测触发</x:v>
      </x:c>
    </x:row>
    <x:row r="5" ht="38" customHeight="1">
      <x:c r="A5" s="100" t="str">
        <x:v>A01</x:v>
      </x:c>
      <x:c r="B5" s="100" t="str">
        <x:v>需求与规格完整性</x:v>
      </x:c>
      <x:c r="C5" s="100" t="str">
        <x:v>检查 PRD、详细规格、质量清单和来源追溯</x:v>
      </x:c>
      <x:c r="D5" s="100" t="str">
        <x:v>客户审阅并书面批准</x:v>
      </x:c>
      <x:c r="E5" s="100" t="str">
        <x:v>部分通过</x:v>
      </x:c>
      <x:c r="F5" s="100" t="str">
        <x:v>规格完整性检查已通过，但 PRD 状态仍为待客户确认</x:v>
      </x:c>
      <x:c r="G5" s="100" t="str">
        <x:v>客户业务负责人批准</x:v>
      </x:c>
      <x:c r="H5" s="100" t="str">
        <x:v>TASK-011～013 完成</x:v>
      </x:c>
    </x:row>
    <x:row r="6" ht="38" customHeight="1">
      <x:c r="A6" s="101" t="str">
        <x:v>A02</x:v>
      </x:c>
      <x:c r="B6" s="101" t="str">
        <x:v>一期范围与状态冻结</x:v>
      </x:c>
      <x:c r="C6" s="101" t="str">
        <x:v>核对 P0/P1/P2、7／10 状态及超范围模块</x:v>
      </x:c>
      <x:c r="D6" s="101" t="str">
        <x:v>召开范围确认会</x:v>
      </x:c>
      <x:c r="E6" s="101" t="str">
        <x:v>BLOCKED</x:v>
      </x:c>
      <x:c r="F6" s="101" t="str">
        <x:v>当前仍存在一期边界与扩展原型不一致</x:v>
      </x:c>
      <x:c r="G6" s="101" t="str">
        <x:v>客户业务负责人／产品负责人</x:v>
      </x:c>
      <x:c r="H6" s="101" t="str">
        <x:v>TASK-011～013 完成</x:v>
      </x:c>
    </x:row>
    <x:row r="7" ht="38" customHeight="1">
      <x:c r="A7" s="101" t="str">
        <x:v>A03</x:v>
      </x:c>
      <x:c r="B7" s="101" t="str">
        <x:v>多角色原型评审</x:v>
      </x:c>
      <x:c r="C7" s="101" t="str">
        <x:v>走查 CS、Leader、师傅及管理视图主流程</x:v>
      </x:c>
      <x:c r="D7" s="101" t="str">
        <x:v>按角色执行关键按钮</x:v>
      </x:c>
      <x:c r="E7" s="101" t="str">
        <x:v>部分通过</x:v>
      </x:c>
      <x:c r="F7" s="101" t="str">
        <x:v>原型可演示；当前 ui-prototype 尚需按批准基线复核</x:v>
      </x:c>
      <x:c r="G7" s="101" t="str">
        <x:v>产品负责人／业务代表</x:v>
      </x:c>
      <x:c r="H7" s="101" t="str">
        <x:v>TASK-010／013 完成</x:v>
      </x:c>
    </x:row>
    <x:row r="8" ht="38" customHeight="1">
      <x:c r="A8" s="101" t="str">
        <x:v>A04</x:v>
      </x:c>
      <x:c r="B8" s="101" t="str">
        <x:v>公网原型可访问</x:v>
      </x:c>
      <x:c r="C8" s="101" t="str">
        <x:v>检查 GitHub Pages 部署与 main 版本</x:v>
      </x:c>
      <x:c r="D8" s="101" t="str">
        <x:v>打开公网地址并走查首页</x:v>
      </x:c>
      <x:c r="E8" s="101" t="str">
        <x:v>PASS</x:v>
      </x:c>
      <x:c r="F8" s="101" t="str">
        <x:v>https://jyzdreams.github.io/ECInfoWorkOrder/ui-prototype/；版本 c2d9c4b</x:v>
      </x:c>
      <x:c r="G8" s="101" t="str">
        <x:v>无</x:v>
      </x:c>
      <x:c r="H8" s="101" t="str">
        <x:v>main 或工作流变化时复测</x:v>
      </x:c>
    </x:row>
    <x:row r="9" ht="38" customHeight="1">
      <x:c r="A9" s="101" t="str">
        <x:v>A05</x:v>
      </x:c>
      <x:c r="B9" s="101" t="str">
        <x:v>CS 建单与编号</x:v>
      </x:c>
      <x:c r="C9" s="101" t="str">
        <x:v>检查建单、必填、唯一工单号和推荐 Leader</x:v>
      </x:c>
      <x:c r="D9" s="101" t="str">
        <x:v>普通／政府样例各建一单</x:v>
      </x:c>
      <x:c r="E9" s="101" t="str">
        <x:v>部分通过</x:v>
      </x:c>
      <x:c r="F9" s="101" t="str">
        <x:v>静态原型可演示；政府前缀和真实提交未验证</x:v>
      </x:c>
      <x:c r="G9" s="101" t="str">
        <x:v>提供编号规则和样例</x:v>
      </x:c>
      <x:c r="H9" s="101" t="str">
        <x:v>TASK-012／021 完成</x:v>
      </x:c>
    </x:row>
    <x:row r="10" ht="38" customHeight="1">
      <x:c r="A10" s="101" t="str">
        <x:v>A06</x:v>
      </x:c>
      <x:c r="B10" s="101" t="str">
        <x:v>派单、拒单与改派</x:v>
      </x:c>
      <x:c r="C10" s="101" t="str">
        <x:v>检查待分派→待接单→拒单→再派</x:v>
      </x:c>
      <x:c r="D10" s="101" t="str">
        <x:v>Leader 与师傅完成一轮</x:v>
      </x:c>
      <x:c r="E10" s="101" t="str">
        <x:v>部分通过</x:v>
      </x:c>
      <x:c r="F10" s="101" t="str">
        <x:v>原型可演示；真实账号、通知与操作日志未验证</x:v>
      </x:c>
      <x:c r="G10" s="101" t="str">
        <x:v>提供试点角色账号</x:v>
      </x:c>
      <x:c r="H10" s="101" t="str">
        <x:v>TASK-017／021 完成</x:v>
      </x:c>
    </x:row>
    <x:row r="11" ht="38" customHeight="1">
      <x:c r="A11" s="101" t="str">
        <x:v>A07</x:v>
      </x:c>
      <x:c r="B11" s="101" t="str">
        <x:v>移动端现场闭环</x:v>
      </x:c>
      <x:c r="C11" s="101" t="str">
        <x:v>接单、到场、照片／豁免、结果和完成</x:v>
      </x:c>
      <x:c r="D11" s="101" t="str">
        <x:v>可拍照与不可拍照各一单</x:v>
      </x:c>
      <x:c r="E11" s="101" t="str">
        <x:v>部分通过</x:v>
      </x:c>
      <x:c r="F11" s="101" t="str">
        <x:v>移动原型可演示；照片策略、弱网和存储未验证</x:v>
      </x:c>
      <x:c r="G11" s="101" t="str">
        <x:v>提供不可拍照清单与手机</x:v>
      </x:c>
      <x:c r="H11" s="101" t="str">
        <x:v>TASK-012／018／021 完成</x:v>
      </x:c>
    </x:row>
    <x:row r="12" ht="38" customHeight="1">
      <x:c r="A12" s="101" t="str">
        <x:v>A08</x:v>
      </x:c>
      <x:c r="B12" s="101" t="str">
        <x:v>角色与数据权限</x:v>
      </x:c>
      <x:c r="C12" s="101" t="str">
        <x:v>验证本人／团队／区域／全公司的数据范围</x:v>
      </x:c>
      <x:c r="D12" s="101" t="str">
        <x:v>用真实账号执行越权测试</x:v>
      </x:c>
      <x:c r="E12" s="101" t="str">
        <x:v>BLOCKED</x:v>
      </x:c>
      <x:c r="F12" s="101" t="str">
        <x:v>当前只有原型前端权限矩阵，无真实平台权限证据</x:v>
      </x:c>
      <x:c r="G12" s="101" t="str">
        <x:v>提供 POC 环境与测试账号</x:v>
      </x:c>
      <x:c r="H12" s="101" t="str">
        <x:v>TASK-017 完成</x:v>
      </x:c>
    </x:row>
    <x:row r="13" ht="38" customHeight="1">
      <x:c r="A13" s="101" t="str">
        <x:v>A09</x:v>
      </x:c>
      <x:c r="B13" s="101" t="str">
        <x:v>查询、时间线与审计</x:v>
      </x:c>
      <x:c r="C13" s="101" t="str">
        <x:v>组合筛选并检查全流程动作记录</x:v>
      </x:c>
      <x:c r="D13" s="101" t="str">
        <x:v>抽查至少 3 张不同状态工单</x:v>
      </x:c>
      <x:c r="E13" s="101" t="str">
        <x:v>部分通过</x:v>
      </x:c>
      <x:c r="F13" s="101" t="str">
        <x:v>原型具备列表、详情与记录；生产审计未验证</x:v>
      </x:c>
      <x:c r="G13" s="101" t="str">
        <x:v>准备样例工单</x:v>
      </x:c>
      <x:c r="H13" s="101" t="str">
        <x:v>TASK-021／023 完成</x:v>
      </x:c>
    </x:row>
    <x:row r="14" ht="38" customHeight="1">
      <x:c r="A14" s="101" t="str">
        <x:v>A10</x:v>
      </x:c>
      <x:c r="B14" s="101" t="str">
        <x:v>钉钉／宜搭 POC</x:v>
      </x:c>
      <x:c r="C14" s="101" t="str">
        <x:v>验证免登、消息、移动端、图片和容量</x:v>
      </x:c>
      <x:c r="D14" s="101" t="str">
        <x:v>真实环境完成场景脚本</x:v>
      </x:c>
      <x:c r="E14" s="101" t="str">
        <x:v>BLOCKED</x:v>
      </x:c>
      <x:c r="F14" s="101" t="str">
        <x:v>无宜搭应用、真实账号、容量或网络测试证据</x:v>
      </x:c>
      <x:c r="G14" s="101" t="str">
        <x:v>客户 IT／采购提供环境与许可</x:v>
      </x:c>
      <x:c r="H14" s="101" t="str">
        <x:v>TASK-016～018 完成</x:v>
      </x:c>
    </x:row>
    <x:row r="15" ht="38" customHeight="1">
      <x:c r="A15" s="101" t="str">
        <x:v>A11</x:v>
      </x:c>
      <x:c r="B15" s="101" t="str">
        <x:v>报价采购财务边界</x:v>
      </x:c>
      <x:c r="C15" s="101" t="str">
        <x:v>确认原型扩展功能的一期归属</x:v>
      </x:c>
      <x:c r="D15" s="101" t="str">
        <x:v>逐模块决定纳入或二期</x:v>
      </x:c>
      <x:c r="E15" s="101" t="str">
        <x:v>BLOCKED</x:v>
      </x:c>
      <x:c r="F15" s="101" t="str">
        <x:v>完整演示超过 PRD 一期边界</x:v>
      </x:c>
      <x:c r="G15" s="101" t="str">
        <x:v>客户与产品负责人决策</x:v>
      </x:c>
      <x:c r="H15" s="101" t="str">
        <x:v>TASK-011／013 完成</x:v>
      </x:c>
    </x:row>
    <x:row r="16" ht="38" customHeight="1">
      <x:c r="A16" s="101" t="str">
        <x:v>A12</x:v>
      </x:c>
      <x:c r="B16" s="101" t="str">
        <x:v>试点数据与组织</x:v>
      </x:c>
      <x:c r="C16" s="101" t="str">
        <x:v>核对试点人员、客户、地址、映射和样例</x:v>
      </x:c>
      <x:c r="D16" s="101" t="str">
        <x:v>抽样检查导入数据</x:v>
      </x:c>
      <x:c r="E16" s="101" t="str">
        <x:v>BLOCKED</x:v>
      </x:c>
      <x:c r="F16" s="101" t="str">
        <x:v>试点范围和基础数据尚未提供／签认</x:v>
      </x:c>
      <x:c r="G16" s="101" t="str">
        <x:v>客户提供名单与清单</x:v>
      </x:c>
      <x:c r="H16" s="101" t="str">
        <x:v>TASK-014～015 完成</x:v>
      </x:c>
    </x:row>
    <x:row r="17" ht="38" customHeight="1">
      <x:c r="A17" s="101" t="str">
        <x:v>A13</x:v>
      </x:c>
      <x:c r="B17" s="101" t="str">
        <x:v>生产实现与部署</x:v>
      </x:c>
      <x:c r="C17" s="101" t="str">
        <x:v>检查真实后端、权限、附件、消息、监控和恢复</x:v>
      </x:c>
      <x:c r="D17" s="101" t="str">
        <x:v>执行集成、性能与恢复测试</x:v>
      </x:c>
      <x:c r="E17" s="101" t="str">
        <x:v>BLOCKED</x:v>
      </x:c>
      <x:c r="F17" s="101" t="str">
        <x:v>当前仓库只有静态原型，无生产实施证据</x:v>
      </x:c>
      <x:c r="G17" s="101" t="str">
        <x:v>批准 PRD、POC 与实施资源</x:v>
      </x:c>
      <x:c r="H17" s="101" t="str">
        <x:v>TASK-019～022 完成</x:v>
      </x:c>
    </x:row>
    <x:row r="18" ht="38" customHeight="1">
      <x:c r="A18" s="101" t="str">
        <x:v>A14</x:v>
      </x:c>
      <x:c r="B18" s="101" t="str">
        <x:v>UAT、试点与上线</x:v>
      </x:c>
      <x:c r="C18" s="101" t="str">
        <x:v>执行 AT-01～AT-07、7–10 日试点与签收</x:v>
      </x:c>
      <x:c r="D18" s="101" t="str">
        <x:v>业务、IT 与试点团队联合验收</x:v>
      </x:c>
      <x:c r="E18" s="101" t="str">
        <x:v>BLOCKED</x:v>
      </x:c>
      <x:c r="F18" s="101" t="str">
        <x:v>无 UAT、试点、问题闭环或上线签收记录</x:v>
      </x:c>
      <x:c r="G18" s="101" t="str">
        <x:v>业务／IT 共同参与</x:v>
      </x:c>
      <x:c r="H18" s="101" t="str">
        <x:v>TASK-023～025 完成</x:v>
      </x:c>
    </x:row>
    <x:row r="19" ht="7" customHeight="1">
      <x:c r="A19" s="101"/>
      <x:c r="B19" s="101"/>
      <x:c r="C19" s="101"/>
      <x:c r="D19" s="101"/>
      <x:c r="E19" s="101"/>
      <x:c r="F19" s="101"/>
      <x:c r="G19" s="101"/>
      <x:c r="H19" s="101"/>
    </x:row>
    <x:row r="20" ht="7" customHeight="1">
      <x:c r="A20" s="102"/>
      <x:c r="B20" s="102"/>
      <x:c r="C20" s="102"/>
      <x:c r="D20" s="102"/>
      <x:c r="E20" s="102"/>
      <x:c r="F20" s="102"/>
      <x:c r="G20" s="102"/>
      <x:c r="H20" s="102"/>
    </x:row>
  </x:sheetData>
  <x:mergeCells>
    <x:mergeCell ref="A1:H1"/>
    <x:mergeCell ref="A2:H2"/>
  </x:mergeCells>
  <x:conditionalFormatting sqref="E5:E20">
    <x:cfRule type="containsText" dxfId="52" priority="1" operator="containsText" text="已完成"/>
    <x:cfRule type="containsText" dxfId="53" priority="2" operator="containsText" text="PASS"/>
    <x:cfRule type="containsText" dxfId="54" priority="3" operator="containsText" text="基本完成"/>
    <x:cfRule type="containsText" dxfId="55" priority="4" operator="containsText" text="部分完成"/>
    <x:cfRule type="containsText" dxfId="56" priority="5" operator="containsText" text="部分通过"/>
    <x:cfRule type="containsText" dxfId="57" priority="6" operator="containsText" text="修复中"/>
    <x:cfRule type="containsText" dxfId="58" priority="7" operator="containsText" text="待收口"/>
    <x:cfRule type="containsText" dxfId="59" priority="8" operator="containsText" text="待验收"/>
    <x:cfRule type="containsText" dxfId="60" priority="9" operator="containsText" text="待确认"/>
    <x:cfRule type="containsText" dxfId="61" priority="10" operator="containsText" text="待开发"/>
    <x:cfRule type="containsText" dxfId="62" priority="11" operator="containsText" text="BLOCKED"/>
    <x:cfRule type="containsText" dxfId="63" priority="12" operator="containsText" text="未开始"/>
    <x:cfRule type="containsText" dxfId="64" priority="13" operator="containsText" text="未完成"/>
  </x:conditionalFormatting>
  <x:dataValidations count="2">
    <x:dataValidation type="list" sqref="E5:E20">
      <x:formula1>"PASS,部分通过,待验收,BLOCKED"</x:formula1>
    </x:dataValidation>
    <x:dataValidation type="list" sqref="E5:E18">
      <x:formula1>"PASS,部分通过,待确认,BLOCKED"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99a982b77b4b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5" hidden="0" customWidth="1"/>
    <x:col min="4" max="4" width="14" hidden="0" customWidth="1"/>
    <x:col min="5" max="5" width="32" hidden="0" customWidth="1"/>
    <x:col min="6" max="6" width="43" hidden="0" customWidth="1"/>
    <x:col min="7" max="7" width="50" hidden="0" customWidth="1"/>
    <x:col min="8" max="8" width="34" hidden="0" customWidth="1"/>
  </x:cols>
  <x:sheetData>
    <x:row r="1" ht="34" customHeight="1">
      <x:c r="A1" s="3" t="str">
        <x:v>待确认事项与上线门槛</x:v>
      </x:c>
      <x:c r="B1" s="3" t="str">
        <x:v>待确认事项与上线门槛</x:v>
      </x:c>
      <x:c r="C1" s="3" t="str">
        <x:v>待确认事项与上线门槛</x:v>
      </x:c>
      <x:c r="D1" s="3" t="str">
        <x:v>待确认事项与上线门槛</x:v>
      </x:c>
      <x:c r="E1" s="3" t="str">
        <x:v>待确认事项与上线门槛</x:v>
      </x:c>
      <x:c r="F1" s="3" t="str">
        <x:v>待确认事项与上线门槛</x:v>
      </x:c>
      <x:c r="G1" s="3" t="str">
        <x:v>待确认事项与上线门槛</x:v>
      </x:c>
      <x:c r="H1" s="3" t="str">
        <x:v>待确认事项与上线门槛</x:v>
      </x:c>
    </x:row>
    <x:row r="2" ht="25" customHeight="1">
      <x:c r="A2" s="113" t="str">
        <x:v>只列会改变开发结果、阻塞 POC／数据签收或阻塞生产上线的事项；确认后直接更新本表，并同步推进明细。</x:v>
      </x:c>
      <x:c r="B2" s="113" t="str">
        <x:v>只列会改变开发结果、阻塞 POC／数据签收或阻塞生产上线的事项；确认后直接更新本表，并同步推进明细。</x:v>
      </x:c>
      <x:c r="C2" s="113" t="str">
        <x:v>只列会改变开发结果、阻塞 POC／数据签收或阻塞生产上线的事项；确认后直接更新本表，并同步推进明细。</x:v>
      </x:c>
      <x:c r="D2" s="113" t="str">
        <x:v>只列会改变开发结果、阻塞 POC／数据签收或阻塞生产上线的事项；确认后直接更新本表，并同步推进明细。</x:v>
      </x:c>
      <x:c r="E2" s="113" t="str">
        <x:v>只列会改变开发结果、阻塞 POC／数据签收或阻塞生产上线的事项；确认后直接更新本表，并同步推进明细。</x:v>
      </x:c>
      <x:c r="F2" s="113" t="str">
        <x:v>只列会改变开发结果、阻塞 POC／数据签收或阻塞生产上线的事项；确认后直接更新本表，并同步推进明细。</x:v>
      </x:c>
      <x:c r="G2" s="113" t="str">
        <x:v>只列会改变开发结果、阻塞 POC／数据签收或阻塞生产上线的事项；确认后直接更新本表，并同步推进明细。</x:v>
      </x:c>
      <x:c r="H2" s="113" t="str">
        <x:v>只列会改变开发结果、阻塞 POC／数据签收或阻塞生产上线的事项；确认后直接更新本表，并同步推进明细。</x:v>
      </x:c>
    </x:row>
    <x:row r="3" ht="8" customHeight="1"/>
    <x:row r="4" ht="26" customHeight="1">
      <x:c r="A4" s="90" t="str">
        <x:v>事项ID</x:v>
      </x:c>
      <x:c r="B4" s="91" t="str">
        <x:v>类别</x:v>
      </x:c>
      <x:c r="C4" s="91" t="str">
        <x:v>待确认／门槛</x:v>
      </x:c>
      <x:c r="D4" s="91" t="str">
        <x:v>状态</x:v>
      </x:c>
      <x:c r="E4" s="91" t="str">
        <x:v>责任方</x:v>
      </x:c>
      <x:c r="F4" s="91" t="str">
        <x:v>影响</x:v>
      </x:c>
      <x:c r="G4" s="91" t="str">
        <x:v>需要提供的资料／动作</x:v>
      </x:c>
      <x:c r="H4" s="92" t="str">
        <x:v>完成后影响</x:v>
      </x:c>
    </x:row>
    <x:row r="5" ht="42" customHeight="1">
      <x:c r="A5" s="100" t="str">
        <x:v>PEND-01</x:v>
      </x:c>
      <x:c r="B5" s="100" t="str">
        <x:v>项目治理</x:v>
      </x:c>
      <x:c r="C5" s="100" t="str">
        <x:v>确认项目负责人、业务负责人、技术负责人及周例会节奏</x:v>
      </x:c>
      <x:c r="D5" s="100" t="str">
        <x:v>待确认</x:v>
      </x:c>
      <x:c r="E5" s="100" t="str">
        <x:v>客户项目负责人／交付负责人</x:v>
      </x:c>
      <x:c r="F5" s="100" t="str">
        <x:v>当前责任方只能按角色标注</x:v>
      </x:c>
      <x:c r="G5" s="100" t="str">
        <x:v>负责人姓名、每周投入、例会时间和决策机制</x:v>
      </x:c>
      <x:c r="H5" s="100" t="str">
        <x:v>锁定推进明细责任人与日期</x:v>
      </x:c>
    </x:row>
    <x:row r="6" ht="42" customHeight="1">
      <x:c r="A6" s="101" t="str">
        <x:v>PEND-02</x:v>
      </x:c>
      <x:c r="B6" s="101" t="str">
        <x:v>一期范围</x:v>
      </x:c>
      <x:c r="C6" s="101" t="str">
        <x:v>确认 P0/P1/P2 及报价、采购、财务扩展模块归属</x:v>
      </x:c>
      <x:c r="D6" s="101" t="str">
        <x:v>待确认</x:v>
      </x:c>
      <x:c r="E6" s="101" t="str">
        <x:v>客户业务负责人／产品负责人</x:v>
      </x:c>
      <x:c r="F6" s="101" t="str">
        <x:v>阻塞 PRD 批准与原型收口</x:v>
      </x:c>
      <x:c r="G6" s="101" t="str">
        <x:v>范围决策表、演示清单、书面确认</x:v>
      </x:c>
      <x:c r="H6" s="101" t="str">
        <x:v>关闭 A02／A11</x:v>
      </x:c>
    </x:row>
    <x:row r="7" ht="42" customHeight="1">
      <x:c r="A7" s="101" t="str">
        <x:v>PEND-03</x:v>
      </x:c>
      <x:c r="B7" s="101" t="str">
        <x:v>状态模型</x:v>
      </x:c>
      <x:c r="C7" s="101" t="str">
        <x:v>确认一期采用 7 状态 MVP 还是 10 状态模型</x:v>
      </x:c>
      <x:c r="D7" s="101" t="str">
        <x:v>待确认</x:v>
      </x:c>
      <x:c r="E7" s="101" t="str">
        <x:v>客户业务负责人／产品负责人</x:v>
      </x:c>
      <x:c r="F7" s="101" t="str">
        <x:v>影响页面、按钮、权限、统计和验收</x:v>
      </x:c>
      <x:c r="G7" s="101" t="str">
        <x:v>状态矩阵、角色动作和终态定义</x:v>
      </x:c>
      <x:c r="H7" s="101" t="str">
        <x:v>启动 TASK-013</x:v>
      </x:c>
    </x:row>
    <x:row r="8" ht="42" customHeight="1">
      <x:c r="A8" s="101" t="str">
        <x:v>PEND-04</x:v>
      </x:c>
      <x:c r="B8" s="101" t="str">
        <x:v>业务规则</x:v>
      </x:c>
      <x:c r="C8" s="101" t="str">
        <x:v>确认 PM/CM、普通／政府编号和政府前缀</x:v>
      </x:c>
      <x:c r="D8" s="101" t="str">
        <x:v>待确认</x:v>
      </x:c>
      <x:c r="E8" s="101" t="str">
        <x:v>CS／Leader／客户业务负责人</x:v>
      </x:c>
      <x:c r="F8" s="101" t="str">
        <x:v>阻塞建单、派单和报表口径</x:v>
      </x:c>
      <x:c r="G8" s="101" t="str">
        <x:v>PM/CM 样例、编号规则和前缀表</x:v>
      </x:c>
      <x:c r="H8" s="101" t="str">
        <x:v>完成 A05</x:v>
      </x:c>
    </x:row>
    <x:row r="9" ht="42" customHeight="1">
      <x:c r="A9" s="101" t="str">
        <x:v>PEND-05</x:v>
      </x:c>
      <x:c r="B9" s="101" t="str">
        <x:v>现场规则</x:v>
      </x:c>
      <x:c r="C9" s="101" t="str">
        <x:v>确认 Leader 完工、照片必填、不可拍照清单与替代证明</x:v>
      </x:c>
      <x:c r="D9" s="101" t="str">
        <x:v>待确认</x:v>
      </x:c>
      <x:c r="E9" s="101" t="str">
        <x:v>Leader／业务负责人／合规</x:v>
      </x:c>
      <x:c r="F9" s="101" t="str">
        <x:v>阻塞移动端校验和完成状态</x:v>
      </x:c>
      <x:c r="G9" s="101" t="str">
        <x:v>不可拍照清单、豁免人和证明要求</x:v>
      </x:c>
      <x:c r="H9" s="101" t="str">
        <x:v>完成 A07</x:v>
      </x:c>
    </x:row>
    <x:row r="10" ht="42" customHeight="1">
      <x:c r="A10" s="101" t="str">
        <x:v>PEND-06</x:v>
      </x:c>
      <x:c r="B10" s="101" t="str">
        <x:v>试点组织</x:v>
      </x:c>
      <x:c r="C10" s="101" t="str">
        <x:v>确认 1 个区域及 CS、Leader、师傅试点名单</x:v>
      </x:c>
      <x:c r="D10" s="101" t="str">
        <x:v>待确认</x:v>
      </x:c>
      <x:c r="E10" s="101" t="str">
        <x:v>客户项目负责人</x:v>
      </x:c>
      <x:c r="F10" s="101" t="str">
        <x:v>阻塞真实权限和流程验证</x:v>
      </x:c>
      <x:c r="G10" s="101" t="str">
        <x:v>人员姓名、账号、角色、区域和可用时段</x:v>
      </x:c>
      <x:c r="H10" s="101" t="str">
        <x:v>启动 TASK-014／017</x:v>
      </x:c>
    </x:row>
    <x:row r="11" ht="42" customHeight="1">
      <x:c r="A11" s="101" t="str">
        <x:v>PEND-07</x:v>
      </x:c>
      <x:c r="B11" s="101" t="str">
        <x:v>主数据</x:v>
      </x:c>
      <x:c r="C11" s="101" t="str">
        <x:v>提供客户、地址、区域、团队、人员技能和 20–30 张样例工单</x:v>
      </x:c>
      <x:c r="D11" s="101" t="str">
        <x:v>待确认</x:v>
      </x:c>
      <x:c r="E11" s="101" t="str">
        <x:v>客户数据负责人／业务负责人</x:v>
      </x:c>
      <x:c r="F11" s="101" t="str">
        <x:v>阻塞推荐派单、数据导入和 UAT</x:v>
      </x:c>
      <x:c r="G11" s="101" t="str">
        <x:v>数据模板、业务主键、去重规则和异常负责人</x:v>
      </x:c>
      <x:c r="H11" s="101" t="str">
        <x:v>启动 TASK-015／022</x:v>
      </x:c>
    </x:row>
    <x:row r="12" ht="42" customHeight="1">
      <x:c r="A12" s="101" t="str">
        <x:v>PEND-08</x:v>
      </x:c>
      <x:c r="B12" s="101" t="str">
        <x:v>平台资源</x:v>
      </x:c>
      <x:c r="C12" s="101" t="str">
        <x:v>确认钉钉／宜搭许可、近 800 人账号、附件容量和 POC 环境</x:v>
      </x:c>
      <x:c r="D12" s="101" t="str">
        <x:v>待确认</x:v>
      </x:c>
      <x:c r="E12" s="101" t="str">
        <x:v>客户 IT／采购</x:v>
      </x:c>
      <x:c r="F12" s="101" t="str">
        <x:v>阻塞 POC、消息、图片与生产方案</x:v>
      </x:c>
      <x:c r="G12" s="101" t="str">
        <x:v>许可版本、账号上限、存储、网络和测试账号</x:v>
      </x:c>
      <x:c r="H12" s="101" t="str">
        <x:v>启动 TASK-016～018</x:v>
      </x:c>
    </x:row>
    <x:row r="13" ht="42" customHeight="1">
      <x:c r="A13" s="101" t="str">
        <x:v>PEND-09</x:v>
      </x:c>
      <x:c r="B13" s="101" t="str">
        <x:v>通知与归档</x:v>
      </x:c>
      <x:c r="C13" s="101" t="str">
        <x:v>确认通知渠道、图片在线保存期限及归档策略</x:v>
      </x:c>
      <x:c r="D13" s="101" t="str">
        <x:v>待确认</x:v>
      </x:c>
      <x:c r="E13" s="101" t="str">
        <x:v>客户 IT／业务负责人</x:v>
      </x:c>
      <x:c r="F13" s="101" t="str">
        <x:v>影响消息集成、容量成本和运维</x:v>
      </x:c>
      <x:c r="G13" s="101" t="str">
        <x:v>通知对象／渠道、照片量、保留周期和归档位置</x:v>
      </x:c>
      <x:c r="H13" s="101" t="str">
        <x:v>完善 POC 场景与方案</x:v>
      </x:c>
    </x:row>
    <x:row r="14" ht="42" customHeight="1">
      <x:c r="A14" s="101" t="str">
        <x:v>GATE-01</x:v>
      </x:c>
      <x:c r="B14" s="101" t="str">
        <x:v>需求门槛</x:v>
      </x:c>
      <x:c r="C14" s="101" t="str">
        <x:v>一期范围、角色、流程、状态、字段和验收标准批准</x:v>
      </x:c>
      <x:c r="D14" s="101" t="str">
        <x:v>未完成</x:v>
      </x:c>
      <x:c r="E14" s="101" t="str">
        <x:v>客户业务负责人／产品负责人</x:v>
      </x:c>
      <x:c r="F14" s="101" t="str">
        <x:v>未满足不得进入生产实施计划</x:v>
      </x:c>
      <x:c r="G14" s="101" t="str">
        <x:v>PEND-02～05 关闭，PRD 状态为已批准</x:v>
      </x:c>
      <x:c r="H14" s="101" t="str">
        <x:v>进入 Gate 2</x:v>
      </x:c>
    </x:row>
    <x:row r="15" ht="42" customHeight="1">
      <x:c r="A15" s="101" t="str">
        <x:v>GATE-02</x:v>
      </x:c>
      <x:c r="B15" s="101" t="str">
        <x:v>原型门槛</x:v>
      </x:c>
      <x:c r="C15" s="101" t="str">
        <x:v>当前原型与批准范围一致，主流程和关键状态评审通过</x:v>
      </x:c>
      <x:c r="D15" s="101" t="str">
        <x:v>进行中</x:v>
      </x:c>
      <x:c r="E15" s="101" t="str">
        <x:v>产品负责人／测试验收／业务代表</x:v>
      </x:c>
      <x:c r="F15" s="101" t="str">
        <x:v>未满足不能作为 POC 验收基线</x:v>
      </x:c>
      <x:c r="G15" s="101" t="str">
        <x:v>TASK-010／013 和 A03 通过</x:v>
      </x:c>
      <x:c r="H15" s="101" t="str">
        <x:v>进入 Gate 3</x:v>
      </x:c>
    </x:row>
    <x:row r="16" ht="42" customHeight="1">
      <x:c r="A16" s="101" t="str">
        <x:v>GATE-03</x:v>
      </x:c>
      <x:c r="B16" s="101" t="str">
        <x:v>POC 门槛</x:v>
      </x:c>
      <x:c r="C16" s="101" t="str">
        <x:v>真实账号、权限、消息、移动端、照片和容量验证通过</x:v>
      </x:c>
      <x:c r="D16" s="101" t="str">
        <x:v>BLOCKED</x:v>
      </x:c>
      <x:c r="E16" s="101" t="str">
        <x:v>客户 IT／技术开发／测试验收</x:v>
      </x:c>
      <x:c r="F16" s="101" t="str">
        <x:v>未满足不得制定生产方案承诺</x:v>
      </x:c>
      <x:c r="G16" s="101" t="str">
        <x:v>TASK-014～018 和 A08／A10／A12 通过</x:v>
      </x:c>
      <x:c r="H16" s="101" t="str">
        <x:v>允许完善 plan.md</x:v>
      </x:c>
    </x:row>
    <x:row r="17" ht="42" customHeight="1">
      <x:c r="A17" s="101" t="str">
        <x:v>GATE-04</x:v>
      </x:c>
      <x:c r="B17" s="101" t="str">
        <x:v>开发门槛</x:v>
      </x:c>
      <x:c r="C17" s="101" t="str">
        <x:v>Feature 包完整，P0 生产实现与集成测试通过</x:v>
      </x:c>
      <x:c r="D17" s="101" t="str">
        <x:v>BLOCKED</x:v>
      </x:c>
      <x:c r="E17" s="101" t="str">
        <x:v>技术负责人／技术开发</x:v>
      </x:c>
      <x:c r="F17" s="101" t="str">
        <x:v>未满足不能进入 UAT</x:v>
      </x:c>
      <x:c r="G17" s="101" t="str">
        <x:v>TASK-019～022 和 A13 通过</x:v>
      </x:c>
      <x:c r="H17" s="101" t="str">
        <x:v>允许业务 UAT</x:v>
      </x:c>
    </x:row>
    <x:row r="18" ht="42" customHeight="1">
      <x:c r="A18" s="102" t="str">
        <x:v>GATE-05</x:v>
      </x:c>
      <x:c r="B18" s="102" t="str">
        <x:v>验收门槛</x:v>
      </x:c>
      <x:c r="C18" s="102" t="str">
        <x:v>AT-01～AT-07 和 7–10 日试点全部通过</x:v>
      </x:c>
      <x:c r="D18" s="102" t="str">
        <x:v>BLOCKED</x:v>
      </x:c>
      <x:c r="E18" s="102" t="str">
        <x:v>测试验收／业务负责人／试点团队</x:v>
      </x:c>
      <x:c r="F18" s="102" t="str">
        <x:v>未满足不能生产上线</x:v>
      </x:c>
      <x:c r="G18" s="102" t="str">
        <x:v>TASK-023～024 和 A14 通过</x:v>
      </x:c>
      <x:c r="H18" s="102" t="str">
        <x:v>允许上线审批</x:v>
      </x:c>
    </x:row>
    <x:row r="19" ht="42" customHeight="1">
      <x:c r="A19" s="162" t="str">
        <x:v>GATE-06</x:v>
      </x:c>
      <x:c r="B19" s="162" t="str">
        <x:v>上线门槛</x:v>
      </x:c>
      <x:c r="C19" s="162" t="str">
        <x:v>生产切换、操作交接、恢复演练和项目签收完成</x:v>
      </x:c>
      <x:c r="D19" s="162" t="str">
        <x:v>BLOCKED</x:v>
      </x:c>
      <x:c r="E19" s="162" t="str">
        <x:v>客户项目负责人／客户 IT／产品负责人</x:v>
      </x:c>
      <x:c r="F19" s="162" t="str">
        <x:v>未满足项目不能标记 100%</x:v>
      </x:c>
      <x:c r="G19" s="162" t="str">
        <x:v>TASK-025、手册、上线记录和签字材料</x:v>
      </x:c>
      <x:c r="H19" s="162" t="str">
        <x:v>项目完成</x:v>
      </x:c>
    </x:row>
  </x:sheetData>
  <x:mergeCells>
    <x:mergeCell ref="A1:H1"/>
    <x:mergeCell ref="A2:H2"/>
  </x:mergeCells>
  <x:conditionalFormatting sqref="D5:D18">
    <x:cfRule type="containsText" dxfId="65" priority="1" operator="containsText" text="已完成"/>
    <x:cfRule type="containsText" dxfId="66" priority="2" operator="containsText" text="PASS"/>
    <x:cfRule type="containsText" dxfId="67" priority="3" operator="containsText" text="基本完成"/>
    <x:cfRule type="containsText" dxfId="68" priority="4" operator="containsText" text="部分完成"/>
    <x:cfRule type="containsText" dxfId="69" priority="5" operator="containsText" text="部分通过"/>
    <x:cfRule type="containsText" dxfId="70" priority="6" operator="containsText" text="修复中"/>
    <x:cfRule type="containsText" dxfId="71" priority="7" operator="containsText" text="待收口"/>
    <x:cfRule type="containsText" dxfId="72" priority="8" operator="containsText" text="待验收"/>
    <x:cfRule type="containsText" dxfId="73" priority="9" operator="containsText" text="待确认"/>
    <x:cfRule type="containsText" dxfId="74" priority="10" operator="containsText" text="待开发"/>
    <x:cfRule type="containsText" dxfId="75" priority="11" operator="containsText" text="BLOCKED"/>
    <x:cfRule type="containsText" dxfId="76" priority="12" operator="containsText" text="未开始"/>
    <x:cfRule type="containsText" dxfId="77" priority="13" operator="containsText" text="未完成"/>
  </x:conditionalFormatting>
  <x:dataValidations count="2">
    <x:dataValidation type="list" sqref="D5:D18">
      <x:formula1>"已完成,待确认,未完成,BLOCKED"</x:formula1>
    </x:dataValidation>
    <x:dataValidation type="list" sqref="D5:D19">
      <x:formula1>"已完成,进行中,未完成,待确认,BLOCKED"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dc8795e64e4777"/>
  </x:tableParts>
</x:worksheet>
</file>
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一页总览" sheetId="1" r:id="rId1"/>
    <sheet name="功能清单" sheetId="2" r:id="rId2"/>
    <sheet name="推进路线" sheetId="3" r:id="rId3"/>
    <sheet name="客户确认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<sst xmlns="http://schemas.openxmlformats.org/spreadsheetml/2006/main" count="919" uniqueCount="518">
  <si>
    <t>EC 工单系统｜项目推进总表（按原型功能梳理版）</t>
  </si>
  <si>
    <t>更新日期：2026-08-31｜原型能力与生产实施进度分开统计</t>
  </si>
  <si>
    <t>关键数字</t>
  </si>
  <si>
    <t>项目实施进度</t>
  </si>
  <si>
    <t>当前阶段</t>
  </si>
  <si>
    <t>已梳理具体功能</t>
  </si>
  <si>
    <t>原型可演示覆盖</t>
  </si>
  <si>
    <t xml:space="preserve">原型评审
</t>
  </si>
  <si>
    <t>按原型页面整理的业务域</t>
  </si>
  <si>
    <t>业务域</t>
  </si>
  <si>
    <t>原型页面</t>
  </si>
  <si>
    <t>具体功能数</t>
  </si>
  <si>
    <t>原型状态</t>
  </si>
  <si>
    <t>建议范围</t>
  </si>
  <si>
    <t>权重</t>
  </si>
  <si>
    <t>实施进度</t>
  </si>
  <si>
    <t>下一步</t>
  </si>
  <si>
    <t>首页与待办</t>
  </si>
  <si>
    <t>首页</t>
  </si>
  <si>
    <t>可演示</t>
  </si>
  <si>
    <t>P0 一期</t>
  </si>
  <si>
    <t>完成客户评审并确认首页指标口径</t>
  </si>
  <si>
    <t>CALL受理与工单管理</t>
  </si>
  <si>
    <t>CALL管理</t>
  </si>
  <si>
    <t>确认建单、编号、状态与关闭规则</t>
  </si>
  <si>
    <t>分派与调度</t>
  </si>
  <si>
    <t>分派中心</t>
  </si>
  <si>
    <t>准备试点组织并验证真实账号权限</t>
  </si>
  <si>
    <t>移动现场执行</t>
  </si>
  <si>
    <t>移动端</t>
  </si>
  <si>
    <t>确认照片与单据规则，完成真机POC</t>
  </si>
  <si>
    <t>报告与文档</t>
  </si>
  <si>
    <t>报告管理</t>
  </si>
  <si>
    <t>确认SR/完工单模板及发送方式</t>
  </si>
  <si>
    <t>客户、用户与基础设置</t>
  </si>
  <si>
    <t>基础设置</t>
  </si>
  <si>
    <t>P0/P1</t>
  </si>
  <si>
    <t>确认主数据字段、角色及导入模板</t>
  </si>
  <si>
    <t>统计与提醒</t>
  </si>
  <si>
    <t>统计报表/通知</t>
  </si>
  <si>
    <t>确认一期统计指标与提醒范围</t>
  </si>
  <si>
    <t>报价、标书与备货</t>
  </si>
  <si>
    <t>报价/标书/备货</t>
  </si>
  <si>
    <t>P2 待确认</t>
  </si>
  <si>
    <t>确认是否纳入一期或转入二期</t>
  </si>
  <si>
    <t>会计与外部接口</t>
  </si>
  <si>
    <t>会计管理/接口</t>
  </si>
  <si>
    <t>流程可演示</t>
  </si>
  <si>
    <t>确认财务边界及Peachtree接口方案</t>
  </si>
  <si>
    <t>阅读说明</t>
  </si>
  <si>
    <t>原型状态表示页面和交互在静态原型中是否可演示；实施进度表示需求确认、POC、生产开发、真实数据、权限、接口和验收的综合完成情况，两者不能等同。</t>
  </si>
  <si>
    <t>当前建议：一期聚焦首页、CALL、分派、移动执行、报告、基础主数据及必要统计；报价、标书、备货、会计和Peachtree接口单独确认是否进入二期。</t>
  </si>
  <si>
    <t>原型功能清单｜具体功能逐项梳理</t>
  </si>
  <si>
    <t>编号</t>
  </si>
  <si>
    <t>具体功能</t>
  </si>
  <si>
    <t>主要角色</t>
  </si>
  <si>
    <t>实施状态</t>
  </si>
  <si>
    <t>客户确认点</t>
  </si>
  <si>
    <t>F001</t>
  </si>
  <si>
    <t>按状态查看CALL总数与状态分布</t>
  </si>
  <si>
    <t>全部角色</t>
  </si>
  <si>
    <t>P0</t>
  </si>
  <si>
    <t>待范围确认</t>
  </si>
  <si>
    <t>确认首页状态口径</t>
  </si>
  <si>
    <t>一期采用7状态还是扩展状态</t>
  </si>
  <si>
    <t>F002</t>
  </si>
  <si>
    <t>查看今日待办并跳转对应工单</t>
  </si>
  <si>
    <t>CS、主管、管理层</t>
  </si>
  <si>
    <t>确认不同角色待办范围</t>
  </si>
  <si>
    <t>本人/团队/区域待办范围</t>
  </si>
  <si>
    <t>F003</t>
  </si>
  <si>
    <t>查看异常CALL、紧急与需关注事项</t>
  </si>
  <si>
    <t>确认异常判定规则</t>
  </si>
  <si>
    <t>紧急、拒单、超时如何定义</t>
  </si>
  <si>
    <t>F004</t>
  </si>
  <si>
    <t>查看最近业务动态与工单时间线入口</t>
  </si>
  <si>
    <t>确认首页展示数量</t>
  </si>
  <si>
    <t>是否按本人/团队过滤</t>
  </si>
  <si>
    <t>F005</t>
  </si>
  <si>
    <t>查看最近来电与全部来电记录</t>
  </si>
  <si>
    <t>CS、管理层</t>
  </si>
  <si>
    <t>确认来电记录保留字段</t>
  </si>
  <si>
    <t>来电类型及保留周期</t>
  </si>
  <si>
    <t>F006</t>
  </si>
  <si>
    <t>记录来电并判断仅答疑或创建工单</t>
  </si>
  <si>
    <t>CS</t>
  </si>
  <si>
    <t>确认来电转工单规则</t>
  </si>
  <si>
    <t>仅答疑/建单/投诉分类</t>
  </si>
  <si>
    <t>F007</t>
  </si>
  <si>
    <t>新建工单、保存草稿与提交</t>
  </si>
  <si>
    <t>确认必填项和草稿规则</t>
  </si>
  <si>
    <t>哪些角色可建单</t>
  </si>
  <si>
    <t>F008</t>
  </si>
  <si>
    <t>选择客户类型、客户与联系人并自动带入资料</t>
  </si>
  <si>
    <t>CS、CR</t>
  </si>
  <si>
    <t>待数据准备</t>
  </si>
  <si>
    <t>准备客户与联系人主数据</t>
  </si>
  <si>
    <t>客户主键及联系人字段</t>
  </si>
  <si>
    <t>F009</t>
  </si>
  <si>
    <t>填写CALL代码、工单类型、区域、地址与问题描述</t>
  </si>
  <si>
    <t>CS、CR、主管</t>
  </si>
  <si>
    <t>确认代码与字典</t>
  </si>
  <si>
    <t>政府客户前缀及CALL代码</t>
  </si>
  <si>
    <t>F010</t>
  </si>
  <si>
    <t>记录来源渠道、附件说明、派工判断与标签</t>
  </si>
  <si>
    <t>确认来源与附件规则</t>
  </si>
  <si>
    <t>电话/WhatsApp/邮件等渠道</t>
  </si>
  <si>
    <t>F011</t>
  </si>
  <si>
    <t>按状态、类型、区域、负责人、师傅、客户和关键词筛选</t>
  </si>
  <si>
    <t>CS、CR、主管、管理员</t>
  </si>
  <si>
    <t>待生产实现</t>
  </si>
  <si>
    <t>确认常用筛选项</t>
  </si>
  <si>
    <t>是否需要保存个人视图</t>
  </si>
  <si>
    <t>F012</t>
  </si>
  <si>
    <t>快速切换全部、未完成和已完成工单</t>
  </si>
  <si>
    <t>确认未完成状态集合</t>
  </si>
  <si>
    <t>待审批是否算未完成</t>
  </si>
  <si>
    <t>F013</t>
  </si>
  <si>
    <t>CALL详情</t>
  </si>
  <si>
    <t>查看客户、地址、负责人、优先级、附件和当前处理信息</t>
  </si>
  <si>
    <t>相关业务角色</t>
  </si>
  <si>
    <t>确认字段显示权限</t>
  </si>
  <si>
    <t>敏感字段可见范围</t>
  </si>
  <si>
    <t>F014</t>
  </si>
  <si>
    <t>查看完整处理记录、催单记录与状态时间线</t>
  </si>
  <si>
    <t>确认审计保留要求</t>
  </si>
  <si>
    <t>记录是否允许修改</t>
  </si>
  <si>
    <t>F015</t>
  </si>
  <si>
    <t>直接完成、取消、补充信息、催单及编辑工单</t>
  </si>
  <si>
    <t>确认各角色操作权限</t>
  </si>
  <si>
    <t>取消、直接完成的审批要求</t>
  </si>
  <si>
    <t>F016</t>
  </si>
  <si>
    <t>查看待分派、已分派、申请审批及可接单师傅指标</t>
  </si>
  <si>
    <t>主管、CR、管理员</t>
  </si>
  <si>
    <t>确认分派中心统计口径</t>
  </si>
  <si>
    <t>申请审批是否纳入一期</t>
  </si>
  <si>
    <t>F017</t>
  </si>
  <si>
    <t>按CALL编号、客户、区域、状态和类型搜索筛选</t>
  </si>
  <si>
    <t>主管、CR</t>
  </si>
  <si>
    <t>确认筛选字段</t>
  </si>
  <si>
    <t>区域与团队映射</t>
  </si>
  <si>
    <t>F018</t>
  </si>
  <si>
    <t>分派弹窗</t>
  </si>
  <si>
    <t>按区域、可接单状态、负载和技能推荐师傅</t>
  </si>
  <si>
    <t>待POC验证</t>
  </si>
  <si>
    <t>导入人员技能与区域关系</t>
  </si>
  <si>
    <t>推荐优先级规则</t>
  </si>
  <si>
    <t>F019</t>
  </si>
  <si>
    <t>搜索师傅并查看状态、区域、技能与今日负载</t>
  </si>
  <si>
    <t>准备真实人员与账号</t>
  </si>
  <si>
    <t>忙碌状态来源</t>
  </si>
  <si>
    <t>F020</t>
  </si>
  <si>
    <t>完成首次分派、重新分派及派工备注</t>
  </si>
  <si>
    <t>确认改派权限和通知</t>
  </si>
  <si>
    <t>CR是否可绕过主管直接派单</t>
  </si>
  <si>
    <t>F021</t>
  </si>
  <si>
    <t>分派时选择领取完工单或服务报告</t>
  </si>
  <si>
    <t>确认单据选择规则</t>
  </si>
  <si>
    <t>两种单据是否互斥</t>
  </si>
  <si>
    <t>F022</t>
  </si>
  <si>
    <t>师傅接单</t>
  </si>
  <si>
    <t>师傅收到、拒单并填写拒单原因</t>
  </si>
  <si>
    <t>师傅</t>
  </si>
  <si>
    <t>确认拒单与重新分派规则</t>
  </si>
  <si>
    <t>拒单是否限制次数</t>
  </si>
  <si>
    <t>F023</t>
  </si>
  <si>
    <t>审批明细</t>
  </si>
  <si>
    <t>主管通过或不通过分派申请</t>
  </si>
  <si>
    <t>主管</t>
  </si>
  <si>
    <t>P1</t>
  </si>
  <si>
    <t>决定是否保留审批节点</t>
  </si>
  <si>
    <t>哪些场景需要审批</t>
  </si>
  <si>
    <t>F024</t>
  </si>
  <si>
    <t>师傅首页</t>
  </si>
  <si>
    <t>查看今日工作、待确认、待处理和处理中CALL</t>
  </si>
  <si>
    <t>使用真实账号验证待办范围</t>
  </si>
  <si>
    <t>仅本人还是可查看团队</t>
  </si>
  <si>
    <t>F025</t>
  </si>
  <si>
    <t>师傅CALL</t>
  </si>
  <si>
    <t>查看本人任务列表、详情和优先处理事项</t>
  </si>
  <si>
    <t>确认任务排序规则</t>
  </si>
  <si>
    <t>紧急与催单排序</t>
  </si>
  <si>
    <t>F026</t>
  </si>
  <si>
    <t>工单详情</t>
  </si>
  <si>
    <t>收到、拒单、开始处理与查看现场资料</t>
  </si>
  <si>
    <t>真机验证关键操作</t>
  </si>
  <si>
    <t>到场时间是否自动记录</t>
  </si>
  <si>
    <t>F027</t>
  </si>
  <si>
    <t>处理记录</t>
  </si>
  <si>
    <t>填写SR编号、系统、目的、完成工作和需跟进事项</t>
  </si>
  <si>
    <t>确认服务报告字段</t>
  </si>
  <si>
    <t>SR编号规则和必填项</t>
  </si>
  <si>
    <t>F028</t>
  </si>
  <si>
    <t>上传服务报告图片并模拟带入报告数据</t>
  </si>
  <si>
    <t>确认OCR/人工录入方案</t>
  </si>
  <si>
    <t>是否需要真实OCR</t>
  </si>
  <si>
    <t>F029</t>
  </si>
  <si>
    <t>记录车资、现场照片与附件</t>
  </si>
  <si>
    <t>真机测试上传、弱网与容量</t>
  </si>
  <si>
    <t>照片数量、大小和保留周期</t>
  </si>
  <si>
    <t>F030</t>
  </si>
  <si>
    <t>选择是否需要后补报价并填写报价说明</t>
  </si>
  <si>
    <t>师傅、报价组</t>
  </si>
  <si>
    <t>P2</t>
  </si>
  <si>
    <t>决定是否纳入一期</t>
  </si>
  <si>
    <t>后补报价责任部门</t>
  </si>
  <si>
    <t>F031</t>
  </si>
  <si>
    <t>客户确认</t>
  </si>
  <si>
    <t>记录客户满意度、电子签名或客户不在场</t>
  </si>
  <si>
    <t>师傅、客户</t>
  </si>
  <si>
    <t>确认签名和豁免规则</t>
  </si>
  <si>
    <t>签名正本是否必须</t>
  </si>
  <si>
    <t>F032</t>
  </si>
  <si>
    <t>完工单</t>
  </si>
  <si>
    <t>填写完工单编号、材料、照片、签章与备注</t>
  </si>
  <si>
    <t>确认完工单模板</t>
  </si>
  <si>
    <t>纸质单与电子单关系</t>
  </si>
  <si>
    <t>F033</t>
  </si>
  <si>
    <t>暂存并提交完工结果</t>
  </si>
  <si>
    <t>确认提交后的状态</t>
  </si>
  <si>
    <t>是否需要主管确认</t>
  </si>
  <si>
    <t>F034</t>
  </si>
  <si>
    <t>离线模式</t>
  </si>
  <si>
    <t>离线保存处理记录并在恢复网络后上传</t>
  </si>
  <si>
    <t>进行真实弱网测试</t>
  </si>
  <si>
    <t>离线时允许哪些操作</t>
  </si>
  <si>
    <t>F035</t>
  </si>
  <si>
    <t>集中查看服务报告和完工单数量与状态</t>
  </si>
  <si>
    <t>确认报告分类和状态</t>
  </si>
  <si>
    <t>SR与CP的统一编号口径</t>
  </si>
  <si>
    <t>F036</t>
  </si>
  <si>
    <t>按区域、状态、编号、客户和内容搜索报告</t>
  </si>
  <si>
    <t>确认查询条件</t>
  </si>
  <si>
    <t>是否需要导出</t>
  </si>
  <si>
    <t>F037</t>
  </si>
  <si>
    <t>查看报告详情并跳转关联CALL</t>
  </si>
  <si>
    <t>确认报告访问权限</t>
  </si>
  <si>
    <t>客户是否可直接访问</t>
  </si>
  <si>
    <t>F038</t>
  </si>
  <si>
    <t>报告发送</t>
  </si>
  <si>
    <t>通过Email或WhatsApp发送服务报告</t>
  </si>
  <si>
    <t>CR、CS</t>
  </si>
  <si>
    <t>确认发送渠道与模板</t>
  </si>
  <si>
    <t>客户是否接受电子版</t>
  </si>
  <si>
    <t>F039</t>
  </si>
  <si>
    <t>记录报告发送方式、对象和发送日志</t>
  </si>
  <si>
    <t>CR、CS、管理员</t>
  </si>
  <si>
    <t>确认日志保留要求</t>
  </si>
  <si>
    <t>是否需要发送回执</t>
  </si>
  <si>
    <t>F040</t>
  </si>
  <si>
    <t>登录与角色</t>
  </si>
  <si>
    <t>按9类角色和具体人员登录、切换角色与过滤页面权限</t>
  </si>
  <si>
    <t>准备真实账号与权限矩阵</t>
  </si>
  <si>
    <t>角色与页面权限</t>
  </si>
  <si>
    <t>F041</t>
  </si>
  <si>
    <t>用户管理</t>
  </si>
  <si>
    <t>新增、编辑、查看、删除、启用、禁用用户</t>
  </si>
  <si>
    <t>管理员</t>
  </si>
  <si>
    <t>确认人员字段与离职处理</t>
  </si>
  <si>
    <t>组织来源和同步方式</t>
  </si>
  <si>
    <t>F042</t>
  </si>
  <si>
    <t>按角色、状态、姓名、工号、电话和邮箱筛选用户</t>
  </si>
  <si>
    <t>确认筛选和数据范围</t>
  </si>
  <si>
    <t>是否与钉钉通讯录同步</t>
  </si>
  <si>
    <t>F043</t>
  </si>
  <si>
    <t>客户管理</t>
  </si>
  <si>
    <t>管理政府/私人客户、联系人、地址、等级与状态</t>
  </si>
  <si>
    <t>CS、CR、管理员</t>
  </si>
  <si>
    <t>提供客户主数据模板</t>
  </si>
  <si>
    <t>政府字段与Peachtree ID</t>
  </si>
  <si>
    <t>F044</t>
  </si>
  <si>
    <t>字典管理</t>
  </si>
  <si>
    <t>维护工单类型、区域、状态、CALL代码和业务字典</t>
  </si>
  <si>
    <t>确认字典清单和维护权限</t>
  </si>
  <si>
    <t>代码停用后的历史处理</t>
  </si>
  <si>
    <t>F045</t>
  </si>
  <si>
    <t>Excel导入</t>
  </si>
  <si>
    <t>批量导入客户、工单、报价、发票和收款记录</t>
  </si>
  <si>
    <t>P1/P2</t>
  </si>
  <si>
    <t>待方案确认</t>
  </si>
  <si>
    <t>确认导入模板与校验规则</t>
  </si>
  <si>
    <t>首批迁移数据范围</t>
  </si>
  <si>
    <t>F046</t>
  </si>
  <si>
    <t>服务器配置</t>
  </si>
  <si>
    <t>配置附件存储、文件类型、大小、容量、备份和清理周期</t>
  </si>
  <si>
    <t>管理员、IT</t>
  </si>
  <si>
    <t>确认存储方案与容量</t>
  </si>
  <si>
    <t>供应商、保留期和备份要求</t>
  </si>
  <si>
    <t>F047</t>
  </si>
  <si>
    <t>统计报表</t>
  </si>
  <si>
    <t>按状态、工单类型、区域、师傅和客户统计CALL</t>
  </si>
  <si>
    <t>主管、管理员、管理层</t>
  </si>
  <si>
    <t>确认一期报表指标</t>
  </si>
  <si>
    <t>是否需要时间范围筛选</t>
  </si>
  <si>
    <t>F048</t>
  </si>
  <si>
    <t>查看最近7天基础趋势</t>
  </si>
  <si>
    <t>确认趋势周期与维度</t>
  </si>
  <si>
    <t>日/周/月口径</t>
  </si>
  <si>
    <t>F049</t>
  </si>
  <si>
    <t>查看未完成、SR待签名和PM资料缺失提醒</t>
  </si>
  <si>
    <t>主管、管理员</t>
  </si>
  <si>
    <t>确认Outstanding规则</t>
  </si>
  <si>
    <t>提醒频率和接收人</t>
  </si>
  <si>
    <t>F050</t>
  </si>
  <si>
    <t>通知中心</t>
  </si>
  <si>
    <t>接收派单、拒单、完成、报价等业务通知</t>
  </si>
  <si>
    <t>验证真实消息渠道</t>
  </si>
  <si>
    <t>系统内/钉钉/邮件</t>
  </si>
  <si>
    <t>F051</t>
  </si>
  <si>
    <t>查看报价总数、中单数和中单率</t>
  </si>
  <si>
    <t>报价组、管理层</t>
  </si>
  <si>
    <t>转入扩展范围评审</t>
  </si>
  <si>
    <t>一期是否需要经营指标</t>
  </si>
  <si>
    <t>F052</t>
  </si>
  <si>
    <t>报价管理</t>
  </si>
  <si>
    <t>新增、编辑、删除、查看和筛选报价</t>
  </si>
  <si>
    <t>报价组、CR、管理员</t>
  </si>
  <si>
    <t>确认扩展模块阶段归属</t>
  </si>
  <si>
    <t>是否纳入一期</t>
  </si>
  <si>
    <t>F053</t>
  </si>
  <si>
    <t>维护报价标题、类别、物料明细、税率、金额与有效期</t>
  </si>
  <si>
    <t>报价组</t>
  </si>
  <si>
    <t>确认报价模板与审批</t>
  </si>
  <si>
    <t>金额修改权限</t>
  </si>
  <si>
    <t>F054</t>
  </si>
  <si>
    <t>关联CALL、SR、客户和后补报价需求</t>
  </si>
  <si>
    <t>报价组、CR、师傅</t>
  </si>
  <si>
    <t>确认跨模块关联规则</t>
  </si>
  <si>
    <t>师傅后补报价流程</t>
  </si>
  <si>
    <t>F055</t>
  </si>
  <si>
    <t>记录报价状态、中标状态、版本与修订</t>
  </si>
  <si>
    <t>确认状态和版本规则</t>
  </si>
  <si>
    <t>修订编号格式</t>
  </si>
  <si>
    <t>F056</t>
  </si>
  <si>
    <t>标书管理</t>
  </si>
  <si>
    <t>导入、新建、编辑、删除和搜索标书</t>
  </si>
  <si>
    <t>报价组、管理员</t>
  </si>
  <si>
    <t>确认标书范围与负责人</t>
  </si>
  <si>
    <t>主动/被动接收来源</t>
  </si>
  <si>
    <t>F057</t>
  </si>
  <si>
    <t>跟踪截止日期倒计时、投标状态和中标结果</t>
  </si>
  <si>
    <t>确认提醒与结果口径</t>
  </si>
  <si>
    <t>逾期提醒频率</t>
  </si>
  <si>
    <t>F058</t>
  </si>
  <si>
    <t>标书排程</t>
  </si>
  <si>
    <t>按区域和技能安排师傅、日期及重复周期</t>
  </si>
  <si>
    <t>报价组、主管</t>
  </si>
  <si>
    <t>确认标书排程是否保留</t>
  </si>
  <si>
    <t>师傅是否允许拒绝</t>
  </si>
  <si>
    <t>F059</t>
  </si>
  <si>
    <t>备货管理</t>
  </si>
  <si>
    <t>新建采购单并跟踪待下单、已下单、已发货、到货和验收</t>
  </si>
  <si>
    <t>采购部</t>
  </si>
  <si>
    <t>确认采购状态与审批</t>
  </si>
  <si>
    <t>是否替代现有采购系统</t>
  </si>
  <si>
    <t>F060</t>
  </si>
  <si>
    <t>管理供应商及合作状态</t>
  </si>
  <si>
    <t>确认供应商资料范围</t>
  </si>
  <si>
    <t>供应商主数据来源</t>
  </si>
  <si>
    <t>F061</t>
  </si>
  <si>
    <t>关联报价、工单、物料和到货状态</t>
  </si>
  <si>
    <t>采购部、报价组、主管</t>
  </si>
  <si>
    <t>确认跨模块关联</t>
  </si>
  <si>
    <t>库存与备货边界</t>
  </si>
  <si>
    <t>F062</t>
  </si>
  <si>
    <t>会计管理</t>
  </si>
  <si>
    <t>查看待开票项目、筛选、全选、批量开票和打印</t>
  </si>
  <si>
    <t>会计部</t>
  </si>
  <si>
    <t>确认开票流程与字段</t>
  </si>
  <si>
    <t>Job Code及附件要求</t>
  </si>
  <si>
    <t>F063</t>
  </si>
  <si>
    <t>管理发票、变更金额和数期、重印并标记收款</t>
  </si>
  <si>
    <t>确认财务权限和审批</t>
  </si>
  <si>
    <t>金额变更审批</t>
  </si>
  <si>
    <t>F064</t>
  </si>
  <si>
    <t>管理收款、自动生成收据编号并打印收据</t>
  </si>
  <si>
    <t>确认收据编号规则</t>
  </si>
  <si>
    <t>收款方式与冲销规则</t>
  </si>
  <si>
    <t>F065</t>
  </si>
  <si>
    <t>维护会计客户档案、账单地址、收件人和数期</t>
  </si>
  <si>
    <t>确认财务客户数据来源</t>
  </si>
  <si>
    <t>与业务客户是否共用</t>
  </si>
  <si>
    <t>F066</t>
  </si>
  <si>
    <t>保养合约</t>
  </si>
  <si>
    <t>按合约日期和开单频率生成月结待开发票</t>
  </si>
  <si>
    <t>确认保养合约计费规则</t>
  </si>
  <si>
    <t>月结和跨期处理</t>
  </si>
  <si>
    <t>F067</t>
  </si>
  <si>
    <t>Peachtree接口</t>
  </si>
  <si>
    <t>配置并模拟同步客户、发票和收款记录</t>
  </si>
  <si>
    <t>会计部、IT、管理员</t>
  </si>
  <si>
    <t>确认接口能力与同步方向</t>
  </si>
  <si>
    <t>真实Peachtree版本和接口方式</t>
  </si>
  <si>
    <t>项目推进路线｜按功能成熟度分五个阶段</t>
  </si>
  <si>
    <t>日期为建议排期，需在双方责任人、一期功能基线、试点组织和POC环境确认后更新为正式计划。</t>
  </si>
  <si>
    <t>阶段路线</t>
  </si>
  <si>
    <t>阶段</t>
  </si>
  <si>
    <t>阶段名称</t>
  </si>
  <si>
    <t>计划开始</t>
  </si>
  <si>
    <t>计划完成</t>
  </si>
  <si>
    <t>涉及工作</t>
  </si>
  <si>
    <t>阶段输出</t>
  </si>
  <si>
    <t>状态</t>
  </si>
  <si>
    <t>完成度</t>
  </si>
  <si>
    <t>双方责任</t>
  </si>
  <si>
    <t>阶段1</t>
  </si>
  <si>
    <t>功能基线确认</t>
  </si>
  <si>
    <t>确认P0/P1/P2、角色、状态、字段和验收口径</t>
  </si>
  <si>
    <t>范围清单、原型评审纪要、一期功能基线</t>
  </si>
  <si>
    <t>进行中</t>
  </si>
  <si>
    <t>双方业务负责人</t>
  </si>
  <si>
    <t>阶段2</t>
  </si>
  <si>
    <t>POC与方案验证</t>
  </si>
  <si>
    <t>验证真实账号、权限、消息、真机、图片、附件和容量</t>
  </si>
  <si>
    <t>POC结果、权限矩阵、平台与存储方案</t>
  </si>
  <si>
    <t>待准备</t>
  </si>
  <si>
    <t>客户IT/试点团队/交付团队</t>
  </si>
  <si>
    <t>阶段3</t>
  </si>
  <si>
    <t>实施计划与数据准备</t>
  </si>
  <si>
    <t>基于确认范围拆分开发任务并清洗试点数据</t>
  </si>
  <si>
    <t>实施计划、验收映射、主数据导入清单</t>
  </si>
  <si>
    <t>计划中</t>
  </si>
  <si>
    <t>双方项目与数据负责人</t>
  </si>
  <si>
    <t>阶段4</t>
  </si>
  <si>
    <t>P0生产实现</t>
  </si>
  <si>
    <t>实现一期真实数据、权限、附件、消息和操作记录</t>
  </si>
  <si>
    <t>一期可运行版本与集成测试结果</t>
  </si>
  <si>
    <t>交付团队</t>
  </si>
  <si>
    <t>阶段5</t>
  </si>
  <si>
    <t>UAT、试点与上线</t>
  </si>
  <si>
    <t>完成UAT、7–10个工作日试点、问题闭环和上线交接</t>
  </si>
  <si>
    <t>验收记录、试点结论、上线与交接材料</t>
  </si>
  <si>
    <t>双方业务/IT/试点团队</t>
  </si>
  <si>
    <t>各业务域当前动作</t>
  </si>
  <si>
    <t>当前动作</t>
  </si>
  <si>
    <t>对应阶段</t>
  </si>
  <si>
    <t>责任方</t>
  </si>
  <si>
    <t>确认指标与角色数据范围</t>
  </si>
  <si>
    <t>待确认</t>
  </si>
  <si>
    <t>确认建单、编号、状态和关闭规则</t>
  </si>
  <si>
    <t>客户业务负责人/交付团队</t>
  </si>
  <si>
    <t>准备试点组织、区域和技能映射</t>
  </si>
  <si>
    <t>阶段1–2</t>
  </si>
  <si>
    <t>客户项目负责人</t>
  </si>
  <si>
    <t>确认照片、签名、SR和完工单规则并真机验证</t>
  </si>
  <si>
    <t>客户业务/试点团队</t>
  </si>
  <si>
    <t>确认报告模板、访问权限和发送渠道</t>
  </si>
  <si>
    <t>客户业务/IT</t>
  </si>
  <si>
    <t>提供客户、人员、区域和字典主数据</t>
  </si>
  <si>
    <t>阶段2–3</t>
  </si>
  <si>
    <t>客户数据负责人</t>
  </si>
  <si>
    <t>确认一期报表指标与通知渠道</t>
  </si>
  <si>
    <t>确认财务边界及Peachtree接口策略</t>
  </si>
  <si>
    <t>客户财务/IT</t>
  </si>
  <si>
    <t>客户确认清单｜只保留会影响范围、方案与排期的事项</t>
  </si>
  <si>
    <t>确认后同步更新“功能清单”的建议范围与实施状态，并据此基线化推进路线。目标日期为建议值。</t>
  </si>
  <si>
    <t>确认主题</t>
  </si>
  <si>
    <t>具体事项</t>
  </si>
  <si>
    <t>影响</t>
  </si>
  <si>
    <t>建议做法</t>
  </si>
  <si>
    <t>目标日期</t>
  </si>
  <si>
    <t>C01</t>
  </si>
  <si>
    <t>一期功能边界</t>
  </si>
  <si>
    <t>确认P0/P1/P2以及报价、标书、备货、会计的阶段归属</t>
  </si>
  <si>
    <t>影响整体范围与排期</t>
  </si>
  <si>
    <t>建议一期聚焦CALL、分派、移动执行、报告和基础设置</t>
  </si>
  <si>
    <t>客户业务负责人</t>
  </si>
  <si>
    <t>C02</t>
  </si>
  <si>
    <t>状态模型</t>
  </si>
  <si>
    <t>确认7状态模型及每个角色可执行的状态动作</t>
  </si>
  <si>
    <t>影响页面按钮、统计和验收</t>
  </si>
  <si>
    <t>以原型7状态为一期基线</t>
  </si>
  <si>
    <t>C03</t>
  </si>
  <si>
    <t>建单与编号</t>
  </si>
  <si>
    <t>确认PM/CM、政府客户前缀、CALL代码和J No.规则</t>
  </si>
  <si>
    <t>影响建单和查询</t>
  </si>
  <si>
    <t>提供普通与政府样例各3张</t>
  </si>
  <si>
    <t>CS/客户业务负责人</t>
  </si>
  <si>
    <t>C04</t>
  </si>
  <si>
    <t>角色与数据范围</t>
  </si>
  <si>
    <t>确认9类角色及本人、团队、区域、全公司的数据范围</t>
  </si>
  <si>
    <t>影响权限与POC</t>
  </si>
  <si>
    <t>按角色权限矩阵联合评审</t>
  </si>
  <si>
    <t>客户项目负责人/IT</t>
  </si>
  <si>
    <t>C05</t>
  </si>
  <si>
    <t>现场与单据规则</t>
  </si>
  <si>
    <t>确认SR、完工单、照片、签名、客户不在场和主管确认规则</t>
  </si>
  <si>
    <t>影响移动端完成逻辑</t>
  </si>
  <si>
    <t>可拍照/不可拍照场景各准备1单</t>
  </si>
  <si>
    <t>主管/试点团队</t>
  </si>
  <si>
    <t>C06</t>
  </si>
  <si>
    <t>试点组织</t>
  </si>
  <si>
    <t>确认1个区域、1名主管、3–5名师傅、1–2名CS及测试账号</t>
  </si>
  <si>
    <t>影响真实权限与流程验证</t>
  </si>
  <si>
    <t>提供姓名、账号、角色和可用时间</t>
  </si>
  <si>
    <t>C07</t>
  </si>
  <si>
    <t>试点数据</t>
  </si>
  <si>
    <t>提供客户、地址、区域、团队、人员、字典和20–30张样例工单</t>
  </si>
  <si>
    <t>影响数据导入和UAT</t>
  </si>
  <si>
    <t>按数据模板提供脱敏样例</t>
  </si>
  <si>
    <t>C08</t>
  </si>
  <si>
    <t>平台与附件</t>
  </si>
  <si>
    <t>确认钉钉/宜搭环境、账号规模、图片容量、保留期和备份方式</t>
  </si>
  <si>
    <t>影响POC与技术方案</t>
  </si>
  <si>
    <t>提供平台配置和容量要求</t>
  </si>
  <si>
    <t>客户IT/采购</t>
  </si>
  <si>
    <t>C09</t>
  </si>
  <si>
    <t>通知与报告发送</t>
  </si>
  <si>
    <t>确认系统内、钉钉、Email、WhatsApp的使用范围</t>
  </si>
  <si>
    <t>影响消息和客户报告流程</t>
  </si>
  <si>
    <t>一期先确认关键通知清单</t>
  </si>
  <si>
    <t>客户业务负责人/IT</t>
  </si>
  <si>
    <t>C10</t>
  </si>
  <si>
    <t>评审与验收资源</t>
  </si>
  <si>
    <t>确定原型评审、POC、UAT、试点和上线审批参与人</t>
  </si>
  <si>
    <t>影响正式排期</t>
  </si>
  <si>
    <t>锁定责任人、评审时间和签字机制</t>
  </si>
  <si>
    <t>双方项目负责人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</si>
</sst>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&quot; 项&quot;"/>
  </numFmts>
  <fonts count="32">
    <font>
      <sz val="11"/>
      <name val="Carlito"/>
      <charset val="134"/>
    </font>
    <font>
      <b/>
      <sz val="18"/>
      <color rgb="FFFFFFFF"/>
      <name val="Carlito"/>
      <charset val="134"/>
    </font>
    <font>
      <sz val="10"/>
      <color rgb="FF64748B"/>
      <name val="Carlito"/>
      <charset val="134"/>
    </font>
    <font>
      <b/>
      <sz val="10"/>
      <color rgb="FFFFFFFF"/>
      <name val="Carlito"/>
      <charset val="134"/>
    </font>
    <font>
      <sz val="10"/>
      <color rgb="FF334155"/>
      <name val="Carlito"/>
      <charset val="134"/>
    </font>
    <font>
      <b/>
      <sz val="12"/>
      <color rgb="FF4F46E5"/>
      <name val="Carlito"/>
      <charset val="134"/>
    </font>
    <font>
      <b/>
      <sz val="11"/>
      <color rgb="FFFFFFFF"/>
      <name val="Carlito"/>
      <charset val="134"/>
    </font>
    <font>
      <b/>
      <sz val="22"/>
      <color rgb="FF172554"/>
      <name val="Carlito"/>
      <charset val="134"/>
    </font>
    <font>
      <b/>
      <sz val="10"/>
      <color rgb="FFB45309"/>
      <name val="Carlito"/>
      <charset val="134"/>
    </font>
    <font>
      <b/>
      <sz val="10"/>
      <color rgb="FF047857"/>
      <name val="Carlito"/>
      <charset val="134"/>
    </font>
    <font>
      <b/>
      <sz val="22"/>
      <color rgb="FF047857"/>
      <name val="Carlito"/>
      <charset val="134"/>
    </font>
    <font>
      <b/>
      <sz val="22"/>
      <color rgb="FFB45309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172554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4F46E5"/>
        <bgColor indexed="64"/>
      </patternFill>
    </fill>
    <fill>
      <patternFill patternType="solid">
        <fgColor rgb="FFF8FB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DF2F8"/>
        <bgColor indexed="64"/>
      </patternFill>
    </fill>
    <fill>
      <patternFill patternType="solid">
        <fgColor rgb="FFF0FDFA"/>
        <bgColor indexed="64"/>
      </patternFill>
    </fill>
    <fill>
      <patternFill patternType="solid">
        <fgColor rgb="FFFEFCE8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FFF1F2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7D2FE"/>
      </left>
      <right style="thin">
        <color rgb="FFC7D2FE"/>
      </right>
      <top style="thin">
        <color rgb="FFC7D2FE"/>
      </top>
      <bottom style="thin">
        <color rgb="FFC7D2FE"/>
      </bottom>
      <diagonal/>
    </border>
    <border>
      <left style="thin">
        <color auto="1"/>
      </left>
      <right style="thin">
        <color auto="1"/>
      </right>
      <top style="thin">
        <color rgb="FFC7D2FE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2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5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6" borderId="7" applyNumberFormat="0" applyAlignment="0" applyProtection="0">
      <alignment vertical="center"/>
    </xf>
    <xf numFmtId="0" fontId="22" fillId="17" borderId="8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8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0" fillId="0" borderId="0"/>
  </cellStyleXfs>
  <cellXfs count="45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 wrapText="1"/>
    </xf>
    <xf numFmtId="0" fontId="3" fillId="4" borderId="1" xfId="49" applyNumberFormat="1" applyFont="1" applyFill="1" applyBorder="1" applyAlignment="1">
      <alignment vertical="center" wrapText="1"/>
    </xf>
    <xf numFmtId="0" fontId="4" fillId="5" borderId="2" xfId="49" applyNumberFormat="1" applyFont="1" applyFill="1" applyBorder="1" applyAlignment="1">
      <alignment vertical="center" wrapText="1"/>
    </xf>
    <xf numFmtId="0" fontId="4" fillId="0" borderId="3" xfId="49" applyNumberFormat="1" applyFont="1" applyFill="1" applyBorder="1" applyAlignment="1">
      <alignment vertical="center" wrapText="1"/>
    </xf>
    <xf numFmtId="0" fontId="4" fillId="5" borderId="3" xfId="49" applyNumberFormat="1" applyFont="1" applyFill="1" applyBorder="1" applyAlignment="1">
      <alignment vertical="center" wrapText="1"/>
    </xf>
    <xf numFmtId="176" fontId="4" fillId="5" borderId="2" xfId="49" applyNumberFormat="1" applyFont="1" applyFill="1" applyBorder="1" applyAlignment="1">
      <alignment vertical="center" wrapText="1"/>
    </xf>
    <xf numFmtId="176" fontId="4" fillId="0" borderId="3" xfId="49" applyNumberFormat="1" applyFont="1" applyFill="1" applyBorder="1" applyAlignment="1">
      <alignment vertical="center" wrapText="1"/>
    </xf>
    <xf numFmtId="176" fontId="4" fillId="5" borderId="3" xfId="49" applyNumberFormat="1" applyFont="1" applyFill="1" applyBorder="1" applyAlignment="1">
      <alignment vertical="center" wrapText="1"/>
    </xf>
    <xf numFmtId="0" fontId="5" fillId="6" borderId="0" xfId="49" applyNumberFormat="1" applyFont="1" applyFill="1" applyBorder="1" applyAlignment="1">
      <alignment vertical="center"/>
    </xf>
    <xf numFmtId="0" fontId="4" fillId="0" borderId="2" xfId="49" applyNumberFormat="1" applyFont="1" applyFill="1" applyBorder="1" applyAlignment="1">
      <alignment vertical="center" wrapText="1"/>
    </xf>
    <xf numFmtId="176" fontId="4" fillId="0" borderId="2" xfId="49" applyNumberFormat="1" applyFont="1" applyFill="1" applyBorder="1" applyAlignment="1">
      <alignment vertical="center" wrapText="1"/>
    </xf>
    <xf numFmtId="9" fontId="4" fillId="0" borderId="2" xfId="49" applyNumberFormat="1" applyFont="1" applyFill="1" applyBorder="1" applyAlignment="1">
      <alignment vertical="center" wrapText="1"/>
    </xf>
    <xf numFmtId="9" fontId="4" fillId="0" borderId="3" xfId="49" applyNumberFormat="1" applyFont="1" applyFill="1" applyBorder="1" applyAlignment="1">
      <alignment vertical="center" wrapText="1"/>
    </xf>
    <xf numFmtId="0" fontId="0" fillId="3" borderId="0" xfId="49" applyNumberFormat="1" applyFont="1" applyFill="1" applyBorder="1"/>
    <xf numFmtId="0" fontId="4" fillId="6" borderId="2" xfId="49" applyNumberFormat="1" applyFont="1" applyFill="1" applyBorder="1" applyAlignment="1">
      <alignment vertical="center" wrapText="1"/>
    </xf>
    <xf numFmtId="0" fontId="4" fillId="6" borderId="2" xfId="49" applyNumberFormat="1" applyFont="1" applyFill="1" applyBorder="1" applyAlignment="1">
      <alignment horizontal="left" vertical="center" wrapText="1"/>
    </xf>
    <xf numFmtId="0" fontId="4" fillId="6" borderId="3" xfId="49" applyNumberFormat="1" applyFont="1" applyFill="1" applyBorder="1" applyAlignment="1">
      <alignment vertical="center" wrapText="1"/>
    </xf>
    <xf numFmtId="0" fontId="4" fillId="6" borderId="3" xfId="49" applyNumberFormat="1" applyFont="1" applyFill="1" applyBorder="1" applyAlignment="1">
      <alignment horizontal="left" vertical="center" wrapText="1"/>
    </xf>
    <xf numFmtId="0" fontId="4" fillId="3" borderId="3" xfId="49" applyNumberFormat="1" applyFont="1" applyFill="1" applyBorder="1" applyAlignment="1">
      <alignment vertical="center" wrapText="1"/>
    </xf>
    <xf numFmtId="0" fontId="4" fillId="3" borderId="3" xfId="49" applyNumberFormat="1" applyFont="1" applyFill="1" applyBorder="1" applyAlignment="1">
      <alignment horizontal="left" vertical="center" wrapText="1"/>
    </xf>
    <xf numFmtId="0" fontId="4" fillId="7" borderId="3" xfId="49" applyNumberFormat="1" applyFont="1" applyFill="1" applyBorder="1" applyAlignment="1">
      <alignment vertical="center" wrapText="1"/>
    </xf>
    <xf numFmtId="0" fontId="4" fillId="7" borderId="3" xfId="49" applyNumberFormat="1" applyFont="1" applyFill="1" applyBorder="1" applyAlignment="1">
      <alignment horizontal="left" vertical="center" wrapText="1"/>
    </xf>
    <xf numFmtId="0" fontId="4" fillId="8" borderId="3" xfId="49" applyNumberFormat="1" applyFont="1" applyFill="1" applyBorder="1" applyAlignment="1">
      <alignment vertical="center" wrapText="1"/>
    </xf>
    <xf numFmtId="0" fontId="4" fillId="8" borderId="3" xfId="49" applyNumberFormat="1" applyFont="1" applyFill="1" applyBorder="1" applyAlignment="1">
      <alignment horizontal="left" vertical="center" wrapText="1"/>
    </xf>
    <xf numFmtId="0" fontId="4" fillId="9" borderId="3" xfId="49" applyNumberFormat="1" applyFont="1" applyFill="1" applyBorder="1" applyAlignment="1">
      <alignment vertical="center" wrapText="1"/>
    </xf>
    <xf numFmtId="0" fontId="4" fillId="9" borderId="3" xfId="49" applyNumberFormat="1" applyFont="1" applyFill="1" applyBorder="1" applyAlignment="1">
      <alignment horizontal="left" vertical="center" wrapText="1"/>
    </xf>
    <xf numFmtId="0" fontId="4" fillId="10" borderId="3" xfId="49" applyNumberFormat="1" applyFont="1" applyFill="1" applyBorder="1" applyAlignment="1">
      <alignment vertical="center" wrapText="1"/>
    </xf>
    <xf numFmtId="0" fontId="4" fillId="10" borderId="3" xfId="49" applyNumberFormat="1" applyFont="1" applyFill="1" applyBorder="1" applyAlignment="1">
      <alignment horizontal="left" vertical="center" wrapText="1"/>
    </xf>
    <xf numFmtId="0" fontId="4" fillId="11" borderId="3" xfId="49" applyNumberFormat="1" applyFont="1" applyFill="1" applyBorder="1" applyAlignment="1">
      <alignment vertical="center" wrapText="1"/>
    </xf>
    <xf numFmtId="0" fontId="4" fillId="11" borderId="3" xfId="49" applyNumberFormat="1" applyFont="1" applyFill="1" applyBorder="1" applyAlignment="1">
      <alignment horizontal="left" vertical="center" wrapText="1"/>
    </xf>
    <xf numFmtId="0" fontId="4" fillId="12" borderId="3" xfId="49" applyNumberFormat="1" applyFont="1" applyFill="1" applyBorder="1" applyAlignment="1">
      <alignment vertical="center" wrapText="1"/>
    </xf>
    <xf numFmtId="0" fontId="4" fillId="12" borderId="3" xfId="49" applyNumberFormat="1" applyFont="1" applyFill="1" applyBorder="1" applyAlignment="1">
      <alignment horizontal="left" vertical="center" wrapText="1"/>
    </xf>
    <xf numFmtId="0" fontId="4" fillId="13" borderId="3" xfId="49" applyNumberFormat="1" applyFont="1" applyFill="1" applyBorder="1" applyAlignment="1">
      <alignment vertical="center" wrapText="1"/>
    </xf>
    <xf numFmtId="0" fontId="4" fillId="13" borderId="3" xfId="49" applyNumberFormat="1" applyFont="1" applyFill="1" applyBorder="1" applyAlignment="1">
      <alignment horizontal="left" vertical="center" wrapText="1"/>
    </xf>
    <xf numFmtId="0" fontId="6" fillId="4" borderId="0" xfId="49" applyNumberFormat="1" applyFont="1" applyFill="1" applyBorder="1" applyAlignment="1">
      <alignment horizontal="center" vertical="center"/>
    </xf>
    <xf numFmtId="9" fontId="7" fillId="14" borderId="0" xfId="49" applyNumberFormat="1" applyFont="1" applyFill="1" applyBorder="1" applyAlignment="1">
      <alignment horizontal="center" vertical="center"/>
    </xf>
    <xf numFmtId="0" fontId="0" fillId="0" borderId="0" xfId="49" applyAlignment="1">
      <alignment vertical="center"/>
    </xf>
    <xf numFmtId="0" fontId="8" fillId="8" borderId="0" xfId="49" applyNumberFormat="1" applyFont="1" applyFill="1" applyBorder="1" applyAlignment="1">
      <alignment vertical="center" wrapText="1"/>
    </xf>
    <xf numFmtId="0" fontId="9" fillId="7" borderId="0" xfId="49" applyNumberFormat="1" applyFont="1" applyFill="1" applyBorder="1" applyAlignment="1">
      <alignment vertical="center" wrapText="1"/>
    </xf>
    <xf numFmtId="177" fontId="10" fillId="7" borderId="0" xfId="49" applyNumberFormat="1" applyFont="1" applyFill="1" applyBorder="1" applyAlignment="1">
      <alignment horizontal="center" vertical="center"/>
    </xf>
    <xf numFmtId="9" fontId="11" fillId="8" borderId="0" xfId="49" applyNumberFormat="1" applyFont="1" applyFill="1" applyBorder="1" applyAlignment="1">
      <alignment horizontal="center" vertical="center"/>
    </xf>
    <xf numFmtId="9" fontId="4" fillId="5" borderId="2" xfId="49" applyNumberFormat="1" applyFont="1" applyFill="1" applyBorder="1" applyAlignment="1">
      <alignment vertical="center" wrapText="1"/>
    </xf>
    <xf numFmtId="9" fontId="4" fillId="5" borderId="3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ont>
        <b val="1"/>
        <color rgb="FF047857"/>
      </font>
      <fill>
        <patternFill patternType="solid">
          <bgColor rgb="FFECFDF5"/>
        </patternFill>
      </fill>
    </dxf>
    <dxf>
      <font>
        <color rgb="FF6D28D9"/>
      </font>
      <fill>
        <patternFill patternType="solid">
          <bgColor rgb="FFF5F3FF"/>
        </patternFill>
      </fill>
    </dxf>
    <dxf>
      <font>
        <color rgb="FFB45309"/>
      </font>
      <fill>
        <patternFill patternType="solid">
          <bgColor rgb="FFFFF7ED"/>
        </patternFill>
      </fill>
    </dxf>
    <dxf>
      <font>
        <b val="1"/>
        <color rgb="FFB45309"/>
      </font>
      <fill>
        <patternFill patternType="solid">
          <bgColor rgb="FFFFF7E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showGridLines="0" tabSelected="1" zoomScale="118" zoomScaleNormal="118" workbookViewId="0">
      <selection activeCell="D13" sqref="D13"/>
    </sheetView>
  </sheetViews>
  <sheetFormatPr defaultColWidth="9" defaultRowHeight="16.8" outlineLevelCol="7"/>
  <cols>
    <col min="1" max="1" width="22" customWidth="1"/>
    <col min="2" max="2" width="15.4411764705882" customWidth="1"/>
    <col min="3" max="3" width="9.30882352941176" customWidth="1"/>
    <col min="4" max="4" width="10.7867647058824" customWidth="1"/>
    <col min="5" max="5" width="11.2720588235294" customWidth="1"/>
    <col min="6" max="6" width="10" customWidth="1"/>
    <col min="7" max="7" width="12" customWidth="1"/>
    <col min="8" max="8" width="42" customWidth="1"/>
  </cols>
  <sheetData>
    <row r="1" ht="38" customHeight="1" spans="1:1">
      <c r="A1" s="1" t="s">
        <v>0</v>
      </c>
    </row>
    <row r="2" ht="28" customHeight="1" spans="1:1">
      <c r="A2" s="2" t="s">
        <v>1</v>
      </c>
    </row>
    <row r="4" ht="24" customHeight="1" spans="1:1">
      <c r="A4" s="10" t="s">
        <v>2</v>
      </c>
    </row>
    <row r="5" spans="1:7">
      <c r="A5" s="36" t="s">
        <v>3</v>
      </c>
      <c r="C5" s="36" t="s">
        <v>4</v>
      </c>
      <c r="E5" s="36" t="s">
        <v>5</v>
      </c>
      <c r="G5" s="36" t="s">
        <v>6</v>
      </c>
    </row>
    <row r="6" spans="1:7">
      <c r="A6" s="37">
        <f>SUMPRODUCT($F$12:$F$20,$G$12:$G$20)</f>
        <v>0.5195</v>
      </c>
      <c r="C6" s="37" t="s">
        <v>7</v>
      </c>
      <c r="E6" s="41">
        <f>COUNTA(功能清单!$D$4:$D$99)</f>
        <v>67</v>
      </c>
      <c r="G6" s="42">
        <f>(COUNTIF(功能清单!$F$4:$F$99,"可演示")+COUNTIF(功能清单!$F$4:$F$99,"流程可演示"))/COUNTA(功能清单!$D$4:$D$99)</f>
        <v>1</v>
      </c>
    </row>
    <row r="10" ht="24" customHeight="1" spans="1:8">
      <c r="A10" s="10" t="s">
        <v>8</v>
      </c>
      <c r="B10" s="38"/>
      <c r="C10" s="38"/>
      <c r="D10" s="38"/>
      <c r="E10" s="38"/>
      <c r="F10" s="38"/>
      <c r="G10" s="38"/>
      <c r="H10" s="38"/>
    </row>
    <row r="11" ht="30" customHeight="1" spans="1:8">
      <c r="A11" s="3" t="s">
        <v>9</v>
      </c>
      <c r="B11" s="3" t="s">
        <v>10</v>
      </c>
      <c r="C11" s="3" t="s">
        <v>11</v>
      </c>
      <c r="D11" s="3" t="s">
        <v>12</v>
      </c>
      <c r="E11" s="3" t="s">
        <v>13</v>
      </c>
      <c r="F11" s="3" t="s">
        <v>14</v>
      </c>
      <c r="G11" s="3" t="s">
        <v>15</v>
      </c>
      <c r="H11" s="3" t="s">
        <v>16</v>
      </c>
    </row>
    <row r="12" ht="38" customHeight="1" spans="1:8">
      <c r="A12" s="4" t="s">
        <v>17</v>
      </c>
      <c r="B12" s="4" t="s">
        <v>18</v>
      </c>
      <c r="C12" s="4">
        <f>COUNTA(功能清单!$A$4:$A$8)</f>
        <v>5</v>
      </c>
      <c r="D12" s="4" t="s">
        <v>19</v>
      </c>
      <c r="E12" s="4" t="s">
        <v>20</v>
      </c>
      <c r="F12" s="43">
        <v>0.05</v>
      </c>
      <c r="G12" s="43">
        <v>0.9</v>
      </c>
      <c r="H12" s="4" t="s">
        <v>21</v>
      </c>
    </row>
    <row r="13" ht="38" customHeight="1" spans="1:8">
      <c r="A13" s="5" t="s">
        <v>22</v>
      </c>
      <c r="B13" s="5" t="s">
        <v>23</v>
      </c>
      <c r="C13" s="5">
        <f>COUNTA(功能清单!$A$9:$A$18)</f>
        <v>10</v>
      </c>
      <c r="D13" s="5" t="s">
        <v>19</v>
      </c>
      <c r="E13" s="5" t="s">
        <v>20</v>
      </c>
      <c r="F13" s="14">
        <v>0.2</v>
      </c>
      <c r="G13" s="14">
        <v>0.68</v>
      </c>
      <c r="H13" s="5" t="s">
        <v>24</v>
      </c>
    </row>
    <row r="14" ht="38" customHeight="1" spans="1:8">
      <c r="A14" s="6" t="s">
        <v>25</v>
      </c>
      <c r="B14" s="6" t="s">
        <v>26</v>
      </c>
      <c r="C14" s="6">
        <f>COUNTA(功能清单!$A$19:$A$26)</f>
        <v>8</v>
      </c>
      <c r="D14" s="6" t="s">
        <v>19</v>
      </c>
      <c r="E14" s="6" t="s">
        <v>20</v>
      </c>
      <c r="F14" s="44">
        <v>0.15</v>
      </c>
      <c r="G14" s="44">
        <v>0.6</v>
      </c>
      <c r="H14" s="6" t="s">
        <v>27</v>
      </c>
    </row>
    <row r="15" ht="38" customHeight="1" spans="1:8">
      <c r="A15" s="5" t="s">
        <v>28</v>
      </c>
      <c r="B15" s="5" t="s">
        <v>29</v>
      </c>
      <c r="C15" s="5">
        <f>COUNTA(功能清单!$A$27:$A$37)</f>
        <v>11</v>
      </c>
      <c r="D15" s="5" t="s">
        <v>19</v>
      </c>
      <c r="E15" s="5" t="s">
        <v>20</v>
      </c>
      <c r="F15" s="14">
        <v>0.15</v>
      </c>
      <c r="G15" s="14">
        <v>0.62</v>
      </c>
      <c r="H15" s="5" t="s">
        <v>30</v>
      </c>
    </row>
    <row r="16" ht="38" customHeight="1" spans="1:8">
      <c r="A16" s="6" t="s">
        <v>31</v>
      </c>
      <c r="B16" s="6" t="s">
        <v>32</v>
      </c>
      <c r="C16" s="6">
        <f>COUNTA(功能清单!$A$38:$A$42)</f>
        <v>5</v>
      </c>
      <c r="D16" s="6" t="s">
        <v>19</v>
      </c>
      <c r="E16" s="6" t="s">
        <v>20</v>
      </c>
      <c r="F16" s="44">
        <v>0.1</v>
      </c>
      <c r="G16" s="44">
        <v>0.65</v>
      </c>
      <c r="H16" s="6" t="s">
        <v>33</v>
      </c>
    </row>
    <row r="17" ht="38" customHeight="1" spans="1:8">
      <c r="A17" s="5" t="s">
        <v>34</v>
      </c>
      <c r="B17" s="5" t="s">
        <v>35</v>
      </c>
      <c r="C17" s="5">
        <f>COUNTA(功能清单!$A$43:$A$49)</f>
        <v>7</v>
      </c>
      <c r="D17" s="5" t="s">
        <v>19</v>
      </c>
      <c r="E17" s="5" t="s">
        <v>36</v>
      </c>
      <c r="F17" s="14">
        <v>0.1</v>
      </c>
      <c r="G17" s="14">
        <v>0.5</v>
      </c>
      <c r="H17" s="5" t="s">
        <v>37</v>
      </c>
    </row>
    <row r="18" ht="38" customHeight="1" spans="1:8">
      <c r="A18" s="6" t="s">
        <v>38</v>
      </c>
      <c r="B18" s="6" t="s">
        <v>39</v>
      </c>
      <c r="C18" s="6">
        <f>COUNTA(功能清单!$A$50:$A$54)</f>
        <v>5</v>
      </c>
      <c r="D18" s="6" t="s">
        <v>19</v>
      </c>
      <c r="E18" s="6" t="s">
        <v>36</v>
      </c>
      <c r="F18" s="44">
        <v>0.05</v>
      </c>
      <c r="G18" s="44">
        <v>0.55</v>
      </c>
      <c r="H18" s="6" t="s">
        <v>40</v>
      </c>
    </row>
    <row r="19" ht="38" customHeight="1" spans="1:8">
      <c r="A19" s="5" t="s">
        <v>41</v>
      </c>
      <c r="B19" s="5" t="s">
        <v>42</v>
      </c>
      <c r="C19" s="5">
        <f>COUNTA(功能清单!$A$55:$A$64)</f>
        <v>10</v>
      </c>
      <c r="D19" s="5" t="s">
        <v>19</v>
      </c>
      <c r="E19" s="5" t="s">
        <v>43</v>
      </c>
      <c r="F19" s="14">
        <v>0.1</v>
      </c>
      <c r="G19" s="14">
        <v>0.1</v>
      </c>
      <c r="H19" s="5" t="s">
        <v>44</v>
      </c>
    </row>
    <row r="20" ht="38" customHeight="1" spans="1:8">
      <c r="A20" s="6" t="s">
        <v>45</v>
      </c>
      <c r="B20" s="6" t="s">
        <v>46</v>
      </c>
      <c r="C20" s="6">
        <f>COUNTA(功能清单!$A$65:$A$70)</f>
        <v>6</v>
      </c>
      <c r="D20" s="6" t="s">
        <v>47</v>
      </c>
      <c r="E20" s="6" t="s">
        <v>43</v>
      </c>
      <c r="F20" s="44">
        <v>0.1</v>
      </c>
      <c r="G20" s="44">
        <v>0.03</v>
      </c>
      <c r="H20" s="6" t="s">
        <v>48</v>
      </c>
    </row>
    <row r="22" ht="24" customHeight="1" spans="1:1">
      <c r="A22" s="10" t="s">
        <v>49</v>
      </c>
    </row>
    <row r="23" ht="34" customHeight="1" spans="1:1">
      <c r="A23" s="39" t="s">
        <v>50</v>
      </c>
    </row>
    <row r="24" ht="34" customHeight="1" spans="1:1">
      <c r="A24" s="40" t="s">
        <v>51</v>
      </c>
    </row>
  </sheetData>
  <mergeCells count="15">
    <mergeCell ref="A1:H1"/>
    <mergeCell ref="A2:H2"/>
    <mergeCell ref="A4:H4"/>
    <mergeCell ref="A5:B5"/>
    <mergeCell ref="C5:D5"/>
    <mergeCell ref="E5:F5"/>
    <mergeCell ref="G5:H5"/>
    <mergeCell ref="A10:H10"/>
    <mergeCell ref="A22:H22"/>
    <mergeCell ref="A23:H23"/>
    <mergeCell ref="A24:H24"/>
    <mergeCell ref="A6:B8"/>
    <mergeCell ref="C6:D8"/>
    <mergeCell ref="E6:F8"/>
    <mergeCell ref="G6:H8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0"/>
  <sheetViews>
    <sheetView showGridLines="0" workbookViewId="0">
      <selection activeCell="B4" sqref="B4:B8"/>
    </sheetView>
  </sheetViews>
  <sheetFormatPr defaultColWidth="9" defaultRowHeight="16.8"/>
  <cols>
    <col min="1" max="1" width="8" customWidth="1"/>
    <col min="2" max="2" width="16.0514705882353" customWidth="1"/>
    <col min="3" max="3" width="10.5367647058824" customWidth="1"/>
    <col min="4" max="4" width="38" customWidth="1"/>
    <col min="5" max="5" width="22" customWidth="1"/>
    <col min="6" max="6" width="14" customWidth="1"/>
    <col min="7" max="7" width="12" customWidth="1"/>
    <col min="8" max="8" width="16" customWidth="1"/>
    <col min="9" max="9" width="34" customWidth="1"/>
    <col min="10" max="10" width="32" customWidth="1"/>
  </cols>
  <sheetData>
    <row r="1" ht="38" customHeight="1" spans="1:1">
      <c r="A1" s="1" t="s">
        <v>52</v>
      </c>
    </row>
    <row r="3" ht="30" customHeight="1" spans="1:10">
      <c r="A3" s="3" t="s">
        <v>53</v>
      </c>
      <c r="B3" s="3" t="s">
        <v>9</v>
      </c>
      <c r="C3" s="3" t="s">
        <v>10</v>
      </c>
      <c r="D3" s="3" t="s">
        <v>54</v>
      </c>
      <c r="E3" s="3" t="s">
        <v>55</v>
      </c>
      <c r="F3" s="3" t="s">
        <v>12</v>
      </c>
      <c r="G3" s="3" t="s">
        <v>13</v>
      </c>
      <c r="H3" s="3" t="s">
        <v>56</v>
      </c>
      <c r="I3" s="3" t="s">
        <v>16</v>
      </c>
      <c r="J3" s="3" t="s">
        <v>57</v>
      </c>
    </row>
    <row r="4" ht="38" customHeight="1" spans="1:10">
      <c r="A4" s="16" t="s">
        <v>58</v>
      </c>
      <c r="B4" s="17" t="s">
        <v>17</v>
      </c>
      <c r="C4" s="17" t="s">
        <v>18</v>
      </c>
      <c r="D4" s="16" t="s">
        <v>59</v>
      </c>
      <c r="E4" s="16" t="s">
        <v>60</v>
      </c>
      <c r="F4" s="16" t="s">
        <v>19</v>
      </c>
      <c r="G4" s="16" t="s">
        <v>61</v>
      </c>
      <c r="H4" s="16" t="s">
        <v>62</v>
      </c>
      <c r="I4" s="16" t="s">
        <v>63</v>
      </c>
      <c r="J4" s="16" t="s">
        <v>64</v>
      </c>
    </row>
    <row r="5" ht="38" customHeight="1" spans="1:10">
      <c r="A5" s="18" t="s">
        <v>65</v>
      </c>
      <c r="B5" s="19" t="s">
        <v>17</v>
      </c>
      <c r="C5" s="19" t="s">
        <v>18</v>
      </c>
      <c r="D5" s="18" t="s">
        <v>66</v>
      </c>
      <c r="E5" s="18" t="s">
        <v>67</v>
      </c>
      <c r="F5" s="18" t="s">
        <v>19</v>
      </c>
      <c r="G5" s="18" t="s">
        <v>61</v>
      </c>
      <c r="H5" s="18" t="s">
        <v>62</v>
      </c>
      <c r="I5" s="18" t="s">
        <v>68</v>
      </c>
      <c r="J5" s="18" t="s">
        <v>69</v>
      </c>
    </row>
    <row r="6" ht="38" customHeight="1" spans="1:10">
      <c r="A6" s="18" t="s">
        <v>70</v>
      </c>
      <c r="B6" s="19" t="s">
        <v>17</v>
      </c>
      <c r="C6" s="19" t="s">
        <v>18</v>
      </c>
      <c r="D6" s="18" t="s">
        <v>71</v>
      </c>
      <c r="E6" s="18" t="s">
        <v>67</v>
      </c>
      <c r="F6" s="18" t="s">
        <v>19</v>
      </c>
      <c r="G6" s="18" t="s">
        <v>61</v>
      </c>
      <c r="H6" s="18" t="s">
        <v>62</v>
      </c>
      <c r="I6" s="18" t="s">
        <v>72</v>
      </c>
      <c r="J6" s="18" t="s">
        <v>73</v>
      </c>
    </row>
    <row r="7" ht="38" customHeight="1" spans="1:10">
      <c r="A7" s="18" t="s">
        <v>74</v>
      </c>
      <c r="B7" s="19" t="s">
        <v>17</v>
      </c>
      <c r="C7" s="19" t="s">
        <v>18</v>
      </c>
      <c r="D7" s="18" t="s">
        <v>75</v>
      </c>
      <c r="E7" s="18" t="s">
        <v>60</v>
      </c>
      <c r="F7" s="18" t="s">
        <v>19</v>
      </c>
      <c r="G7" s="18" t="s">
        <v>61</v>
      </c>
      <c r="H7" s="18" t="s">
        <v>62</v>
      </c>
      <c r="I7" s="18" t="s">
        <v>76</v>
      </c>
      <c r="J7" s="18" t="s">
        <v>77</v>
      </c>
    </row>
    <row r="8" ht="38" customHeight="1" spans="1:10">
      <c r="A8" s="18" t="s">
        <v>78</v>
      </c>
      <c r="B8" s="19" t="s">
        <v>17</v>
      </c>
      <c r="C8" s="19" t="s">
        <v>18</v>
      </c>
      <c r="D8" s="18" t="s">
        <v>79</v>
      </c>
      <c r="E8" s="18" t="s">
        <v>80</v>
      </c>
      <c r="F8" s="18" t="s">
        <v>19</v>
      </c>
      <c r="G8" s="18" t="s">
        <v>61</v>
      </c>
      <c r="H8" s="18" t="s">
        <v>62</v>
      </c>
      <c r="I8" s="18" t="s">
        <v>81</v>
      </c>
      <c r="J8" s="18" t="s">
        <v>82</v>
      </c>
    </row>
    <row r="9" ht="38" customHeight="1" spans="1:10">
      <c r="A9" s="20" t="s">
        <v>83</v>
      </c>
      <c r="B9" s="21" t="s">
        <v>22</v>
      </c>
      <c r="C9" s="21" t="s">
        <v>23</v>
      </c>
      <c r="D9" s="20" t="s">
        <v>84</v>
      </c>
      <c r="E9" s="20" t="s">
        <v>85</v>
      </c>
      <c r="F9" s="20" t="s">
        <v>19</v>
      </c>
      <c r="G9" s="20" t="s">
        <v>61</v>
      </c>
      <c r="H9" s="20" t="s">
        <v>62</v>
      </c>
      <c r="I9" s="20" t="s">
        <v>86</v>
      </c>
      <c r="J9" s="20" t="s">
        <v>87</v>
      </c>
    </row>
    <row r="10" ht="38" customHeight="1" spans="1:10">
      <c r="A10" s="20" t="s">
        <v>88</v>
      </c>
      <c r="B10" s="21" t="s">
        <v>22</v>
      </c>
      <c r="C10" s="21" t="s">
        <v>23</v>
      </c>
      <c r="D10" s="20" t="s">
        <v>89</v>
      </c>
      <c r="E10" s="20" t="s">
        <v>80</v>
      </c>
      <c r="F10" s="20" t="s">
        <v>19</v>
      </c>
      <c r="G10" s="20" t="s">
        <v>61</v>
      </c>
      <c r="H10" s="20" t="s">
        <v>62</v>
      </c>
      <c r="I10" s="20" t="s">
        <v>90</v>
      </c>
      <c r="J10" s="20" t="s">
        <v>91</v>
      </c>
    </row>
    <row r="11" ht="38" customHeight="1" spans="1:10">
      <c r="A11" s="20" t="s">
        <v>92</v>
      </c>
      <c r="B11" s="21" t="s">
        <v>22</v>
      </c>
      <c r="C11" s="21" t="s">
        <v>23</v>
      </c>
      <c r="D11" s="20" t="s">
        <v>93</v>
      </c>
      <c r="E11" s="20" t="s">
        <v>94</v>
      </c>
      <c r="F11" s="20" t="s">
        <v>19</v>
      </c>
      <c r="G11" s="20" t="s">
        <v>61</v>
      </c>
      <c r="H11" s="20" t="s">
        <v>95</v>
      </c>
      <c r="I11" s="20" t="s">
        <v>96</v>
      </c>
      <c r="J11" s="20" t="s">
        <v>97</v>
      </c>
    </row>
    <row r="12" ht="38" customHeight="1" spans="1:10">
      <c r="A12" s="20" t="s">
        <v>98</v>
      </c>
      <c r="B12" s="21" t="s">
        <v>22</v>
      </c>
      <c r="C12" s="21" t="s">
        <v>23</v>
      </c>
      <c r="D12" s="20" t="s">
        <v>99</v>
      </c>
      <c r="E12" s="20" t="s">
        <v>100</v>
      </c>
      <c r="F12" s="20" t="s">
        <v>19</v>
      </c>
      <c r="G12" s="20" t="s">
        <v>61</v>
      </c>
      <c r="H12" s="20" t="s">
        <v>62</v>
      </c>
      <c r="I12" s="20" t="s">
        <v>101</v>
      </c>
      <c r="J12" s="20" t="s">
        <v>102</v>
      </c>
    </row>
    <row r="13" ht="38" customHeight="1" spans="1:10">
      <c r="A13" s="20" t="s">
        <v>103</v>
      </c>
      <c r="B13" s="21" t="s">
        <v>22</v>
      </c>
      <c r="C13" s="21" t="s">
        <v>23</v>
      </c>
      <c r="D13" s="20" t="s">
        <v>104</v>
      </c>
      <c r="E13" s="20" t="s">
        <v>94</v>
      </c>
      <c r="F13" s="20" t="s">
        <v>19</v>
      </c>
      <c r="G13" s="20" t="s">
        <v>61</v>
      </c>
      <c r="H13" s="20" t="s">
        <v>62</v>
      </c>
      <c r="I13" s="20" t="s">
        <v>105</v>
      </c>
      <c r="J13" s="20" t="s">
        <v>106</v>
      </c>
    </row>
    <row r="14" ht="38" customHeight="1" spans="1:10">
      <c r="A14" s="20" t="s">
        <v>107</v>
      </c>
      <c r="B14" s="21" t="s">
        <v>22</v>
      </c>
      <c r="C14" s="21" t="s">
        <v>23</v>
      </c>
      <c r="D14" s="20" t="s">
        <v>108</v>
      </c>
      <c r="E14" s="20" t="s">
        <v>109</v>
      </c>
      <c r="F14" s="20" t="s">
        <v>19</v>
      </c>
      <c r="G14" s="20" t="s">
        <v>61</v>
      </c>
      <c r="H14" s="20" t="s">
        <v>110</v>
      </c>
      <c r="I14" s="20" t="s">
        <v>111</v>
      </c>
      <c r="J14" s="20" t="s">
        <v>112</v>
      </c>
    </row>
    <row r="15" ht="38" customHeight="1" spans="1:10">
      <c r="A15" s="20" t="s">
        <v>113</v>
      </c>
      <c r="B15" s="21" t="s">
        <v>22</v>
      </c>
      <c r="C15" s="21" t="s">
        <v>23</v>
      </c>
      <c r="D15" s="20" t="s">
        <v>114</v>
      </c>
      <c r="E15" s="20" t="s">
        <v>100</v>
      </c>
      <c r="F15" s="20" t="s">
        <v>19</v>
      </c>
      <c r="G15" s="20" t="s">
        <v>61</v>
      </c>
      <c r="H15" s="20" t="s">
        <v>110</v>
      </c>
      <c r="I15" s="20" t="s">
        <v>115</v>
      </c>
      <c r="J15" s="20" t="s">
        <v>116</v>
      </c>
    </row>
    <row r="16" ht="38" customHeight="1" spans="1:10">
      <c r="A16" s="20" t="s">
        <v>117</v>
      </c>
      <c r="B16" s="21" t="s">
        <v>22</v>
      </c>
      <c r="C16" s="21" t="s">
        <v>118</v>
      </c>
      <c r="D16" s="20" t="s">
        <v>119</v>
      </c>
      <c r="E16" s="20" t="s">
        <v>120</v>
      </c>
      <c r="F16" s="20" t="s">
        <v>19</v>
      </c>
      <c r="G16" s="20" t="s">
        <v>61</v>
      </c>
      <c r="H16" s="20" t="s">
        <v>110</v>
      </c>
      <c r="I16" s="20" t="s">
        <v>121</v>
      </c>
      <c r="J16" s="20" t="s">
        <v>122</v>
      </c>
    </row>
    <row r="17" ht="38" customHeight="1" spans="1:10">
      <c r="A17" s="20" t="s">
        <v>123</v>
      </c>
      <c r="B17" s="21" t="s">
        <v>22</v>
      </c>
      <c r="C17" s="21" t="s">
        <v>118</v>
      </c>
      <c r="D17" s="20" t="s">
        <v>124</v>
      </c>
      <c r="E17" s="20" t="s">
        <v>120</v>
      </c>
      <c r="F17" s="20" t="s">
        <v>19</v>
      </c>
      <c r="G17" s="20" t="s">
        <v>61</v>
      </c>
      <c r="H17" s="20" t="s">
        <v>110</v>
      </c>
      <c r="I17" s="20" t="s">
        <v>125</v>
      </c>
      <c r="J17" s="20" t="s">
        <v>126</v>
      </c>
    </row>
    <row r="18" ht="38" customHeight="1" spans="1:10">
      <c r="A18" s="20" t="s">
        <v>127</v>
      </c>
      <c r="B18" s="21" t="s">
        <v>22</v>
      </c>
      <c r="C18" s="21" t="s">
        <v>118</v>
      </c>
      <c r="D18" s="20" t="s">
        <v>128</v>
      </c>
      <c r="E18" s="20" t="s">
        <v>109</v>
      </c>
      <c r="F18" s="20" t="s">
        <v>19</v>
      </c>
      <c r="G18" s="20" t="s">
        <v>61</v>
      </c>
      <c r="H18" s="20" t="s">
        <v>62</v>
      </c>
      <c r="I18" s="20" t="s">
        <v>129</v>
      </c>
      <c r="J18" s="20" t="s">
        <v>130</v>
      </c>
    </row>
    <row r="19" ht="38" customHeight="1" spans="1:10">
      <c r="A19" s="22" t="s">
        <v>131</v>
      </c>
      <c r="B19" s="23" t="s">
        <v>25</v>
      </c>
      <c r="C19" s="23" t="s">
        <v>26</v>
      </c>
      <c r="D19" s="22" t="s">
        <v>132</v>
      </c>
      <c r="E19" s="22" t="s">
        <v>133</v>
      </c>
      <c r="F19" s="22" t="s">
        <v>19</v>
      </c>
      <c r="G19" s="22" t="s">
        <v>61</v>
      </c>
      <c r="H19" s="22" t="s">
        <v>62</v>
      </c>
      <c r="I19" s="22" t="s">
        <v>134</v>
      </c>
      <c r="J19" s="22" t="s">
        <v>135</v>
      </c>
    </row>
    <row r="20" ht="38" customHeight="1" spans="1:10">
      <c r="A20" s="22" t="s">
        <v>136</v>
      </c>
      <c r="B20" s="23" t="s">
        <v>25</v>
      </c>
      <c r="C20" s="23" t="s">
        <v>26</v>
      </c>
      <c r="D20" s="22" t="s">
        <v>137</v>
      </c>
      <c r="E20" s="22" t="s">
        <v>138</v>
      </c>
      <c r="F20" s="22" t="s">
        <v>19</v>
      </c>
      <c r="G20" s="22" t="s">
        <v>61</v>
      </c>
      <c r="H20" s="22" t="s">
        <v>110</v>
      </c>
      <c r="I20" s="22" t="s">
        <v>139</v>
      </c>
      <c r="J20" s="22" t="s">
        <v>140</v>
      </c>
    </row>
    <row r="21" ht="38" customHeight="1" spans="1:10">
      <c r="A21" s="22" t="s">
        <v>141</v>
      </c>
      <c r="B21" s="23" t="s">
        <v>25</v>
      </c>
      <c r="C21" s="23" t="s">
        <v>142</v>
      </c>
      <c r="D21" s="22" t="s">
        <v>143</v>
      </c>
      <c r="E21" s="22" t="s">
        <v>138</v>
      </c>
      <c r="F21" s="22" t="s">
        <v>19</v>
      </c>
      <c r="G21" s="22" t="s">
        <v>61</v>
      </c>
      <c r="H21" s="22" t="s">
        <v>144</v>
      </c>
      <c r="I21" s="22" t="s">
        <v>145</v>
      </c>
      <c r="J21" s="22" t="s">
        <v>146</v>
      </c>
    </row>
    <row r="22" ht="38" customHeight="1" spans="1:10">
      <c r="A22" s="22" t="s">
        <v>147</v>
      </c>
      <c r="B22" s="23" t="s">
        <v>25</v>
      </c>
      <c r="C22" s="23" t="s">
        <v>142</v>
      </c>
      <c r="D22" s="22" t="s">
        <v>148</v>
      </c>
      <c r="E22" s="22" t="s">
        <v>138</v>
      </c>
      <c r="F22" s="22" t="s">
        <v>19</v>
      </c>
      <c r="G22" s="22" t="s">
        <v>61</v>
      </c>
      <c r="H22" s="22" t="s">
        <v>144</v>
      </c>
      <c r="I22" s="22" t="s">
        <v>149</v>
      </c>
      <c r="J22" s="22" t="s">
        <v>150</v>
      </c>
    </row>
    <row r="23" ht="38" customHeight="1" spans="1:10">
      <c r="A23" s="22" t="s">
        <v>151</v>
      </c>
      <c r="B23" s="23" t="s">
        <v>25</v>
      </c>
      <c r="C23" s="23" t="s">
        <v>142</v>
      </c>
      <c r="D23" s="22" t="s">
        <v>152</v>
      </c>
      <c r="E23" s="22" t="s">
        <v>138</v>
      </c>
      <c r="F23" s="22" t="s">
        <v>19</v>
      </c>
      <c r="G23" s="22" t="s">
        <v>61</v>
      </c>
      <c r="H23" s="22" t="s">
        <v>144</v>
      </c>
      <c r="I23" s="22" t="s">
        <v>153</v>
      </c>
      <c r="J23" s="22" t="s">
        <v>154</v>
      </c>
    </row>
    <row r="24" ht="38" customHeight="1" spans="1:10">
      <c r="A24" s="22" t="s">
        <v>155</v>
      </c>
      <c r="B24" s="23" t="s">
        <v>25</v>
      </c>
      <c r="C24" s="23" t="s">
        <v>142</v>
      </c>
      <c r="D24" s="22" t="s">
        <v>156</v>
      </c>
      <c r="E24" s="22" t="s">
        <v>138</v>
      </c>
      <c r="F24" s="22" t="s">
        <v>19</v>
      </c>
      <c r="G24" s="22" t="s">
        <v>61</v>
      </c>
      <c r="H24" s="22" t="s">
        <v>62</v>
      </c>
      <c r="I24" s="22" t="s">
        <v>157</v>
      </c>
      <c r="J24" s="22" t="s">
        <v>158</v>
      </c>
    </row>
    <row r="25" ht="38" customHeight="1" spans="1:10">
      <c r="A25" s="22" t="s">
        <v>159</v>
      </c>
      <c r="B25" s="23" t="s">
        <v>25</v>
      </c>
      <c r="C25" s="22" t="s">
        <v>160</v>
      </c>
      <c r="D25" s="22" t="s">
        <v>161</v>
      </c>
      <c r="E25" s="22" t="s">
        <v>162</v>
      </c>
      <c r="F25" s="22" t="s">
        <v>19</v>
      </c>
      <c r="G25" s="22" t="s">
        <v>61</v>
      </c>
      <c r="H25" s="22" t="s">
        <v>144</v>
      </c>
      <c r="I25" s="22" t="s">
        <v>163</v>
      </c>
      <c r="J25" s="22" t="s">
        <v>164</v>
      </c>
    </row>
    <row r="26" ht="38" customHeight="1" spans="1:10">
      <c r="A26" s="22" t="s">
        <v>165</v>
      </c>
      <c r="B26" s="23" t="s">
        <v>25</v>
      </c>
      <c r="C26" s="22" t="s">
        <v>166</v>
      </c>
      <c r="D26" s="22" t="s">
        <v>167</v>
      </c>
      <c r="E26" s="22" t="s">
        <v>168</v>
      </c>
      <c r="F26" s="22" t="s">
        <v>19</v>
      </c>
      <c r="G26" s="22" t="s">
        <v>169</v>
      </c>
      <c r="H26" s="22" t="s">
        <v>62</v>
      </c>
      <c r="I26" s="22" t="s">
        <v>170</v>
      </c>
      <c r="J26" s="22" t="s">
        <v>171</v>
      </c>
    </row>
    <row r="27" ht="38" customHeight="1" spans="1:10">
      <c r="A27" s="24" t="s">
        <v>172</v>
      </c>
      <c r="B27" s="25" t="s">
        <v>28</v>
      </c>
      <c r="C27" s="24" t="s">
        <v>173</v>
      </c>
      <c r="D27" s="24" t="s">
        <v>174</v>
      </c>
      <c r="E27" s="24" t="s">
        <v>162</v>
      </c>
      <c r="F27" s="24" t="s">
        <v>19</v>
      </c>
      <c r="G27" s="24" t="s">
        <v>61</v>
      </c>
      <c r="H27" s="24" t="s">
        <v>144</v>
      </c>
      <c r="I27" s="24" t="s">
        <v>175</v>
      </c>
      <c r="J27" s="24" t="s">
        <v>176</v>
      </c>
    </row>
    <row r="28" ht="38" customHeight="1" spans="1:10">
      <c r="A28" s="24" t="s">
        <v>177</v>
      </c>
      <c r="B28" s="25" t="s">
        <v>28</v>
      </c>
      <c r="C28" s="24" t="s">
        <v>178</v>
      </c>
      <c r="D28" s="24" t="s">
        <v>179</v>
      </c>
      <c r="E28" s="24" t="s">
        <v>162</v>
      </c>
      <c r="F28" s="24" t="s">
        <v>19</v>
      </c>
      <c r="G28" s="24" t="s">
        <v>61</v>
      </c>
      <c r="H28" s="24" t="s">
        <v>144</v>
      </c>
      <c r="I28" s="24" t="s">
        <v>180</v>
      </c>
      <c r="J28" s="24" t="s">
        <v>181</v>
      </c>
    </row>
    <row r="29" ht="38" customHeight="1" spans="1:10">
      <c r="A29" s="24" t="s">
        <v>182</v>
      </c>
      <c r="B29" s="25" t="s">
        <v>28</v>
      </c>
      <c r="C29" s="24" t="s">
        <v>183</v>
      </c>
      <c r="D29" s="24" t="s">
        <v>184</v>
      </c>
      <c r="E29" s="24" t="s">
        <v>162</v>
      </c>
      <c r="F29" s="24" t="s">
        <v>19</v>
      </c>
      <c r="G29" s="24" t="s">
        <v>61</v>
      </c>
      <c r="H29" s="24" t="s">
        <v>144</v>
      </c>
      <c r="I29" s="24" t="s">
        <v>185</v>
      </c>
      <c r="J29" s="24" t="s">
        <v>186</v>
      </c>
    </row>
    <row r="30" ht="38" customHeight="1" spans="1:10">
      <c r="A30" s="24" t="s">
        <v>187</v>
      </c>
      <c r="B30" s="25" t="s">
        <v>28</v>
      </c>
      <c r="C30" s="25" t="s">
        <v>188</v>
      </c>
      <c r="D30" s="24" t="s">
        <v>189</v>
      </c>
      <c r="E30" s="24" t="s">
        <v>162</v>
      </c>
      <c r="F30" s="24" t="s">
        <v>19</v>
      </c>
      <c r="G30" s="24" t="s">
        <v>61</v>
      </c>
      <c r="H30" s="24" t="s">
        <v>62</v>
      </c>
      <c r="I30" s="24" t="s">
        <v>190</v>
      </c>
      <c r="J30" s="24" t="s">
        <v>191</v>
      </c>
    </row>
    <row r="31" ht="38" customHeight="1" spans="1:10">
      <c r="A31" s="24" t="s">
        <v>192</v>
      </c>
      <c r="B31" s="25" t="s">
        <v>28</v>
      </c>
      <c r="C31" s="25" t="s">
        <v>188</v>
      </c>
      <c r="D31" s="24" t="s">
        <v>193</v>
      </c>
      <c r="E31" s="24" t="s">
        <v>162</v>
      </c>
      <c r="F31" s="24" t="s">
        <v>47</v>
      </c>
      <c r="G31" s="24" t="s">
        <v>169</v>
      </c>
      <c r="H31" s="24" t="s">
        <v>144</v>
      </c>
      <c r="I31" s="24" t="s">
        <v>194</v>
      </c>
      <c r="J31" s="24" t="s">
        <v>195</v>
      </c>
    </row>
    <row r="32" ht="38" customHeight="1" spans="1:10">
      <c r="A32" s="24" t="s">
        <v>196</v>
      </c>
      <c r="B32" s="25" t="s">
        <v>28</v>
      </c>
      <c r="C32" s="25" t="s">
        <v>188</v>
      </c>
      <c r="D32" s="24" t="s">
        <v>197</v>
      </c>
      <c r="E32" s="24" t="s">
        <v>162</v>
      </c>
      <c r="F32" s="24" t="s">
        <v>19</v>
      </c>
      <c r="G32" s="24" t="s">
        <v>61</v>
      </c>
      <c r="H32" s="24" t="s">
        <v>144</v>
      </c>
      <c r="I32" s="24" t="s">
        <v>198</v>
      </c>
      <c r="J32" s="24" t="s">
        <v>199</v>
      </c>
    </row>
    <row r="33" ht="38" customHeight="1" spans="1:10">
      <c r="A33" s="24" t="s">
        <v>200</v>
      </c>
      <c r="B33" s="25" t="s">
        <v>28</v>
      </c>
      <c r="C33" s="25" t="s">
        <v>188</v>
      </c>
      <c r="D33" s="24" t="s">
        <v>201</v>
      </c>
      <c r="E33" s="24" t="s">
        <v>202</v>
      </c>
      <c r="F33" s="24" t="s">
        <v>19</v>
      </c>
      <c r="G33" s="24" t="s">
        <v>203</v>
      </c>
      <c r="H33" s="24" t="s">
        <v>62</v>
      </c>
      <c r="I33" s="24" t="s">
        <v>204</v>
      </c>
      <c r="J33" s="24" t="s">
        <v>205</v>
      </c>
    </row>
    <row r="34" ht="38" customHeight="1" spans="1:10">
      <c r="A34" s="24" t="s">
        <v>206</v>
      </c>
      <c r="B34" s="25" t="s">
        <v>28</v>
      </c>
      <c r="C34" s="24" t="s">
        <v>207</v>
      </c>
      <c r="D34" s="24" t="s">
        <v>208</v>
      </c>
      <c r="E34" s="24" t="s">
        <v>209</v>
      </c>
      <c r="F34" s="24" t="s">
        <v>19</v>
      </c>
      <c r="G34" s="24" t="s">
        <v>61</v>
      </c>
      <c r="H34" s="24" t="s">
        <v>62</v>
      </c>
      <c r="I34" s="24" t="s">
        <v>210</v>
      </c>
      <c r="J34" s="24" t="s">
        <v>211</v>
      </c>
    </row>
    <row r="35" ht="38" customHeight="1" spans="1:10">
      <c r="A35" s="24" t="s">
        <v>212</v>
      </c>
      <c r="B35" s="25" t="s">
        <v>28</v>
      </c>
      <c r="C35" s="25" t="s">
        <v>213</v>
      </c>
      <c r="D35" s="24" t="s">
        <v>214</v>
      </c>
      <c r="E35" s="24" t="s">
        <v>162</v>
      </c>
      <c r="F35" s="24" t="s">
        <v>19</v>
      </c>
      <c r="G35" s="24" t="s">
        <v>61</v>
      </c>
      <c r="H35" s="24" t="s">
        <v>62</v>
      </c>
      <c r="I35" s="24" t="s">
        <v>215</v>
      </c>
      <c r="J35" s="24" t="s">
        <v>216</v>
      </c>
    </row>
    <row r="36" ht="38" customHeight="1" spans="1:10">
      <c r="A36" s="24" t="s">
        <v>217</v>
      </c>
      <c r="B36" s="25" t="s">
        <v>28</v>
      </c>
      <c r="C36" s="25" t="s">
        <v>213</v>
      </c>
      <c r="D36" s="24" t="s">
        <v>218</v>
      </c>
      <c r="E36" s="24" t="s">
        <v>162</v>
      </c>
      <c r="F36" s="24" t="s">
        <v>19</v>
      </c>
      <c r="G36" s="24" t="s">
        <v>61</v>
      </c>
      <c r="H36" s="24" t="s">
        <v>144</v>
      </c>
      <c r="I36" s="24" t="s">
        <v>219</v>
      </c>
      <c r="J36" s="24" t="s">
        <v>220</v>
      </c>
    </row>
    <row r="37" ht="38" customHeight="1" spans="1:10">
      <c r="A37" s="24" t="s">
        <v>221</v>
      </c>
      <c r="B37" s="25" t="s">
        <v>28</v>
      </c>
      <c r="C37" s="24" t="s">
        <v>222</v>
      </c>
      <c r="D37" s="24" t="s">
        <v>223</v>
      </c>
      <c r="E37" s="24" t="s">
        <v>162</v>
      </c>
      <c r="F37" s="24" t="s">
        <v>47</v>
      </c>
      <c r="G37" s="24" t="s">
        <v>169</v>
      </c>
      <c r="H37" s="24" t="s">
        <v>144</v>
      </c>
      <c r="I37" s="24" t="s">
        <v>224</v>
      </c>
      <c r="J37" s="24" t="s">
        <v>225</v>
      </c>
    </row>
    <row r="38" ht="38" customHeight="1" spans="1:10">
      <c r="A38" s="26" t="s">
        <v>226</v>
      </c>
      <c r="B38" s="27" t="s">
        <v>31</v>
      </c>
      <c r="C38" s="27" t="s">
        <v>32</v>
      </c>
      <c r="D38" s="26" t="s">
        <v>227</v>
      </c>
      <c r="E38" s="26" t="s">
        <v>109</v>
      </c>
      <c r="F38" s="26" t="s">
        <v>19</v>
      </c>
      <c r="G38" s="26" t="s">
        <v>61</v>
      </c>
      <c r="H38" s="26" t="s">
        <v>62</v>
      </c>
      <c r="I38" s="26" t="s">
        <v>228</v>
      </c>
      <c r="J38" s="26" t="s">
        <v>229</v>
      </c>
    </row>
    <row r="39" ht="38" customHeight="1" spans="1:10">
      <c r="A39" s="26" t="s">
        <v>230</v>
      </c>
      <c r="B39" s="27" t="s">
        <v>31</v>
      </c>
      <c r="C39" s="27" t="s">
        <v>32</v>
      </c>
      <c r="D39" s="26" t="s">
        <v>231</v>
      </c>
      <c r="E39" s="26" t="s">
        <v>109</v>
      </c>
      <c r="F39" s="26" t="s">
        <v>19</v>
      </c>
      <c r="G39" s="26" t="s">
        <v>61</v>
      </c>
      <c r="H39" s="26" t="s">
        <v>110</v>
      </c>
      <c r="I39" s="26" t="s">
        <v>232</v>
      </c>
      <c r="J39" s="26" t="s">
        <v>233</v>
      </c>
    </row>
    <row r="40" ht="38" customHeight="1" spans="1:10">
      <c r="A40" s="26" t="s">
        <v>234</v>
      </c>
      <c r="B40" s="27" t="s">
        <v>31</v>
      </c>
      <c r="C40" s="27" t="s">
        <v>32</v>
      </c>
      <c r="D40" s="26" t="s">
        <v>235</v>
      </c>
      <c r="E40" s="26" t="s">
        <v>120</v>
      </c>
      <c r="F40" s="26" t="s">
        <v>19</v>
      </c>
      <c r="G40" s="26" t="s">
        <v>61</v>
      </c>
      <c r="H40" s="26" t="s">
        <v>110</v>
      </c>
      <c r="I40" s="26" t="s">
        <v>236</v>
      </c>
      <c r="J40" s="26" t="s">
        <v>237</v>
      </c>
    </row>
    <row r="41" ht="38" customHeight="1" spans="1:10">
      <c r="A41" s="26" t="s">
        <v>238</v>
      </c>
      <c r="B41" s="27" t="s">
        <v>31</v>
      </c>
      <c r="C41" s="27" t="s">
        <v>239</v>
      </c>
      <c r="D41" s="26" t="s">
        <v>240</v>
      </c>
      <c r="E41" s="26" t="s">
        <v>241</v>
      </c>
      <c r="F41" s="26" t="s">
        <v>47</v>
      </c>
      <c r="G41" s="26" t="s">
        <v>169</v>
      </c>
      <c r="H41" s="26" t="s">
        <v>144</v>
      </c>
      <c r="I41" s="26" t="s">
        <v>242</v>
      </c>
      <c r="J41" s="26" t="s">
        <v>243</v>
      </c>
    </row>
    <row r="42" ht="38" customHeight="1" spans="1:10">
      <c r="A42" s="26" t="s">
        <v>244</v>
      </c>
      <c r="B42" s="27" t="s">
        <v>31</v>
      </c>
      <c r="C42" s="27" t="s">
        <v>239</v>
      </c>
      <c r="D42" s="26" t="s">
        <v>245</v>
      </c>
      <c r="E42" s="26" t="s">
        <v>246</v>
      </c>
      <c r="F42" s="26" t="s">
        <v>19</v>
      </c>
      <c r="G42" s="26" t="s">
        <v>169</v>
      </c>
      <c r="H42" s="26" t="s">
        <v>144</v>
      </c>
      <c r="I42" s="26" t="s">
        <v>247</v>
      </c>
      <c r="J42" s="26" t="s">
        <v>248</v>
      </c>
    </row>
    <row r="43" ht="38" customHeight="1" spans="1:10">
      <c r="A43" s="28" t="s">
        <v>249</v>
      </c>
      <c r="B43" s="29" t="s">
        <v>34</v>
      </c>
      <c r="C43" s="28" t="s">
        <v>250</v>
      </c>
      <c r="D43" s="28" t="s">
        <v>251</v>
      </c>
      <c r="E43" s="28" t="s">
        <v>60</v>
      </c>
      <c r="F43" s="28" t="s">
        <v>19</v>
      </c>
      <c r="G43" s="28" t="s">
        <v>61</v>
      </c>
      <c r="H43" s="28" t="s">
        <v>144</v>
      </c>
      <c r="I43" s="28" t="s">
        <v>252</v>
      </c>
      <c r="J43" s="28" t="s">
        <v>253</v>
      </c>
    </row>
    <row r="44" ht="38" customHeight="1" spans="1:10">
      <c r="A44" s="28" t="s">
        <v>254</v>
      </c>
      <c r="B44" s="29" t="s">
        <v>34</v>
      </c>
      <c r="C44" s="29" t="s">
        <v>255</v>
      </c>
      <c r="D44" s="28" t="s">
        <v>256</v>
      </c>
      <c r="E44" s="28" t="s">
        <v>257</v>
      </c>
      <c r="F44" s="28" t="s">
        <v>19</v>
      </c>
      <c r="G44" s="28" t="s">
        <v>61</v>
      </c>
      <c r="H44" s="28" t="s">
        <v>95</v>
      </c>
      <c r="I44" s="28" t="s">
        <v>258</v>
      </c>
      <c r="J44" s="28" t="s">
        <v>259</v>
      </c>
    </row>
    <row r="45" ht="38" customHeight="1" spans="1:10">
      <c r="A45" s="28" t="s">
        <v>260</v>
      </c>
      <c r="B45" s="29" t="s">
        <v>34</v>
      </c>
      <c r="C45" s="29" t="s">
        <v>255</v>
      </c>
      <c r="D45" s="28" t="s">
        <v>261</v>
      </c>
      <c r="E45" s="28" t="s">
        <v>257</v>
      </c>
      <c r="F45" s="28" t="s">
        <v>19</v>
      </c>
      <c r="G45" s="28" t="s">
        <v>61</v>
      </c>
      <c r="H45" s="28" t="s">
        <v>110</v>
      </c>
      <c r="I45" s="28" t="s">
        <v>262</v>
      </c>
      <c r="J45" s="28" t="s">
        <v>263</v>
      </c>
    </row>
    <row r="46" ht="38" customHeight="1" spans="1:10">
      <c r="A46" s="28" t="s">
        <v>264</v>
      </c>
      <c r="B46" s="29" t="s">
        <v>34</v>
      </c>
      <c r="C46" s="28" t="s">
        <v>265</v>
      </c>
      <c r="D46" s="28" t="s">
        <v>266</v>
      </c>
      <c r="E46" s="28" t="s">
        <v>267</v>
      </c>
      <c r="F46" s="28" t="s">
        <v>19</v>
      </c>
      <c r="G46" s="28" t="s">
        <v>61</v>
      </c>
      <c r="H46" s="28" t="s">
        <v>95</v>
      </c>
      <c r="I46" s="28" t="s">
        <v>268</v>
      </c>
      <c r="J46" s="28" t="s">
        <v>269</v>
      </c>
    </row>
    <row r="47" ht="38" customHeight="1" spans="1:10">
      <c r="A47" s="28" t="s">
        <v>270</v>
      </c>
      <c r="B47" s="29" t="s">
        <v>34</v>
      </c>
      <c r="C47" s="28" t="s">
        <v>271</v>
      </c>
      <c r="D47" s="28" t="s">
        <v>272</v>
      </c>
      <c r="E47" s="28" t="s">
        <v>257</v>
      </c>
      <c r="F47" s="28" t="s">
        <v>19</v>
      </c>
      <c r="G47" s="28" t="s">
        <v>61</v>
      </c>
      <c r="H47" s="28" t="s">
        <v>62</v>
      </c>
      <c r="I47" s="28" t="s">
        <v>273</v>
      </c>
      <c r="J47" s="28" t="s">
        <v>274</v>
      </c>
    </row>
    <row r="48" ht="38" customHeight="1" spans="1:10">
      <c r="A48" s="28" t="s">
        <v>275</v>
      </c>
      <c r="B48" s="29" t="s">
        <v>34</v>
      </c>
      <c r="C48" s="28" t="s">
        <v>276</v>
      </c>
      <c r="D48" s="28" t="s">
        <v>277</v>
      </c>
      <c r="E48" s="28" t="s">
        <v>257</v>
      </c>
      <c r="F48" s="28" t="s">
        <v>47</v>
      </c>
      <c r="G48" s="28" t="s">
        <v>278</v>
      </c>
      <c r="H48" s="28" t="s">
        <v>279</v>
      </c>
      <c r="I48" s="28" t="s">
        <v>280</v>
      </c>
      <c r="J48" s="28" t="s">
        <v>281</v>
      </c>
    </row>
    <row r="49" ht="38" customHeight="1" spans="1:10">
      <c r="A49" s="28" t="s">
        <v>282</v>
      </c>
      <c r="B49" s="29" t="s">
        <v>34</v>
      </c>
      <c r="C49" s="28" t="s">
        <v>283</v>
      </c>
      <c r="D49" s="28" t="s">
        <v>284</v>
      </c>
      <c r="E49" s="28" t="s">
        <v>285</v>
      </c>
      <c r="F49" s="28" t="s">
        <v>47</v>
      </c>
      <c r="G49" s="28" t="s">
        <v>169</v>
      </c>
      <c r="H49" s="28" t="s">
        <v>144</v>
      </c>
      <c r="I49" s="28" t="s">
        <v>286</v>
      </c>
      <c r="J49" s="28" t="s">
        <v>287</v>
      </c>
    </row>
    <row r="50" ht="38" customHeight="1" spans="1:10">
      <c r="A50" s="30" t="s">
        <v>288</v>
      </c>
      <c r="B50" s="31" t="s">
        <v>38</v>
      </c>
      <c r="C50" s="31" t="s">
        <v>289</v>
      </c>
      <c r="D50" s="30" t="s">
        <v>290</v>
      </c>
      <c r="E50" s="30" t="s">
        <v>291</v>
      </c>
      <c r="F50" s="30" t="s">
        <v>19</v>
      </c>
      <c r="G50" s="30" t="s">
        <v>61</v>
      </c>
      <c r="H50" s="30" t="s">
        <v>62</v>
      </c>
      <c r="I50" s="30" t="s">
        <v>292</v>
      </c>
      <c r="J50" s="30" t="s">
        <v>293</v>
      </c>
    </row>
    <row r="51" ht="38" customHeight="1" spans="1:10">
      <c r="A51" s="30" t="s">
        <v>294</v>
      </c>
      <c r="B51" s="31" t="s">
        <v>38</v>
      </c>
      <c r="C51" s="31" t="s">
        <v>289</v>
      </c>
      <c r="D51" s="30" t="s">
        <v>295</v>
      </c>
      <c r="E51" s="30" t="s">
        <v>291</v>
      </c>
      <c r="F51" s="30" t="s">
        <v>19</v>
      </c>
      <c r="G51" s="30" t="s">
        <v>169</v>
      </c>
      <c r="H51" s="30" t="s">
        <v>62</v>
      </c>
      <c r="I51" s="30" t="s">
        <v>296</v>
      </c>
      <c r="J51" s="30" t="s">
        <v>297</v>
      </c>
    </row>
    <row r="52" ht="38" customHeight="1" spans="1:10">
      <c r="A52" s="30" t="s">
        <v>298</v>
      </c>
      <c r="B52" s="31" t="s">
        <v>38</v>
      </c>
      <c r="C52" s="31" t="s">
        <v>289</v>
      </c>
      <c r="D52" s="30" t="s">
        <v>299</v>
      </c>
      <c r="E52" s="30" t="s">
        <v>300</v>
      </c>
      <c r="F52" s="30" t="s">
        <v>19</v>
      </c>
      <c r="G52" s="30" t="s">
        <v>61</v>
      </c>
      <c r="H52" s="30" t="s">
        <v>62</v>
      </c>
      <c r="I52" s="30" t="s">
        <v>301</v>
      </c>
      <c r="J52" s="30" t="s">
        <v>302</v>
      </c>
    </row>
    <row r="53" ht="38" customHeight="1" spans="1:10">
      <c r="A53" s="30" t="s">
        <v>303</v>
      </c>
      <c r="B53" s="31" t="s">
        <v>38</v>
      </c>
      <c r="C53" s="30" t="s">
        <v>304</v>
      </c>
      <c r="D53" s="30" t="s">
        <v>305</v>
      </c>
      <c r="E53" s="30" t="s">
        <v>120</v>
      </c>
      <c r="F53" s="30" t="s">
        <v>19</v>
      </c>
      <c r="G53" s="30" t="s">
        <v>36</v>
      </c>
      <c r="H53" s="30" t="s">
        <v>144</v>
      </c>
      <c r="I53" s="30" t="s">
        <v>306</v>
      </c>
      <c r="J53" s="30" t="s">
        <v>307</v>
      </c>
    </row>
    <row r="54" ht="38" customHeight="1" spans="1:10">
      <c r="A54" s="30" t="s">
        <v>308</v>
      </c>
      <c r="B54" s="31" t="s">
        <v>38</v>
      </c>
      <c r="C54" s="30" t="s">
        <v>289</v>
      </c>
      <c r="D54" s="30" t="s">
        <v>309</v>
      </c>
      <c r="E54" s="30" t="s">
        <v>310</v>
      </c>
      <c r="F54" s="30" t="s">
        <v>19</v>
      </c>
      <c r="G54" s="30" t="s">
        <v>203</v>
      </c>
      <c r="H54" s="30" t="s">
        <v>62</v>
      </c>
      <c r="I54" s="30" t="s">
        <v>311</v>
      </c>
      <c r="J54" s="30" t="s">
        <v>312</v>
      </c>
    </row>
    <row r="55" ht="38" customHeight="1" spans="1:10">
      <c r="A55" s="32" t="s">
        <v>313</v>
      </c>
      <c r="B55" s="33" t="s">
        <v>41</v>
      </c>
      <c r="C55" s="33" t="s">
        <v>314</v>
      </c>
      <c r="D55" s="32" t="s">
        <v>315</v>
      </c>
      <c r="E55" s="32" t="s">
        <v>316</v>
      </c>
      <c r="F55" s="32" t="s">
        <v>19</v>
      </c>
      <c r="G55" s="32" t="s">
        <v>203</v>
      </c>
      <c r="H55" s="32" t="s">
        <v>62</v>
      </c>
      <c r="I55" s="32" t="s">
        <v>317</v>
      </c>
      <c r="J55" s="32" t="s">
        <v>318</v>
      </c>
    </row>
    <row r="56" ht="38" customHeight="1" spans="1:10">
      <c r="A56" s="32" t="s">
        <v>319</v>
      </c>
      <c r="B56" s="33" t="s">
        <v>41</v>
      </c>
      <c r="C56" s="33" t="s">
        <v>314</v>
      </c>
      <c r="D56" s="32" t="s">
        <v>320</v>
      </c>
      <c r="E56" s="32" t="s">
        <v>321</v>
      </c>
      <c r="F56" s="32" t="s">
        <v>19</v>
      </c>
      <c r="G56" s="32" t="s">
        <v>203</v>
      </c>
      <c r="H56" s="32" t="s">
        <v>62</v>
      </c>
      <c r="I56" s="32" t="s">
        <v>322</v>
      </c>
      <c r="J56" s="32" t="s">
        <v>323</v>
      </c>
    </row>
    <row r="57" ht="38" customHeight="1" spans="1:10">
      <c r="A57" s="32" t="s">
        <v>324</v>
      </c>
      <c r="B57" s="33" t="s">
        <v>41</v>
      </c>
      <c r="C57" s="33" t="s">
        <v>314</v>
      </c>
      <c r="D57" s="32" t="s">
        <v>325</v>
      </c>
      <c r="E57" s="32" t="s">
        <v>326</v>
      </c>
      <c r="F57" s="32" t="s">
        <v>19</v>
      </c>
      <c r="G57" s="32" t="s">
        <v>203</v>
      </c>
      <c r="H57" s="32" t="s">
        <v>62</v>
      </c>
      <c r="I57" s="32" t="s">
        <v>327</v>
      </c>
      <c r="J57" s="32" t="s">
        <v>328</v>
      </c>
    </row>
    <row r="58" ht="38" customHeight="1" spans="1:10">
      <c r="A58" s="32" t="s">
        <v>329</v>
      </c>
      <c r="B58" s="33" t="s">
        <v>41</v>
      </c>
      <c r="C58" s="33" t="s">
        <v>314</v>
      </c>
      <c r="D58" s="32" t="s">
        <v>330</v>
      </c>
      <c r="E58" s="32" t="s">
        <v>310</v>
      </c>
      <c r="F58" s="32" t="s">
        <v>19</v>
      </c>
      <c r="G58" s="32" t="s">
        <v>203</v>
      </c>
      <c r="H58" s="32" t="s">
        <v>62</v>
      </c>
      <c r="I58" s="32" t="s">
        <v>331</v>
      </c>
      <c r="J58" s="32" t="s">
        <v>332</v>
      </c>
    </row>
    <row r="59" ht="38" customHeight="1" spans="1:10">
      <c r="A59" s="32" t="s">
        <v>333</v>
      </c>
      <c r="B59" s="33" t="s">
        <v>41</v>
      </c>
      <c r="C59" s="33" t="s">
        <v>334</v>
      </c>
      <c r="D59" s="32" t="s">
        <v>335</v>
      </c>
      <c r="E59" s="32" t="s">
        <v>336</v>
      </c>
      <c r="F59" s="32" t="s">
        <v>19</v>
      </c>
      <c r="G59" s="32" t="s">
        <v>203</v>
      </c>
      <c r="H59" s="32" t="s">
        <v>62</v>
      </c>
      <c r="I59" s="32" t="s">
        <v>337</v>
      </c>
      <c r="J59" s="32" t="s">
        <v>338</v>
      </c>
    </row>
    <row r="60" ht="38" customHeight="1" spans="1:10">
      <c r="A60" s="32" t="s">
        <v>339</v>
      </c>
      <c r="B60" s="33" t="s">
        <v>41</v>
      </c>
      <c r="C60" s="33" t="s">
        <v>334</v>
      </c>
      <c r="D60" s="32" t="s">
        <v>340</v>
      </c>
      <c r="E60" s="32" t="s">
        <v>310</v>
      </c>
      <c r="F60" s="32" t="s">
        <v>19</v>
      </c>
      <c r="G60" s="32" t="s">
        <v>203</v>
      </c>
      <c r="H60" s="32" t="s">
        <v>62</v>
      </c>
      <c r="I60" s="32" t="s">
        <v>341</v>
      </c>
      <c r="J60" s="32" t="s">
        <v>342</v>
      </c>
    </row>
    <row r="61" ht="38" customHeight="1" spans="1:10">
      <c r="A61" s="32" t="s">
        <v>343</v>
      </c>
      <c r="B61" s="33" t="s">
        <v>41</v>
      </c>
      <c r="C61" s="32" t="s">
        <v>344</v>
      </c>
      <c r="D61" s="32" t="s">
        <v>345</v>
      </c>
      <c r="E61" s="32" t="s">
        <v>346</v>
      </c>
      <c r="F61" s="32" t="s">
        <v>19</v>
      </c>
      <c r="G61" s="32" t="s">
        <v>203</v>
      </c>
      <c r="H61" s="32" t="s">
        <v>62</v>
      </c>
      <c r="I61" s="32" t="s">
        <v>347</v>
      </c>
      <c r="J61" s="32" t="s">
        <v>348</v>
      </c>
    </row>
    <row r="62" ht="38" customHeight="1" spans="1:10">
      <c r="A62" s="32" t="s">
        <v>349</v>
      </c>
      <c r="B62" s="33" t="s">
        <v>41</v>
      </c>
      <c r="C62" s="33" t="s">
        <v>350</v>
      </c>
      <c r="D62" s="32" t="s">
        <v>351</v>
      </c>
      <c r="E62" s="32" t="s">
        <v>352</v>
      </c>
      <c r="F62" s="32" t="s">
        <v>19</v>
      </c>
      <c r="G62" s="32" t="s">
        <v>203</v>
      </c>
      <c r="H62" s="32" t="s">
        <v>62</v>
      </c>
      <c r="I62" s="32" t="s">
        <v>353</v>
      </c>
      <c r="J62" s="32" t="s">
        <v>354</v>
      </c>
    </row>
    <row r="63" ht="38" customHeight="1" spans="1:10">
      <c r="A63" s="32" t="s">
        <v>355</v>
      </c>
      <c r="B63" s="33" t="s">
        <v>41</v>
      </c>
      <c r="C63" s="33" t="s">
        <v>350</v>
      </c>
      <c r="D63" s="32" t="s">
        <v>356</v>
      </c>
      <c r="E63" s="32" t="s">
        <v>352</v>
      </c>
      <c r="F63" s="32" t="s">
        <v>19</v>
      </c>
      <c r="G63" s="32" t="s">
        <v>203</v>
      </c>
      <c r="H63" s="32" t="s">
        <v>62</v>
      </c>
      <c r="I63" s="32" t="s">
        <v>357</v>
      </c>
      <c r="J63" s="32" t="s">
        <v>358</v>
      </c>
    </row>
    <row r="64" ht="38" customHeight="1" spans="1:10">
      <c r="A64" s="32" t="s">
        <v>359</v>
      </c>
      <c r="B64" s="33" t="s">
        <v>41</v>
      </c>
      <c r="C64" s="33" t="s">
        <v>350</v>
      </c>
      <c r="D64" s="32" t="s">
        <v>360</v>
      </c>
      <c r="E64" s="32" t="s">
        <v>361</v>
      </c>
      <c r="F64" s="32" t="s">
        <v>19</v>
      </c>
      <c r="G64" s="32" t="s">
        <v>203</v>
      </c>
      <c r="H64" s="32" t="s">
        <v>62</v>
      </c>
      <c r="I64" s="32" t="s">
        <v>362</v>
      </c>
      <c r="J64" s="32" t="s">
        <v>363</v>
      </c>
    </row>
    <row r="65" ht="38" customHeight="1" spans="1:10">
      <c r="A65" s="34" t="s">
        <v>364</v>
      </c>
      <c r="B65" s="35" t="s">
        <v>45</v>
      </c>
      <c r="C65" s="35" t="s">
        <v>365</v>
      </c>
      <c r="D65" s="34" t="s">
        <v>366</v>
      </c>
      <c r="E65" s="34" t="s">
        <v>367</v>
      </c>
      <c r="F65" s="34" t="s">
        <v>47</v>
      </c>
      <c r="G65" s="34" t="s">
        <v>203</v>
      </c>
      <c r="H65" s="34" t="s">
        <v>62</v>
      </c>
      <c r="I65" s="34" t="s">
        <v>368</v>
      </c>
      <c r="J65" s="34" t="s">
        <v>369</v>
      </c>
    </row>
    <row r="66" ht="38" customHeight="1" spans="1:10">
      <c r="A66" s="34" t="s">
        <v>370</v>
      </c>
      <c r="B66" s="35" t="s">
        <v>45</v>
      </c>
      <c r="C66" s="35" t="s">
        <v>365</v>
      </c>
      <c r="D66" s="34" t="s">
        <v>371</v>
      </c>
      <c r="E66" s="34" t="s">
        <v>367</v>
      </c>
      <c r="F66" s="34" t="s">
        <v>19</v>
      </c>
      <c r="G66" s="34" t="s">
        <v>203</v>
      </c>
      <c r="H66" s="34" t="s">
        <v>62</v>
      </c>
      <c r="I66" s="34" t="s">
        <v>372</v>
      </c>
      <c r="J66" s="34" t="s">
        <v>373</v>
      </c>
    </row>
    <row r="67" ht="38" customHeight="1" spans="1:10">
      <c r="A67" s="34" t="s">
        <v>374</v>
      </c>
      <c r="B67" s="35" t="s">
        <v>45</v>
      </c>
      <c r="C67" s="35" t="s">
        <v>365</v>
      </c>
      <c r="D67" s="34" t="s">
        <v>375</v>
      </c>
      <c r="E67" s="34" t="s">
        <v>367</v>
      </c>
      <c r="F67" s="34" t="s">
        <v>19</v>
      </c>
      <c r="G67" s="34" t="s">
        <v>203</v>
      </c>
      <c r="H67" s="34" t="s">
        <v>62</v>
      </c>
      <c r="I67" s="34" t="s">
        <v>376</v>
      </c>
      <c r="J67" s="34" t="s">
        <v>377</v>
      </c>
    </row>
    <row r="68" ht="38" customHeight="1" spans="1:10">
      <c r="A68" s="34" t="s">
        <v>378</v>
      </c>
      <c r="B68" s="35" t="s">
        <v>45</v>
      </c>
      <c r="C68" s="35" t="s">
        <v>365</v>
      </c>
      <c r="D68" s="34" t="s">
        <v>379</v>
      </c>
      <c r="E68" s="34" t="s">
        <v>367</v>
      </c>
      <c r="F68" s="34" t="s">
        <v>19</v>
      </c>
      <c r="G68" s="34" t="s">
        <v>203</v>
      </c>
      <c r="H68" s="34" t="s">
        <v>95</v>
      </c>
      <c r="I68" s="34" t="s">
        <v>380</v>
      </c>
      <c r="J68" s="34" t="s">
        <v>381</v>
      </c>
    </row>
    <row r="69" ht="38" customHeight="1" spans="1:10">
      <c r="A69" s="34" t="s">
        <v>382</v>
      </c>
      <c r="B69" s="35" t="s">
        <v>45</v>
      </c>
      <c r="C69" s="34" t="s">
        <v>383</v>
      </c>
      <c r="D69" s="34" t="s">
        <v>384</v>
      </c>
      <c r="E69" s="34" t="s">
        <v>367</v>
      </c>
      <c r="F69" s="34" t="s">
        <v>19</v>
      </c>
      <c r="G69" s="34" t="s">
        <v>203</v>
      </c>
      <c r="H69" s="34" t="s">
        <v>62</v>
      </c>
      <c r="I69" s="34" t="s">
        <v>385</v>
      </c>
      <c r="J69" s="34" t="s">
        <v>386</v>
      </c>
    </row>
    <row r="70" ht="38" customHeight="1" spans="1:10">
      <c r="A70" s="34" t="s">
        <v>387</v>
      </c>
      <c r="B70" s="35" t="s">
        <v>45</v>
      </c>
      <c r="C70" s="34" t="s">
        <v>388</v>
      </c>
      <c r="D70" s="34" t="s">
        <v>389</v>
      </c>
      <c r="E70" s="34" t="s">
        <v>390</v>
      </c>
      <c r="F70" s="34" t="s">
        <v>47</v>
      </c>
      <c r="G70" s="34" t="s">
        <v>203</v>
      </c>
      <c r="H70" s="34" t="s">
        <v>144</v>
      </c>
      <c r="I70" s="34" t="s">
        <v>391</v>
      </c>
      <c r="J70" s="34" t="s">
        <v>392</v>
      </c>
    </row>
  </sheetData>
  <mergeCells count="25">
    <mergeCell ref="A1:J1"/>
    <mergeCell ref="B4:B8"/>
    <mergeCell ref="B9:B18"/>
    <mergeCell ref="B19:B26"/>
    <mergeCell ref="B27:B37"/>
    <mergeCell ref="B38:B42"/>
    <mergeCell ref="B43:B49"/>
    <mergeCell ref="B50:B54"/>
    <mergeCell ref="B55:B64"/>
    <mergeCell ref="B65:B70"/>
    <mergeCell ref="C4:C8"/>
    <mergeCell ref="C9:C15"/>
    <mergeCell ref="C16:C18"/>
    <mergeCell ref="C19:C20"/>
    <mergeCell ref="C21:C24"/>
    <mergeCell ref="C30:C33"/>
    <mergeCell ref="C35:C36"/>
    <mergeCell ref="C38:C40"/>
    <mergeCell ref="C41:C42"/>
    <mergeCell ref="C44:C45"/>
    <mergeCell ref="C50:C52"/>
    <mergeCell ref="C55:C58"/>
    <mergeCell ref="C59:C60"/>
    <mergeCell ref="C62:C64"/>
    <mergeCell ref="C65:C68"/>
  </mergeCells>
  <conditionalFormatting sqref="F4:F70">
    <cfRule type="containsText" dxfId="0" priority="1" operator="between" text="可演示">
      <formula>NOT(ISERROR(SEARCH("可演示",F4)))</formula>
    </cfRule>
  </conditionalFormatting>
  <conditionalFormatting sqref="G4:G70">
    <cfRule type="containsText" dxfId="1" priority="3" operator="between" text="P2">
      <formula>NOT(ISERROR(SEARCH("P2",G4)))</formula>
    </cfRule>
  </conditionalFormatting>
  <conditionalFormatting sqref="H4:H70">
    <cfRule type="containsText" dxfId="2" priority="2" operator="between" text="待POC">
      <formula>NOT(ISERROR(SEARCH("待POC",H4)))</formula>
    </cfRule>
  </conditionalFormatting>
  <dataValidations count="3">
    <dataValidation type="list" sqref="F4:F70">
      <formula1>"可演示,流程可演示,待补充"</formula1>
    </dataValidation>
    <dataValidation type="list" sqref="G4:G70">
      <formula1>"P0,P1,P2,P0/P1,P1/P2"</formula1>
    </dataValidation>
    <dataValidation type="list" sqref="H4:H70">
      <formula1>"待范围确认,待数据准备,待POC验证,待生产实现,待方案确认"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showGridLines="0" workbookViewId="0">
      <selection activeCell="E6" sqref="E6"/>
    </sheetView>
  </sheetViews>
  <sheetFormatPr defaultColWidth="9" defaultRowHeight="16.8"/>
  <cols>
    <col min="1" max="1" width="12" customWidth="1"/>
    <col min="2" max="2" width="20" customWidth="1"/>
    <col min="3" max="4" width="13" customWidth="1"/>
    <col min="5" max="5" width="42" customWidth="1"/>
    <col min="6" max="6" width="38" customWidth="1"/>
    <col min="7" max="7" width="14" customWidth="1"/>
    <col min="8" max="8" width="12" customWidth="1"/>
    <col min="9" max="9" width="28" customWidth="1"/>
  </cols>
  <sheetData>
    <row r="1" ht="38" customHeight="1" spans="1:1">
      <c r="A1" s="1" t="s">
        <v>393</v>
      </c>
    </row>
    <row r="2" ht="28" customHeight="1" spans="1:1">
      <c r="A2" s="2" t="s">
        <v>394</v>
      </c>
    </row>
    <row r="4" ht="24" customHeight="1" spans="1:1">
      <c r="A4" s="10" t="s">
        <v>395</v>
      </c>
    </row>
    <row r="5" ht="30" customHeight="1" spans="1:9">
      <c r="A5" s="3" t="s">
        <v>396</v>
      </c>
      <c r="B5" s="3" t="s">
        <v>397</v>
      </c>
      <c r="C5" s="3" t="s">
        <v>398</v>
      </c>
      <c r="D5" s="3" t="s">
        <v>399</v>
      </c>
      <c r="E5" s="3" t="s">
        <v>400</v>
      </c>
      <c r="F5" s="3" t="s">
        <v>401</v>
      </c>
      <c r="G5" s="3" t="s">
        <v>402</v>
      </c>
      <c r="H5" s="3" t="s">
        <v>403</v>
      </c>
      <c r="I5" s="3" t="s">
        <v>404</v>
      </c>
    </row>
    <row r="6" ht="44" customHeight="1" spans="1:9">
      <c r="A6" s="11" t="s">
        <v>405</v>
      </c>
      <c r="B6" s="11" t="s">
        <v>406</v>
      </c>
      <c r="C6" s="12">
        <v>46266</v>
      </c>
      <c r="D6" s="12">
        <v>46273</v>
      </c>
      <c r="E6" s="11" t="s">
        <v>407</v>
      </c>
      <c r="F6" s="11" t="s">
        <v>408</v>
      </c>
      <c r="G6" s="11" t="s">
        <v>409</v>
      </c>
      <c r="H6" s="13">
        <v>0.78</v>
      </c>
      <c r="I6" s="11" t="s">
        <v>410</v>
      </c>
    </row>
    <row r="7" ht="44" customHeight="1" spans="1:9">
      <c r="A7" s="5" t="s">
        <v>411</v>
      </c>
      <c r="B7" s="5" t="s">
        <v>412</v>
      </c>
      <c r="C7" s="8">
        <v>46273</v>
      </c>
      <c r="D7" s="8">
        <v>46283</v>
      </c>
      <c r="E7" s="5" t="s">
        <v>413</v>
      </c>
      <c r="F7" s="5" t="s">
        <v>414</v>
      </c>
      <c r="G7" s="5" t="s">
        <v>415</v>
      </c>
      <c r="H7" s="14">
        <v>0.1</v>
      </c>
      <c r="I7" s="5" t="s">
        <v>416</v>
      </c>
    </row>
    <row r="8" ht="44" customHeight="1" spans="1:9">
      <c r="A8" s="5" t="s">
        <v>417</v>
      </c>
      <c r="B8" s="5" t="s">
        <v>418</v>
      </c>
      <c r="C8" s="8">
        <v>46283</v>
      </c>
      <c r="D8" s="8">
        <v>46290</v>
      </c>
      <c r="E8" s="5" t="s">
        <v>419</v>
      </c>
      <c r="F8" s="5" t="s">
        <v>420</v>
      </c>
      <c r="G8" s="5" t="s">
        <v>421</v>
      </c>
      <c r="H8" s="14">
        <v>0</v>
      </c>
      <c r="I8" s="5" t="s">
        <v>422</v>
      </c>
    </row>
    <row r="9" ht="44" customHeight="1" spans="1:9">
      <c r="A9" s="5" t="s">
        <v>423</v>
      </c>
      <c r="B9" s="5" t="s">
        <v>424</v>
      </c>
      <c r="C9" s="8">
        <v>46293</v>
      </c>
      <c r="D9" s="8">
        <v>46311</v>
      </c>
      <c r="E9" s="5" t="s">
        <v>425</v>
      </c>
      <c r="F9" s="5" t="s">
        <v>426</v>
      </c>
      <c r="G9" s="5" t="s">
        <v>421</v>
      </c>
      <c r="H9" s="14">
        <v>0</v>
      </c>
      <c r="I9" s="5" t="s">
        <v>427</v>
      </c>
    </row>
    <row r="10" ht="44" customHeight="1" spans="1:9">
      <c r="A10" s="5" t="s">
        <v>428</v>
      </c>
      <c r="B10" s="5" t="s">
        <v>429</v>
      </c>
      <c r="C10" s="8">
        <v>46314</v>
      </c>
      <c r="D10" s="8">
        <v>46339</v>
      </c>
      <c r="E10" s="5" t="s">
        <v>430</v>
      </c>
      <c r="F10" s="5" t="s">
        <v>431</v>
      </c>
      <c r="G10" s="5" t="s">
        <v>421</v>
      </c>
      <c r="H10" s="14">
        <v>0</v>
      </c>
      <c r="I10" s="5" t="s">
        <v>432</v>
      </c>
    </row>
    <row r="13" ht="24" customHeight="1" spans="1:1">
      <c r="A13" s="10" t="s">
        <v>433</v>
      </c>
    </row>
    <row r="14" ht="30" customHeight="1" spans="1:9">
      <c r="A14" s="3" t="s">
        <v>9</v>
      </c>
      <c r="B14" s="3" t="s">
        <v>434</v>
      </c>
      <c r="C14" s="3" t="s">
        <v>435</v>
      </c>
      <c r="D14" s="3" t="s">
        <v>436</v>
      </c>
      <c r="E14" s="3" t="s">
        <v>402</v>
      </c>
      <c r="F14" s="15"/>
      <c r="G14" s="15"/>
      <c r="H14" s="15"/>
      <c r="I14" s="15"/>
    </row>
    <row r="15" ht="36" customHeight="1" spans="1:9">
      <c r="A15" s="11" t="s">
        <v>17</v>
      </c>
      <c r="B15" s="11" t="s">
        <v>437</v>
      </c>
      <c r="C15" s="11" t="s">
        <v>405</v>
      </c>
      <c r="D15" s="11" t="s">
        <v>410</v>
      </c>
      <c r="E15" s="11" t="s">
        <v>438</v>
      </c>
      <c r="F15" s="15"/>
      <c r="G15" s="15"/>
      <c r="H15" s="15"/>
      <c r="I15" s="15"/>
    </row>
    <row r="16" ht="36" customHeight="1" spans="1:9">
      <c r="A16" s="5" t="s">
        <v>22</v>
      </c>
      <c r="B16" s="5" t="s">
        <v>439</v>
      </c>
      <c r="C16" s="5" t="s">
        <v>405</v>
      </c>
      <c r="D16" s="5" t="s">
        <v>440</v>
      </c>
      <c r="E16" s="5" t="s">
        <v>438</v>
      </c>
      <c r="F16" s="15"/>
      <c r="G16" s="15"/>
      <c r="H16" s="15"/>
      <c r="I16" s="15"/>
    </row>
    <row r="17" ht="36" customHeight="1" spans="1:9">
      <c r="A17" s="5" t="s">
        <v>25</v>
      </c>
      <c r="B17" s="5" t="s">
        <v>441</v>
      </c>
      <c r="C17" s="5" t="s">
        <v>442</v>
      </c>
      <c r="D17" s="5" t="s">
        <v>443</v>
      </c>
      <c r="E17" s="5" t="s">
        <v>438</v>
      </c>
      <c r="F17" s="15"/>
      <c r="G17" s="15"/>
      <c r="H17" s="15"/>
      <c r="I17" s="15"/>
    </row>
    <row r="18" ht="36" customHeight="1" spans="1:9">
      <c r="A18" s="5" t="s">
        <v>28</v>
      </c>
      <c r="B18" s="5" t="s">
        <v>444</v>
      </c>
      <c r="C18" s="5" t="s">
        <v>442</v>
      </c>
      <c r="D18" s="5" t="s">
        <v>445</v>
      </c>
      <c r="E18" s="5" t="s">
        <v>438</v>
      </c>
      <c r="F18" s="15"/>
      <c r="G18" s="15"/>
      <c r="H18" s="15"/>
      <c r="I18" s="15"/>
    </row>
    <row r="19" ht="36" customHeight="1" spans="1:9">
      <c r="A19" s="5" t="s">
        <v>31</v>
      </c>
      <c r="B19" s="5" t="s">
        <v>446</v>
      </c>
      <c r="C19" s="5" t="s">
        <v>442</v>
      </c>
      <c r="D19" s="5" t="s">
        <v>447</v>
      </c>
      <c r="E19" s="5" t="s">
        <v>438</v>
      </c>
      <c r="F19" s="15"/>
      <c r="G19" s="15"/>
      <c r="H19" s="15"/>
      <c r="I19" s="15"/>
    </row>
    <row r="20" ht="36" customHeight="1" spans="1:9">
      <c r="A20" s="5" t="s">
        <v>34</v>
      </c>
      <c r="B20" s="5" t="s">
        <v>448</v>
      </c>
      <c r="C20" s="5" t="s">
        <v>449</v>
      </c>
      <c r="D20" s="5" t="s">
        <v>450</v>
      </c>
      <c r="E20" s="5" t="s">
        <v>438</v>
      </c>
      <c r="F20" s="15"/>
      <c r="G20" s="15"/>
      <c r="H20" s="15"/>
      <c r="I20" s="15"/>
    </row>
    <row r="21" ht="36" customHeight="1" spans="1:9">
      <c r="A21" s="5" t="s">
        <v>38</v>
      </c>
      <c r="B21" s="5" t="s">
        <v>451</v>
      </c>
      <c r="C21" s="5" t="s">
        <v>442</v>
      </c>
      <c r="D21" s="5" t="s">
        <v>447</v>
      </c>
      <c r="E21" s="5" t="s">
        <v>438</v>
      </c>
      <c r="F21" s="15"/>
      <c r="G21" s="15"/>
      <c r="H21" s="15"/>
      <c r="I21" s="15"/>
    </row>
    <row r="22" ht="36" customHeight="1" spans="1:9">
      <c r="A22" s="5" t="s">
        <v>41</v>
      </c>
      <c r="B22" s="5" t="s">
        <v>44</v>
      </c>
      <c r="C22" s="5" t="s">
        <v>405</v>
      </c>
      <c r="D22" s="5" t="s">
        <v>410</v>
      </c>
      <c r="E22" s="5" t="s">
        <v>438</v>
      </c>
      <c r="F22" s="15"/>
      <c r="G22" s="15"/>
      <c r="H22" s="15"/>
      <c r="I22" s="15"/>
    </row>
    <row r="23" ht="36" customHeight="1" spans="1:9">
      <c r="A23" s="5" t="s">
        <v>45</v>
      </c>
      <c r="B23" s="5" t="s">
        <v>452</v>
      </c>
      <c r="C23" s="5" t="s">
        <v>442</v>
      </c>
      <c r="D23" s="5" t="s">
        <v>453</v>
      </c>
      <c r="E23" s="5" t="s">
        <v>438</v>
      </c>
      <c r="F23" s="15"/>
      <c r="G23" s="15"/>
      <c r="H23" s="15"/>
      <c r="I23" s="15"/>
    </row>
  </sheetData>
  <mergeCells count="4">
    <mergeCell ref="A1:I1"/>
    <mergeCell ref="A2:I2"/>
    <mergeCell ref="A4:I4"/>
    <mergeCell ref="A13:I13"/>
  </mergeCells>
  <conditionalFormatting sqref="G6:G10">
    <cfRule type="containsText" dxfId="3" priority="1" operator="between" text="进行中">
      <formula>NOT(ISERROR(SEARCH("进行中",G6)))</formula>
    </cfRule>
  </conditionalFormatting>
  <conditionalFormatting sqref="H6:H10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{2492f4b1-82ee-4b83-9ca0-7f22c2b403d2}</x14:id>
        </ext>
      </extLst>
    </cfRule>
  </conditionalFormatting>
  <dataValidations count="2">
    <dataValidation type="list" sqref="E15:E23">
      <formula1>"已完成,进行中,待确认,计划中"</formula1>
    </dataValidation>
    <dataValidation type="list" sqref="G6:G10">
      <formula1>"已完成,进行中,待准备,计划中"</formula1>
    </dataValidation>
  </dataValidations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92f4b1-82ee-4b83-9ca0-7f22c2b403d2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H6:H10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showGridLines="0" zoomScale="132" zoomScaleNormal="132" workbookViewId="0">
      <selection activeCell="C6" sqref="C6"/>
    </sheetView>
  </sheetViews>
  <sheetFormatPr defaultColWidth="9" defaultRowHeight="16.8" outlineLevelCol="7"/>
  <cols>
    <col min="1" max="1" width="8" customWidth="1"/>
    <col min="2" max="2" width="18" customWidth="1"/>
    <col min="3" max="3" width="40" customWidth="1"/>
    <col min="4" max="4" width="28" customWidth="1"/>
    <col min="5" max="5" width="40" customWidth="1"/>
    <col min="6" max="6" width="24" customWidth="1"/>
    <col min="7" max="8" width="14" customWidth="1"/>
  </cols>
  <sheetData>
    <row r="1" ht="38" customHeight="1" spans="1:1">
      <c r="A1" s="1" t="s">
        <v>454</v>
      </c>
    </row>
    <row r="2" ht="28" customHeight="1" spans="1:1">
      <c r="A2" s="2" t="s">
        <v>455</v>
      </c>
    </row>
    <row r="4" ht="30" customHeight="1" spans="1:8">
      <c r="A4" s="3" t="s">
        <v>53</v>
      </c>
      <c r="B4" s="3" t="s">
        <v>456</v>
      </c>
      <c r="C4" s="3" t="s">
        <v>457</v>
      </c>
      <c r="D4" s="3" t="s">
        <v>458</v>
      </c>
      <c r="E4" s="3" t="s">
        <v>459</v>
      </c>
      <c r="F4" s="3" t="s">
        <v>436</v>
      </c>
      <c r="G4" s="3" t="s">
        <v>460</v>
      </c>
      <c r="H4" s="3" t="s">
        <v>402</v>
      </c>
    </row>
    <row r="5" ht="46" customHeight="1" spans="1:8">
      <c r="A5" s="4" t="s">
        <v>461</v>
      </c>
      <c r="B5" s="4" t="s">
        <v>462</v>
      </c>
      <c r="C5" s="4" t="s">
        <v>463</v>
      </c>
      <c r="D5" s="4" t="s">
        <v>464</v>
      </c>
      <c r="E5" s="4" t="s">
        <v>465</v>
      </c>
      <c r="F5" s="4" t="s">
        <v>466</v>
      </c>
      <c r="G5" s="7">
        <v>46269</v>
      </c>
      <c r="H5" s="4" t="s">
        <v>438</v>
      </c>
    </row>
    <row r="6" ht="46" customHeight="1" spans="1:8">
      <c r="A6" s="5" t="s">
        <v>467</v>
      </c>
      <c r="B6" s="5" t="s">
        <v>468</v>
      </c>
      <c r="C6" s="5" t="s">
        <v>469</v>
      </c>
      <c r="D6" s="5" t="s">
        <v>470</v>
      </c>
      <c r="E6" s="5" t="s">
        <v>471</v>
      </c>
      <c r="F6" s="5" t="s">
        <v>466</v>
      </c>
      <c r="G6" s="8">
        <v>46269</v>
      </c>
      <c r="H6" s="5" t="s">
        <v>438</v>
      </c>
    </row>
    <row r="7" ht="46" customHeight="1" spans="1:8">
      <c r="A7" s="6" t="s">
        <v>472</v>
      </c>
      <c r="B7" s="6" t="s">
        <v>473</v>
      </c>
      <c r="C7" s="6" t="s">
        <v>474</v>
      </c>
      <c r="D7" s="6" t="s">
        <v>475</v>
      </c>
      <c r="E7" s="6" t="s">
        <v>476</v>
      </c>
      <c r="F7" s="6" t="s">
        <v>477</v>
      </c>
      <c r="G7" s="9">
        <v>46270</v>
      </c>
      <c r="H7" s="6" t="s">
        <v>438</v>
      </c>
    </row>
    <row r="8" ht="46" customHeight="1" spans="1:8">
      <c r="A8" s="5" t="s">
        <v>478</v>
      </c>
      <c r="B8" s="5" t="s">
        <v>479</v>
      </c>
      <c r="C8" s="5" t="s">
        <v>480</v>
      </c>
      <c r="D8" s="5" t="s">
        <v>481</v>
      </c>
      <c r="E8" s="5" t="s">
        <v>482</v>
      </c>
      <c r="F8" s="5" t="s">
        <v>483</v>
      </c>
      <c r="G8" s="8">
        <v>46272</v>
      </c>
      <c r="H8" s="5" t="s">
        <v>438</v>
      </c>
    </row>
    <row r="9" ht="46" customHeight="1" spans="1:8">
      <c r="A9" s="6" t="s">
        <v>484</v>
      </c>
      <c r="B9" s="6" t="s">
        <v>485</v>
      </c>
      <c r="C9" s="6" t="s">
        <v>486</v>
      </c>
      <c r="D9" s="6" t="s">
        <v>487</v>
      </c>
      <c r="E9" s="6" t="s">
        <v>488</v>
      </c>
      <c r="F9" s="6" t="s">
        <v>489</v>
      </c>
      <c r="G9" s="9">
        <v>46272</v>
      </c>
      <c r="H9" s="6" t="s">
        <v>438</v>
      </c>
    </row>
    <row r="10" ht="46" customHeight="1" spans="1:8">
      <c r="A10" s="5" t="s">
        <v>490</v>
      </c>
      <c r="B10" s="5" t="s">
        <v>491</v>
      </c>
      <c r="C10" s="5" t="s">
        <v>492</v>
      </c>
      <c r="D10" s="5" t="s">
        <v>493</v>
      </c>
      <c r="E10" s="5" t="s">
        <v>494</v>
      </c>
      <c r="F10" s="5" t="s">
        <v>443</v>
      </c>
      <c r="G10" s="8">
        <v>46274</v>
      </c>
      <c r="H10" s="5" t="s">
        <v>438</v>
      </c>
    </row>
    <row r="11" ht="46" customHeight="1" spans="1:8">
      <c r="A11" s="6" t="s">
        <v>495</v>
      </c>
      <c r="B11" s="6" t="s">
        <v>496</v>
      </c>
      <c r="C11" s="6" t="s">
        <v>497</v>
      </c>
      <c r="D11" s="6" t="s">
        <v>498</v>
      </c>
      <c r="E11" s="6" t="s">
        <v>499</v>
      </c>
      <c r="F11" s="6" t="s">
        <v>450</v>
      </c>
      <c r="G11" s="9">
        <v>46276</v>
      </c>
      <c r="H11" s="6" t="s">
        <v>438</v>
      </c>
    </row>
    <row r="12" ht="46" customHeight="1" spans="1:8">
      <c r="A12" s="5" t="s">
        <v>500</v>
      </c>
      <c r="B12" s="5" t="s">
        <v>501</v>
      </c>
      <c r="C12" s="5" t="s">
        <v>502</v>
      </c>
      <c r="D12" s="5" t="s">
        <v>503</v>
      </c>
      <c r="E12" s="5" t="s">
        <v>504</v>
      </c>
      <c r="F12" s="5" t="s">
        <v>505</v>
      </c>
      <c r="G12" s="8">
        <v>46275</v>
      </c>
      <c r="H12" s="5" t="s">
        <v>438</v>
      </c>
    </row>
    <row r="13" ht="46" customHeight="1" spans="1:8">
      <c r="A13" s="6" t="s">
        <v>506</v>
      </c>
      <c r="B13" s="6" t="s">
        <v>507</v>
      </c>
      <c r="C13" s="6" t="s">
        <v>508</v>
      </c>
      <c r="D13" s="6" t="s">
        <v>509</v>
      </c>
      <c r="E13" s="6" t="s">
        <v>510</v>
      </c>
      <c r="F13" s="6" t="s">
        <v>511</v>
      </c>
      <c r="G13" s="9">
        <v>46275</v>
      </c>
      <c r="H13" s="6" t="s">
        <v>438</v>
      </c>
    </row>
    <row r="14" ht="46" customHeight="1" spans="1:8">
      <c r="A14" s="5" t="s">
        <v>512</v>
      </c>
      <c r="B14" s="5" t="s">
        <v>513</v>
      </c>
      <c r="C14" s="5" t="s">
        <v>514</v>
      </c>
      <c r="D14" s="5" t="s">
        <v>515</v>
      </c>
      <c r="E14" s="5" t="s">
        <v>516</v>
      </c>
      <c r="F14" s="5" t="s">
        <v>517</v>
      </c>
      <c r="G14" s="8">
        <v>46273</v>
      </c>
      <c r="H14" s="5" t="s">
        <v>438</v>
      </c>
    </row>
  </sheetData>
  <mergeCells count="2">
    <mergeCell ref="A1:H1"/>
    <mergeCell ref="A2:H2"/>
  </mergeCells>
  <conditionalFormatting sqref="H5:H14">
    <cfRule type="containsText" dxfId="0" priority="1" operator="between" text="已确认">
      <formula>NOT(ISERROR(SEARCH("已确认",H5)))</formula>
    </cfRule>
    <cfRule type="containsText" dxfId="3" priority="2" operator="between" text="待确认">
      <formula>NOT(ISERROR(SEARCH("待确认",H5)))</formula>
    </cfRule>
  </conditionalFormatting>
  <dataValidations count="1">
    <dataValidation type="list" sqref="H5:H14">
      <formula1>"已确认,讨论中,待确认"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一页总览</vt:lpstr>
      <vt:lpstr>功能清单</vt:lpstr>
      <vt:lpstr>推进路线</vt:lpstr>
      <vt:lpstr>客户确认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芝</cp:lastModifiedBy>
  <dcterms:created xsi:type="dcterms:W3CDTF">2026-08-31T11:14:25Z</dcterms:created>
  <dcterms:modified xsi:type="dcterms:W3CDTF">2026-09-01T14:46:14Z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48124DE054C0576FB3F1946A86C416EE_42</vt:lpwstr>
  </property>
  <property fmtid="{D5CDD505-2E9C-101B-9397-08002B2CF9AE}" pid="3" name="KSOProductBuildVer">
    <vt:lpwstr>2052-6.7.1.8828</vt:lpwstr>
  </property>
</Properties>
</file>
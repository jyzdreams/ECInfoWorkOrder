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 activeTab="4"/>
  </bookViews>
  <sheets>
    <sheet name="项目总览" sheetId="1" r:id="rId1"/>
    <sheet name="需求与范围" sheetId="2" r:id="rId2"/>
    <sheet name="功能模块" sheetId="3" r:id="rId3"/>
    <sheet name="推进明细" sheetId="4" r:id="rId4"/>
    <sheet name="验收清单" sheetId="5" r:id="rId5"/>
    <sheet name="待确认与上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<sst xmlns="http://schemas.openxmlformats.org/spreadsheetml/2006/main" count="829" uniqueCount="495">
  <si>
    <t>EC 工单系统｜项目推进总表（客户版）</t>
  </si>
  <si>
    <t>更新日期：2026-08-31｜本表用于双方项目例会、阶段评审与里程碑跟踪；后续日期为建议排期，双方确认后形成正式基线</t>
  </si>
  <si>
    <t>项目整体进度</t>
  </si>
  <si>
    <t>整体进度</t>
  </si>
  <si>
    <t>当前阶段</t>
  </si>
  <si>
    <t>工作包进展</t>
  </si>
  <si>
    <t>模块达标情况</t>
  </si>
  <si>
    <t>项目状态</t>
  </si>
  <si>
    <t>上线判断</t>
  </si>
  <si>
    <t>原型评审
与一期范围确认</t>
  </si>
  <si>
    <t>工作包进展｜完成度来自“功能模块”页，更新后自动同步</t>
  </si>
  <si>
    <t>工作包</t>
  </si>
  <si>
    <t>权重</t>
  </si>
  <si>
    <t>完成度</t>
  </si>
  <si>
    <t>状态</t>
  </si>
  <si>
    <t>优先级</t>
  </si>
  <si>
    <t>已完成成果</t>
  </si>
  <si>
    <t>下一步计划</t>
  </si>
  <si>
    <t>阶段完成标准</t>
  </si>
  <si>
    <t>当前主线：完成一期范围与业务规则确认 → 固化原型评审基线 → 准备试点组织与数据 → 完成钉钉／宜搭 POC → 进入生产实施与 UAT。</t>
  </si>
  <si>
    <t>协同建议：双方本周确认项目责任人、范围工作坊时间、试点人员与 POC 环境；建议排期将在上述事项确认后更新为正式计划。</t>
  </si>
  <si>
    <t>客户确认版范围与交付阶段</t>
  </si>
  <si>
    <t>按工作包列示客户可见能力、当前阶段和完成标准；P0 为一期核心范围，后续扩展内容在范围评审中单独确认。</t>
  </si>
  <si>
    <t>工作包编号</t>
  </si>
  <si>
    <t>范围编号</t>
  </si>
  <si>
    <t>客户可见能力</t>
  </si>
  <si>
    <t>范围说明</t>
  </si>
  <si>
    <t>当前说明</t>
  </si>
  <si>
    <t>交付阶段</t>
  </si>
  <si>
    <t>当前状态</t>
  </si>
  <si>
    <t>对应里程碑</t>
  </si>
  <si>
    <t>WP01</t>
  </si>
  <si>
    <t>需求与一期范围确认</t>
  </si>
  <si>
    <t>S01</t>
  </si>
  <si>
    <t>一期范围基线</t>
  </si>
  <si>
    <t>确认 P0 核心流程、P1 优化项与 P2 预留项</t>
  </si>
  <si>
    <t>当前已形成建议范围，待双方评审确认</t>
  </si>
  <si>
    <t>范围确认</t>
  </si>
  <si>
    <t>P0</t>
  </si>
  <si>
    <t>待双方确认</t>
  </si>
  <si>
    <t>范围清单与评审纪要完成签认</t>
  </si>
  <si>
    <t>M1</t>
  </si>
  <si>
    <t>S02</t>
  </si>
  <si>
    <t>状态与业务规则</t>
  </si>
  <si>
    <t>确认状态模型、PM／CM、编号、完工确认及照片规则</t>
  </si>
  <si>
    <t>将通过业务工作坊集中确认</t>
  </si>
  <si>
    <t>状态矩阵及业务规则表完成签认</t>
  </si>
  <si>
    <t>WP02</t>
  </si>
  <si>
    <t>交互原型与公网评审</t>
  </si>
  <si>
    <t>S03</t>
  </si>
  <si>
    <t>多角色 PC 原型</t>
  </si>
  <si>
    <t>覆盖 CS、CR、Leader、师傅、管理等角色主要工作路径</t>
  </si>
  <si>
    <t>公网评审版本已可访问</t>
  </si>
  <si>
    <t>原型评审</t>
  </si>
  <si>
    <t>已完成</t>
  </si>
  <si>
    <t>核心角色主流程走查通过</t>
  </si>
  <si>
    <t>S04</t>
  </si>
  <si>
    <t>移动端工作台</t>
  </si>
  <si>
    <t>覆盖接单、到场、处理、服务报告和完工记录</t>
  </si>
  <si>
    <t>移动交互原型已可演示</t>
  </si>
  <si>
    <t>移动端核心页面走查通过</t>
  </si>
  <si>
    <t>WP03</t>
  </si>
  <si>
    <t>工单受理、派单与闭环</t>
  </si>
  <si>
    <t>S05</t>
  </si>
  <si>
    <t>建单与编号</t>
  </si>
  <si>
    <t>记录客户、地址、问题、来源、附件及工单编号</t>
  </si>
  <si>
    <t>交互已完成，编号细则待确认</t>
  </si>
  <si>
    <t>一期实施</t>
  </si>
  <si>
    <t>原型完成</t>
  </si>
  <si>
    <t>普通／政府样例建单与编号通过</t>
  </si>
  <si>
    <t>M4</t>
  </si>
  <si>
    <t>S06</t>
  </si>
  <si>
    <t>派单、拒单与改派</t>
  </si>
  <si>
    <t>按区域和团队完成派单，并记录拒单、退回与改派</t>
  </si>
  <si>
    <t>交互已完成，组织映射待准备</t>
  </si>
  <si>
    <t>责任人和每次操作可追溯</t>
  </si>
  <si>
    <t>S07</t>
  </si>
  <si>
    <t>状态流转与时间线</t>
  </si>
  <si>
    <t>记录创建、派单、接单、到场、处理、完成等关键动作</t>
  </si>
  <si>
    <t>交互已完成，最终状态口径待确认</t>
  </si>
  <si>
    <t>状态、责任人和时间记录一致</t>
  </si>
  <si>
    <t>S08</t>
  </si>
  <si>
    <t>查询与服务报告</t>
  </si>
  <si>
    <t>支持工单查询、详情、服务报告与完工记录关联</t>
  </si>
  <si>
    <t>核心页面已可演示</t>
  </si>
  <si>
    <t>工单、报告和附件关联可查询</t>
  </si>
  <si>
    <t>WP04</t>
  </si>
  <si>
    <t>移动执行与现场记录</t>
  </si>
  <si>
    <t>S09</t>
  </si>
  <si>
    <t>师傅待办与处理</t>
  </si>
  <si>
    <t>师傅完成接单、到场、处理结果和后续说明</t>
  </si>
  <si>
    <t>移动交互已可演示</t>
  </si>
  <si>
    <t>移动端关键操作写入工单记录</t>
  </si>
  <si>
    <t>S10</t>
  </si>
  <si>
    <t>照片、说明与签名</t>
  </si>
  <si>
    <t>按场景上传照片或填写替代说明，并记录签名</t>
  </si>
  <si>
    <t>照片豁免规则待业务确认</t>
  </si>
  <si>
    <t>POC 验证</t>
  </si>
  <si>
    <t>两类现场场景均可按规则完成</t>
  </si>
  <si>
    <t>M2</t>
  </si>
  <si>
    <t>WP05</t>
  </si>
  <si>
    <t>角色权限与数据范围</t>
  </si>
  <si>
    <t>S11</t>
  </si>
  <si>
    <t>角色功能权限</t>
  </si>
  <si>
    <t>按角色呈现可用页面与操作</t>
  </si>
  <si>
    <t>原型权限矩阵已形成</t>
  </si>
  <si>
    <t>进行中</t>
  </si>
  <si>
    <t>角色权限与确认矩阵一致</t>
  </si>
  <si>
    <t>S12</t>
  </si>
  <si>
    <t>数据可见范围</t>
  </si>
  <si>
    <t>按本人、团队、区域或管理范围控制数据访问</t>
  </si>
  <si>
    <t>待真实账号与试点组织验证</t>
  </si>
  <si>
    <t>计划中</t>
  </si>
  <si>
    <t>关键角色数据范围验证通过</t>
  </si>
  <si>
    <t>WP06</t>
  </si>
  <si>
    <t>钉钉／宜搭 POC</t>
  </si>
  <si>
    <t>S13</t>
  </si>
  <si>
    <t>账号、免登与消息</t>
  </si>
  <si>
    <t>验证真实账号登录、角色识别和关键事件通知</t>
  </si>
  <si>
    <t>待 POC 环境及测试账号准备</t>
  </si>
  <si>
    <t>登录与关键通知场景通过</t>
  </si>
  <si>
    <t>S14</t>
  </si>
  <si>
    <t>移动网络与附件</t>
  </si>
  <si>
    <t>验证真实手机、常见网络、图片上传和容量方案</t>
  </si>
  <si>
    <t>待环境、样例及容量信息准备</t>
  </si>
  <si>
    <t>形成上传、容量和归档结论</t>
  </si>
  <si>
    <t>WP07</t>
  </si>
  <si>
    <t>生产实现与数据准备</t>
  </si>
  <si>
    <t>S15</t>
  </si>
  <si>
    <t>试点主数据</t>
  </si>
  <si>
    <t>准备客户、地址、区域、团队、人员及样例工单</t>
  </si>
  <si>
    <t>数据模板已梳理，待客户提供试点数据</t>
  </si>
  <si>
    <t>实施准备</t>
  </si>
  <si>
    <t>试点数据清洗并完成双方确认</t>
  </si>
  <si>
    <t>M3</t>
  </si>
  <si>
    <t>S16</t>
  </si>
  <si>
    <t>一期生产实现</t>
  </si>
  <si>
    <t>建设真实数据、权限、附件、消息和操作记录</t>
  </si>
  <si>
    <t>范围与 POC 确认后启动</t>
  </si>
  <si>
    <t>生产实施</t>
  </si>
  <si>
    <t>一期核心流程通过集成测试</t>
  </si>
  <si>
    <t>WP08</t>
  </si>
  <si>
    <t>UAT、试点与上线</t>
  </si>
  <si>
    <t>S17</t>
  </si>
  <si>
    <t>业务 UAT</t>
  </si>
  <si>
    <t>双方按核心业务场景完成验收</t>
  </si>
  <si>
    <t>用例框架已形成，待生产版本完成</t>
  </si>
  <si>
    <t>验收上线</t>
  </si>
  <si>
    <t>P0 场景全部形成验收结论</t>
  </si>
  <si>
    <t>M5</t>
  </si>
  <si>
    <t>S18</t>
  </si>
  <si>
    <t>试点与上线交接</t>
  </si>
  <si>
    <t>运行 7–10 个工作日试点并完成操作与运维交接</t>
  </si>
  <si>
    <t>试点规模建议为 20–30 张工单</t>
  </si>
  <si>
    <t>试点问题闭环并完成上线交接</t>
  </si>
  <si>
    <t>M6–M7</t>
  </si>
  <si>
    <t>客户版工作包进展</t>
  </si>
  <si>
    <t>完成度综合反映需求确认、原型、POC、生产实现和验收准备；原型成果与生产交付分阶段展示，便于双方统一进度口径。</t>
  </si>
  <si>
    <t>下一步重点</t>
  </si>
  <si>
    <t>WP-01</t>
  </si>
  <si>
    <t>已完成需求材料梳理、一期 PRD 初稿及关键业务问题清单</t>
  </si>
  <si>
    <t>完成一期范围、状态、角色及验收口径的双方确认</t>
  </si>
  <si>
    <t>形成双方确认的一期范围基线与评审纪要</t>
  </si>
  <si>
    <t>M1 范围确认</t>
  </si>
  <si>
    <t>WP-02</t>
  </si>
  <si>
    <t>多角色 PC／移动端交互原型已完成，并已发布公网评审版本</t>
  </si>
  <si>
    <t>按一期范围逐页复核，关闭评审意见并固化版本</t>
  </si>
  <si>
    <t>核心角色主流程评审通过，版本与一期范围一致</t>
  </si>
  <si>
    <t>WP-03</t>
  </si>
  <si>
    <t>已具备建单、列表、详情、派单、状态流转、服务报告与完工记录演示</t>
  </si>
  <si>
    <t>确认编号、状态、派单与完工规则，进入真实环境实现</t>
  </si>
  <si>
    <t>普通与政府场景可按确认规则完成全流程验收</t>
  </si>
  <si>
    <t>M4 生产实现</t>
  </si>
  <si>
    <t>WP-04</t>
  </si>
  <si>
    <t>已完成师傅移动工作台、接单、到场、处理、照片／说明及签名演示</t>
  </si>
  <si>
    <t>确认照片策略并在真实手机、网络与账号环境完成验证</t>
  </si>
  <si>
    <t>可拍照与不可拍照场景均通过移动端验收</t>
  </si>
  <si>
    <t>M2 POC 验证</t>
  </si>
  <si>
    <t>WP-05</t>
  </si>
  <si>
    <t>已完成 CS、Leader、师傅等角色入口和派单中心交互演示</t>
  </si>
  <si>
    <t>基于试点组织及真实账号验证角色权限和数据范围</t>
  </si>
  <si>
    <t>权限矩阵、数据范围及关键操作验证通过</t>
  </si>
  <si>
    <t>WP-06</t>
  </si>
  <si>
    <t>已形成 POC 验证范围、场景与前置资源清单</t>
  </si>
  <si>
    <t>准备环境和测试账号，验证免登、消息、移动端、图片与容量</t>
  </si>
  <si>
    <t>完成 POC 场景验证并形成双方认可的结论</t>
  </si>
  <si>
    <t>WP-07</t>
  </si>
  <si>
    <t>已梳理生产实现范围、试点主数据模板和部署交付要点</t>
  </si>
  <si>
    <t>在范围及 POC 结论确认后启动开发、集成和数据导入</t>
  </si>
  <si>
    <t>一期主流程在真实环境运行并通过集成测试</t>
  </si>
  <si>
    <t>WP-08</t>
  </si>
  <si>
    <t>已形成核心验收场景、试点规模和上线交接框架</t>
  </si>
  <si>
    <t>完成 UAT、7–10 个工作日试点、问题闭环与上线交接</t>
  </si>
  <si>
    <t>UAT 与试点通过，完成上线及项目交接</t>
  </si>
  <si>
    <t>M5–M7</t>
  </si>
  <si>
    <t>双方项目里程碑计划</t>
  </si>
  <si>
    <t>已完成事项基于当前项目成果；2026-09-01 之后为建议排期，需在责任人、范围、试点资源及 POC 环境确认后更新为正式基线。</t>
  </si>
  <si>
    <t>编号</t>
  </si>
  <si>
    <t>阶段</t>
  </si>
  <si>
    <t>推进事项</t>
  </si>
  <si>
    <t>交付类型</t>
  </si>
  <si>
    <t>双方责任</t>
  </si>
  <si>
    <t>计划开始</t>
  </si>
  <si>
    <t>计划完成</t>
  </si>
  <si>
    <t>输出物／完成标准</t>
  </si>
  <si>
    <t>前置条件</t>
  </si>
  <si>
    <t>下一动作</t>
  </si>
  <si>
    <t>里程碑</t>
  </si>
  <si>
    <t>M-001</t>
  </si>
  <si>
    <t>前期准备</t>
  </si>
  <si>
    <t>完成项目材料与现状梳理</t>
  </si>
  <si>
    <t>需求</t>
  </si>
  <si>
    <t>项目组</t>
  </si>
  <si>
    <t>需求材料、项目现状和问题清单</t>
  </si>
  <si>
    <t/>
  </si>
  <si>
    <t>作为后续评审输入</t>
  </si>
  <si>
    <t>M0 准备</t>
  </si>
  <si>
    <t>M-002</t>
  </si>
  <si>
    <t>原型建设</t>
  </si>
  <si>
    <t>完成多角色 PC／移动端交互原型</t>
  </si>
  <si>
    <t>原型</t>
  </si>
  <si>
    <t>交付团队</t>
  </si>
  <si>
    <t>核心业务流程可演示</t>
  </si>
  <si>
    <t>持续按评审意见优化</t>
  </si>
  <si>
    <t>M0 原型</t>
  </si>
  <si>
    <t>M-003</t>
  </si>
  <si>
    <t>发布公网评审版本并保持版本同步</t>
  </si>
  <si>
    <t>发布</t>
  </si>
  <si>
    <t>客户可随时访问最新评审版本</t>
  </si>
  <si>
    <t>保持单一评审基线</t>
  </si>
  <si>
    <t>M-004</t>
  </si>
  <si>
    <t>按一期范围复核最新版原型</t>
  </si>
  <si>
    <t>评审</t>
  </si>
  <si>
    <t>双方项目组</t>
  </si>
  <si>
    <t>形成已确认、待确认和后续规划清单</t>
  </si>
  <si>
    <t>双方安排评审时间</t>
  </si>
  <si>
    <t>完成逐页走查</t>
  </si>
  <si>
    <t>M1 范围</t>
  </si>
  <si>
    <t>M-005</t>
  </si>
  <si>
    <t>召开一期范围与业务规则确认会</t>
  </si>
  <si>
    <t>会议</t>
  </si>
  <si>
    <t>双方业务负责人</t>
  </si>
  <si>
    <t>范围、状态、编号、完工及照片规则结论</t>
  </si>
  <si>
    <t>客户业务代表参会</t>
  </si>
  <si>
    <t>形成书面评审纪要</t>
  </si>
  <si>
    <t>M-006</t>
  </si>
  <si>
    <t>固化一期范围、角色、流程与验收基线</t>
  </si>
  <si>
    <t>基线</t>
  </si>
  <si>
    <t>双方项目负责人</t>
  </si>
  <si>
    <t>一期范围基线正式确认</t>
  </si>
  <si>
    <t>M-004／M-005 完成</t>
  </si>
  <si>
    <t>确认后进入 POC</t>
  </si>
  <si>
    <t>M-007</t>
  </si>
  <si>
    <t>POC 准备</t>
  </si>
  <si>
    <t>确定试点区域、角色人员与测试账号</t>
  </si>
  <si>
    <t>试点准备</t>
  </si>
  <si>
    <t>客户项目组／交付团队</t>
  </si>
  <si>
    <t>试点名单、账号与责任人明确</t>
  </si>
  <si>
    <t>客户提供人员及账号</t>
  </si>
  <si>
    <t>完成试点清单确认</t>
  </si>
  <si>
    <t>M2 POC</t>
  </si>
  <si>
    <t>M-008</t>
  </si>
  <si>
    <t>准备主数据、区域映射及 20–30 张样例工单</t>
  </si>
  <si>
    <t>数据</t>
  </si>
  <si>
    <t>客户数据负责人／交付团队</t>
  </si>
  <si>
    <t>试点主数据与样例可用于验证</t>
  </si>
  <si>
    <t>客户提供数据清单</t>
  </si>
  <si>
    <t>完成数据质量检查</t>
  </si>
  <si>
    <t>M-009</t>
  </si>
  <si>
    <t>验证免登、权限、消息、移动端、图片与容量</t>
  </si>
  <si>
    <t>POC</t>
  </si>
  <si>
    <t>双方 IT／交付团队</t>
  </si>
  <si>
    <t>形成 POC 场景结果和方案结论</t>
  </si>
  <si>
    <t>环境、账号与样例准备</t>
  </si>
  <si>
    <t>按场景脚本联合验证</t>
  </si>
  <si>
    <t>M-010</t>
  </si>
  <si>
    <t>根据范围与 POC 结论形成实施计划</t>
  </si>
  <si>
    <t>计划</t>
  </si>
  <si>
    <t>交付团队／双方项目负责人</t>
  </si>
  <si>
    <t>实施任务、验收映射和资源排期</t>
  </si>
  <si>
    <t>M1／M2 完成</t>
  </si>
  <si>
    <t>双方确认实施基线</t>
  </si>
  <si>
    <t>M3 计划</t>
  </si>
  <si>
    <t>M-011</t>
  </si>
  <si>
    <t>生产实现</t>
  </si>
  <si>
    <t>完成一期核心流程开发与集成</t>
  </si>
  <si>
    <t>开发／集成</t>
  </si>
  <si>
    <t>真实环境核心流程可运行</t>
  </si>
  <si>
    <t>实施计划正式确认</t>
  </si>
  <si>
    <t>执行开发与集成测试</t>
  </si>
  <si>
    <t>M4 实施</t>
  </si>
  <si>
    <t>M-012</t>
  </si>
  <si>
    <t>完成试点主数据清洗与导入</t>
  </si>
  <si>
    <t>数据导入</t>
  </si>
  <si>
    <t>双方数据负责人</t>
  </si>
  <si>
    <t>试点数据完成核对与导入</t>
  </si>
  <si>
    <t>客户数据完整可用</t>
  </si>
  <si>
    <t>双方确认导入结果</t>
  </si>
  <si>
    <t>M-013</t>
  </si>
  <si>
    <t>UAT</t>
  </si>
  <si>
    <t>执行一期核心场景业务验收</t>
  </si>
  <si>
    <t>测试／验收</t>
  </si>
  <si>
    <t>双方业务与测试人员</t>
  </si>
  <si>
    <t>核心场景均有结果与证据</t>
  </si>
  <si>
    <t>生产版本与试点数据就绪</t>
  </si>
  <si>
    <t>关闭验收问题</t>
  </si>
  <si>
    <t>M5 UAT</t>
  </si>
  <si>
    <t>M-014</t>
  </si>
  <si>
    <t>试点</t>
  </si>
  <si>
    <t>运行 7–10 个工作日试点并闭环问题</t>
  </si>
  <si>
    <t>客户试点团队／交付团队</t>
  </si>
  <si>
    <t>20–30 张工单完成试点验证</t>
  </si>
  <si>
    <t>UAT 通过</t>
  </si>
  <si>
    <t>完成每日问题跟踪</t>
  </si>
  <si>
    <t>M6 试点</t>
  </si>
  <si>
    <t>M-015</t>
  </si>
  <si>
    <t>上线交接</t>
  </si>
  <si>
    <t>完成生产上线、操作培训与项目交接</t>
  </si>
  <si>
    <t>上线／交接</t>
  </si>
  <si>
    <t>双方项目组／客户 IT</t>
  </si>
  <si>
    <t>上线记录、操作材料和交接清单齐全</t>
  </si>
  <si>
    <t>试点结论及上线审批</t>
  </si>
  <si>
    <t>完成上线确认</t>
  </si>
  <si>
    <t>M7 上线</t>
  </si>
  <si>
    <t>双方阶段验收计划</t>
  </si>
  <si>
    <t>验收按“范围确认—原型评审—POC—生产实现—UAT—试点上线”分阶段推进；每个节点均保留双方可复核的结果与记录。</t>
  </si>
  <si>
    <t>验收编号</t>
  </si>
  <si>
    <t>验收项</t>
  </si>
  <si>
    <t>验收内容</t>
  </si>
  <si>
    <t>验收方式</t>
  </si>
  <si>
    <t>当前成果</t>
  </si>
  <si>
    <t>客户配合事项</t>
  </si>
  <si>
    <t>完成条件</t>
  </si>
  <si>
    <t>AT-01</t>
  </si>
  <si>
    <t>核对一期范围、角色、流程、状态与验收标准</t>
  </si>
  <si>
    <t>双方评审并形成书面纪要</t>
  </si>
  <si>
    <t>范围材料与问题清单已准备</t>
  </si>
  <si>
    <t>双方业务负责人参与确认</t>
  </si>
  <si>
    <t>M1 完成</t>
  </si>
  <si>
    <t>AT-02</t>
  </si>
  <si>
    <t>多角色原型评审</t>
  </si>
  <si>
    <t>走查 CS、Leader、师傅及管理视图主流程</t>
  </si>
  <si>
    <t>按角色执行核心操作</t>
  </si>
  <si>
    <t>PC／移动端原型已可演示</t>
  </si>
  <si>
    <t>安排业务代表参与评审</t>
  </si>
  <si>
    <t>AT-03</t>
  </si>
  <si>
    <t>公网评审版本</t>
  </si>
  <si>
    <t>确认客户可访问最新原型版本</t>
  </si>
  <si>
    <t>打开页面并完成首页走查</t>
  </si>
  <si>
    <t>已通过</t>
  </si>
  <si>
    <t>公网评审版本已发布</t>
  </si>
  <si>
    <t>无</t>
  </si>
  <si>
    <t>版本更新后持续复核</t>
  </si>
  <si>
    <t>AT-04</t>
  </si>
  <si>
    <t>工单受理与派单</t>
  </si>
  <si>
    <t>验证建单、编号、派单、拒单、改派与状态流转</t>
  </si>
  <si>
    <t>普通／政府场景各执行一轮</t>
  </si>
  <si>
    <t>原型已验证</t>
  </si>
  <si>
    <t>主要交互路径已具备</t>
  </si>
  <si>
    <t>确认编号、状态与派单规则</t>
  </si>
  <si>
    <t>M4 完成</t>
  </si>
  <si>
    <t>AT-05</t>
  </si>
  <si>
    <t>移动端现场闭环</t>
  </si>
  <si>
    <t>验证接单、到场、照片／说明、处理与完工</t>
  </si>
  <si>
    <t>可拍照与不可拍照场景各一单</t>
  </si>
  <si>
    <t>移动端交互流程已具备</t>
  </si>
  <si>
    <t>提供照片规则及测试手机</t>
  </si>
  <si>
    <t>M2／M4 完成</t>
  </si>
  <si>
    <t>AT-06</t>
  </si>
  <si>
    <t>角色与数据范围</t>
  </si>
  <si>
    <t>验证角色功能、本人／团队／区域数据范围</t>
  </si>
  <si>
    <t>使用真实试点账号联合测试</t>
  </si>
  <si>
    <t>权限矩阵已形成</t>
  </si>
  <si>
    <t>提供试点账号与组织关系</t>
  </si>
  <si>
    <t>M2 完成</t>
  </si>
  <si>
    <t>AT-07</t>
  </si>
  <si>
    <t>验证免登、消息、移动端、图片与容量</t>
  </si>
  <si>
    <t>在真实环境执行场景脚本</t>
  </si>
  <si>
    <t>POC 场景与资源清单已形成</t>
  </si>
  <si>
    <t>提供环境、许可与测试账号</t>
  </si>
  <si>
    <t>AT-08</t>
  </si>
  <si>
    <t>验证真实数据、权限、附件、消息及操作记录</t>
  </si>
  <si>
    <t>执行集成测试与业务走查</t>
  </si>
  <si>
    <t>实施范围待 M1／M2 确认</t>
  </si>
  <si>
    <t>确认实施基线</t>
  </si>
  <si>
    <t>AT-09</t>
  </si>
  <si>
    <t>按一期核心场景完成联合验收</t>
  </si>
  <si>
    <t>业务、IT 与测试人员共同参与</t>
  </si>
  <si>
    <t>验收框架已形成</t>
  </si>
  <si>
    <t>安排验收人员与时间</t>
  </si>
  <si>
    <t>M5 完成</t>
  </si>
  <si>
    <t>AT-10</t>
  </si>
  <si>
    <t>试点与上线</t>
  </si>
  <si>
    <t>完成 7–10 个工作日试点、问题闭环和上线交接</t>
  </si>
  <si>
    <t>试点团队联合确认</t>
  </si>
  <si>
    <t>试点建议规模已明确</t>
  </si>
  <si>
    <t>确定试点团队与上线审批人</t>
  </si>
  <si>
    <t>M6／M7 完成</t>
  </si>
  <si>
    <t>客户协同事项与关键里程碑</t>
  </si>
  <si>
    <t>以下事项用于明确双方下一步输入、责任人和决策节点；确认后将同步更新里程碑计划及正式排期。</t>
  </si>
  <si>
    <t>类别</t>
  </si>
  <si>
    <t>协同／决策事项</t>
  </si>
  <si>
    <t>责任方</t>
  </si>
  <si>
    <t>项目作用</t>
  </si>
  <si>
    <t>所需输入／完成标准</t>
  </si>
  <si>
    <t>后续动作</t>
  </si>
  <si>
    <t>CO-01</t>
  </si>
  <si>
    <t>项目治理</t>
  </si>
  <si>
    <t>确认双方项目负责人、业务负责人、技术负责人及周例会时间</t>
  </si>
  <si>
    <t>用于固定决策与问题关闭节奏</t>
  </si>
  <si>
    <t>负责人姓名、投入时间和例会时间</t>
  </si>
  <si>
    <t>更新里程碑责任人</t>
  </si>
  <si>
    <t>CO-02</t>
  </si>
  <si>
    <t>一期范围</t>
  </si>
  <si>
    <t>确认 P0／P1／P2 及报价、采购、财务扩展模块的阶段归属</t>
  </si>
  <si>
    <t>用于固化一期交付边界</t>
  </si>
  <si>
    <t>范围决策表与书面评审意见</t>
  </si>
  <si>
    <t>完成 M1</t>
  </si>
  <si>
    <t>CO-03</t>
  </si>
  <si>
    <t>状态与规则</t>
  </si>
  <si>
    <t>确认状态模型、PM／CM、编号、完工确认和照片规则</t>
  </si>
  <si>
    <t>客户业务负责人／交付团队</t>
  </si>
  <si>
    <t>用于统一页面、权限、统计与验收口径</t>
  </si>
  <si>
    <t>状态矩阵、业务样例和规则结论</t>
  </si>
  <si>
    <t>CO-04</t>
  </si>
  <si>
    <t>试点组织</t>
  </si>
  <si>
    <t>确认 1 个试点区域及 CS、Leader、师傅人员名单</t>
  </si>
  <si>
    <t>客户项目负责人</t>
  </si>
  <si>
    <t>用于真实账号、权限及流程验证</t>
  </si>
  <si>
    <t>姓名、账号、角色、区域和可用时间</t>
  </si>
  <si>
    <t>启动 M2</t>
  </si>
  <si>
    <t>CO-05</t>
  </si>
  <si>
    <t>试点数据</t>
  </si>
  <si>
    <t>提供客户、地址、区域、团队、人员及 20–30 张样例工单</t>
  </si>
  <si>
    <t>客户数据／业务负责人</t>
  </si>
  <si>
    <t>用于数据导入、推荐派单及验收</t>
  </si>
  <si>
    <t>数据模板、业务主键及脱敏样例</t>
  </si>
  <si>
    <t>启动 M2／M4</t>
  </si>
  <si>
    <t>CO-06</t>
  </si>
  <si>
    <t>平台资源</t>
  </si>
  <si>
    <t>确认钉钉／宜搭许可、账号规模、附件容量及 POC 环境</t>
  </si>
  <si>
    <t>客户 IT／采购</t>
  </si>
  <si>
    <t>用于形成可落地的平台方案</t>
  </si>
  <si>
    <t>许可、账号、存储、网络和测试环境信息</t>
  </si>
  <si>
    <t>CO-07</t>
  </si>
  <si>
    <t>通知与附件</t>
  </si>
  <si>
    <t>确认通知渠道、照片保留周期及归档方式</t>
  </si>
  <si>
    <t>客户 IT／业务负责人</t>
  </si>
  <si>
    <t>用于消息、容量和运维方案设计</t>
  </si>
  <si>
    <t>通知对象、渠道、照片量和保留要求</t>
  </si>
  <si>
    <t>完善 M2／M4</t>
  </si>
  <si>
    <t>CO-08</t>
  </si>
  <si>
    <t>评审与验收</t>
  </si>
  <si>
    <t>确定原型评审、UAT、试点及上线审批参与人</t>
  </si>
  <si>
    <t>用于提前锁定关键节点资源</t>
  </si>
  <si>
    <t>参与人、可用日期和审批机制</t>
  </si>
  <si>
    <t>固化总体排期</t>
  </si>
  <si>
    <t>G-01</t>
  </si>
  <si>
    <t>范围里程碑</t>
  </si>
  <si>
    <t>一期范围及业务规则完成双方确认</t>
  </si>
  <si>
    <t>达到后进入 POC 联合验证</t>
  </si>
  <si>
    <t>CO-02／CO-03 完成</t>
  </si>
  <si>
    <t>进入 M2</t>
  </si>
  <si>
    <t>G-02</t>
  </si>
  <si>
    <t>原型里程碑</t>
  </si>
  <si>
    <t>原型与一期范围一致，核心流程评审通过</t>
  </si>
  <si>
    <t>达到后形成统一 POC 基线</t>
  </si>
  <si>
    <t>M-004～M-006 完成</t>
  </si>
  <si>
    <t>G-03</t>
  </si>
  <si>
    <t>POC 里程碑</t>
  </si>
  <si>
    <t>真实账号、权限、消息、移动端、图片和容量验证完成</t>
  </si>
  <si>
    <t>待启动</t>
  </si>
  <si>
    <t>达到后确认生产实施方案</t>
  </si>
  <si>
    <t>M-007～M-009 完成</t>
  </si>
  <si>
    <t>进入 M3</t>
  </si>
  <si>
    <t>G-04</t>
  </si>
  <si>
    <t>实施里程碑</t>
  </si>
  <si>
    <t>一期生产实现、集成测试和试点数据准备完成</t>
  </si>
  <si>
    <t>交付团队／双方数据负责人</t>
  </si>
  <si>
    <t>达到后进入业务 UAT</t>
  </si>
  <si>
    <t>M-010～M-012 完成</t>
  </si>
  <si>
    <t>进入 M5</t>
  </si>
  <si>
    <t>G-05</t>
  </si>
  <si>
    <t>验收里程碑</t>
  </si>
  <si>
    <t>一期核心场景 UAT 与试点运行完成</t>
  </si>
  <si>
    <t>双方业务与试点团队</t>
  </si>
  <si>
    <t>达到后进入上线审批</t>
  </si>
  <si>
    <t>M-013～M-014 完成</t>
  </si>
  <si>
    <t>进入 M7</t>
  </si>
  <si>
    <t>G-06</t>
  </si>
  <si>
    <t>上线里程碑</t>
  </si>
  <si>
    <t>生产上线、操作培训、运维交接与项目确认完成</t>
  </si>
  <si>
    <t>达到后完成本期项目交付</t>
  </si>
  <si>
    <t>M-015 及交接材料完成</t>
  </si>
  <si>
    <t>项目完成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</si>
</sst>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4B5563"/>
      <name val="Carlito"/>
      <charset val="134"/>
    </font>
    <font>
      <sz val="11"/>
      <color rgb="FF1F2937"/>
      <name val="Carlito"/>
      <charset val="134"/>
    </font>
    <font>
      <b/>
      <sz val="11"/>
      <color rgb="FF334155"/>
      <name val="Carlito"/>
      <charset val="134"/>
    </font>
    <font>
      <b/>
      <sz val="11"/>
      <color rgb="FF172554"/>
      <name val="Carlito"/>
      <charset val="134"/>
    </font>
    <font>
      <b/>
      <sz val="11"/>
      <color rgb="FF4F46E5"/>
      <name val="Carlito"/>
      <charset val="134"/>
    </font>
    <font>
      <b/>
      <sz val="11"/>
      <color rgb="FFB45309"/>
      <name val="Carlito"/>
      <charset val="134"/>
    </font>
    <font>
      <b/>
      <sz val="11"/>
      <color rgb="FFC2410C"/>
      <name val="Carlito"/>
      <charset val="134"/>
    </font>
    <font>
      <b/>
      <sz val="11"/>
      <color rgb="FF0F766E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BFE5F5"/>
        <bgColor indexed="64"/>
      </patternFill>
    </fill>
    <fill>
      <patternFill patternType="solid">
        <fgColor rgb="FFD8EFF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C7D2FE"/>
      </right>
      <top/>
      <bottom/>
      <diagonal/>
    </border>
    <border>
      <left style="thin">
        <color rgb="FFC7D2FE"/>
      </left>
      <right style="thin">
        <color rgb="FFC7D2FE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7D2FE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7D2FE"/>
      </left>
      <right/>
      <top style="thin">
        <color rgb="FFC7D2FE"/>
      </top>
      <bottom/>
      <diagonal/>
    </border>
    <border>
      <left/>
      <right style="thin">
        <color rgb="FFC7D2FE"/>
      </right>
      <top style="thin">
        <color rgb="FFC7D2FE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C7D2FE"/>
      </left>
      <right/>
      <top/>
      <bottom style="thin">
        <color rgb="FFC7D2FE"/>
      </bottom>
      <diagonal/>
    </border>
    <border>
      <left/>
      <right style="thin">
        <color rgb="FFC7D2FE"/>
      </right>
      <top/>
      <bottom style="thin">
        <color rgb="FFC7D2FE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A7F3D0"/>
      </left>
      <right/>
      <top style="thin">
        <color rgb="FFA7F3D0"/>
      </top>
      <bottom/>
      <diagonal/>
    </border>
    <border>
      <left/>
      <right style="thin">
        <color rgb="FFA7F3D0"/>
      </right>
      <top style="thin">
        <color rgb="FFA7F3D0"/>
      </top>
      <bottom/>
      <diagonal/>
    </border>
    <border>
      <left style="thin">
        <color rgb="FFFED7AA"/>
      </left>
      <right/>
      <top style="thin">
        <color rgb="FFFED7AA"/>
      </top>
      <bottom/>
      <diagonal/>
    </border>
    <border>
      <left/>
      <right style="thin">
        <color rgb="FFFED7AA"/>
      </right>
      <top style="thin">
        <color rgb="FFFED7AA"/>
      </top>
      <bottom/>
      <diagonal/>
    </border>
    <border>
      <left style="thin">
        <color rgb="FFA7F3D0"/>
      </left>
      <right/>
      <top/>
      <bottom style="thin">
        <color rgb="FFA7F3D0"/>
      </bottom>
      <diagonal/>
    </border>
    <border>
      <left/>
      <right style="thin">
        <color rgb="FFA7F3D0"/>
      </right>
      <top/>
      <bottom style="thin">
        <color rgb="FFA7F3D0"/>
      </bottom>
      <diagonal/>
    </border>
    <border>
      <left style="thin">
        <color rgb="FFFED7AA"/>
      </left>
      <right/>
      <top/>
      <bottom style="thin">
        <color rgb="FFFED7AA"/>
      </bottom>
      <diagonal/>
    </border>
    <border>
      <left/>
      <right style="thin">
        <color rgb="FFFED7AA"/>
      </right>
      <top/>
      <bottom style="thin">
        <color rgb="FFFED7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0" borderId="2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8" applyNumberFormat="0" applyAlignment="0" applyProtection="0">
      <alignment vertical="center"/>
    </xf>
    <xf numFmtId="0" fontId="20" fillId="22" borderId="29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2" fillId="23" borderId="30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0" borderId="0"/>
  </cellStyleXfs>
  <cellXfs count="6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1" fillId="4" borderId="1" xfId="49" applyNumberFormat="1" applyFont="1" applyFill="1" applyBorder="1" applyAlignment="1">
      <alignment vertical="center" wrapText="1"/>
    </xf>
    <xf numFmtId="0" fontId="1" fillId="4" borderId="2" xfId="49" applyNumberFormat="1" applyFont="1" applyFill="1" applyBorder="1" applyAlignment="1">
      <alignment vertical="center" wrapText="1"/>
    </xf>
    <xf numFmtId="0" fontId="3" fillId="0" borderId="3" xfId="49" applyNumberFormat="1" applyFont="1" applyFill="1" applyBorder="1" applyAlignment="1">
      <alignment vertical="center" wrapText="1"/>
    </xf>
    <xf numFmtId="0" fontId="3" fillId="5" borderId="3" xfId="49" applyNumberFormat="1" applyFont="1" applyFill="1" applyBorder="1" applyAlignment="1">
      <alignment vertical="center" wrapText="1"/>
    </xf>
    <xf numFmtId="0" fontId="0" fillId="6" borderId="0" xfId="49" applyNumberFormat="1" applyFont="1" applyFill="1" applyBorder="1" applyAlignment="1">
      <alignment wrapText="1"/>
    </xf>
    <xf numFmtId="0" fontId="1" fillId="4" borderId="4" xfId="49" applyNumberFormat="1" applyFont="1" applyFill="1" applyBorder="1" applyAlignment="1">
      <alignment vertical="center" wrapText="1"/>
    </xf>
    <xf numFmtId="0" fontId="3" fillId="0" borderId="5" xfId="49" applyNumberFormat="1" applyFont="1" applyFill="1" applyBorder="1" applyAlignment="1">
      <alignment vertical="center" wrapText="1"/>
    </xf>
    <xf numFmtId="0" fontId="3" fillId="0" borderId="6" xfId="49" applyNumberFormat="1" applyFont="1" applyFill="1" applyBorder="1" applyAlignment="1">
      <alignment vertical="center" wrapText="1"/>
    </xf>
    <xf numFmtId="0" fontId="3" fillId="0" borderId="7" xfId="49" applyNumberFormat="1" applyFont="1" applyFill="1" applyBorder="1" applyAlignment="1">
      <alignment vertical="center" wrapText="1"/>
    </xf>
    <xf numFmtId="176" fontId="3" fillId="0" borderId="3" xfId="49" applyNumberFormat="1" applyFont="1" applyFill="1" applyBorder="1" applyAlignment="1">
      <alignment vertical="center" wrapText="1"/>
    </xf>
    <xf numFmtId="176" fontId="3" fillId="0" borderId="5" xfId="49" applyNumberFormat="1" applyFont="1" applyFill="1" applyBorder="1" applyAlignment="1">
      <alignment vertical="center" wrapText="1"/>
    </xf>
    <xf numFmtId="176" fontId="3" fillId="0" borderId="6" xfId="49" applyNumberFormat="1" applyFont="1" applyFill="1" applyBorder="1" applyAlignment="1">
      <alignment vertical="center" wrapText="1"/>
    </xf>
    <xf numFmtId="176" fontId="3" fillId="0" borderId="7" xfId="49" applyNumberFormat="1" applyFont="1" applyFill="1" applyBorder="1" applyAlignment="1">
      <alignment vertical="center" wrapText="1"/>
    </xf>
    <xf numFmtId="9" fontId="3" fillId="0" borderId="3" xfId="49" applyNumberFormat="1" applyFont="1" applyFill="1" applyBorder="1" applyAlignment="1">
      <alignment vertical="center" wrapText="1"/>
    </xf>
    <xf numFmtId="9" fontId="3" fillId="0" borderId="5" xfId="49" applyNumberFormat="1" applyFont="1" applyFill="1" applyBorder="1" applyAlignment="1">
      <alignment vertical="center" wrapText="1"/>
    </xf>
    <xf numFmtId="9" fontId="3" fillId="0" borderId="6" xfId="49" applyNumberFormat="1" applyFont="1" applyFill="1" applyBorder="1" applyAlignment="1">
      <alignment vertical="center" wrapText="1"/>
    </xf>
    <xf numFmtId="9" fontId="3" fillId="0" borderId="7" xfId="49" applyNumberFormat="1" applyFont="1" applyFill="1" applyBorder="1" applyAlignment="1">
      <alignment vertical="center" wrapText="1"/>
    </xf>
    <xf numFmtId="0" fontId="3" fillId="7" borderId="3" xfId="49" applyNumberFormat="1" applyFont="1" applyFill="1" applyBorder="1" applyAlignment="1">
      <alignment vertical="center" wrapText="1"/>
    </xf>
    <xf numFmtId="0" fontId="4" fillId="8" borderId="3" xfId="49" applyNumberFormat="1" applyFont="1" applyFill="1" applyBorder="1" applyAlignment="1">
      <alignment horizontal="center" vertical="center" wrapText="1"/>
    </xf>
    <xf numFmtId="0" fontId="3" fillId="9" borderId="3" xfId="49" applyNumberFormat="1" applyFont="1" applyFill="1" applyBorder="1" applyAlignment="1">
      <alignment vertical="center" wrapText="1"/>
    </xf>
    <xf numFmtId="0" fontId="4" fillId="3" borderId="3" xfId="49" applyNumberFormat="1" applyFont="1" applyFill="1" applyBorder="1" applyAlignment="1">
      <alignment horizontal="center" vertical="center" wrapText="1"/>
    </xf>
    <xf numFmtId="0" fontId="4" fillId="10" borderId="3" xfId="49" applyNumberFormat="1" applyFont="1" applyFill="1" applyBorder="1" applyAlignment="1">
      <alignment horizontal="center" vertical="center" wrapText="1"/>
    </xf>
    <xf numFmtId="0" fontId="4" fillId="11" borderId="3" xfId="49" applyNumberFormat="1" applyFont="1" applyFill="1" applyBorder="1" applyAlignment="1">
      <alignment horizontal="center" vertical="center" wrapText="1"/>
    </xf>
    <xf numFmtId="0" fontId="4" fillId="12" borderId="3" xfId="49" applyNumberFormat="1" applyFont="1" applyFill="1" applyBorder="1" applyAlignment="1">
      <alignment horizontal="center" vertical="center" wrapText="1"/>
    </xf>
    <xf numFmtId="0" fontId="4" fillId="13" borderId="3" xfId="49" applyNumberFormat="1" applyFont="1" applyFill="1" applyBorder="1" applyAlignment="1">
      <alignment horizontal="center" vertical="center" wrapText="1"/>
    </xf>
    <xf numFmtId="0" fontId="4" fillId="14" borderId="3" xfId="49" applyNumberFormat="1" applyFont="1" applyFill="1" applyBorder="1" applyAlignment="1">
      <alignment horizontal="center" vertical="center" wrapText="1"/>
    </xf>
    <xf numFmtId="0" fontId="4" fillId="15" borderId="3" xfId="49" applyNumberFormat="1" applyFont="1" applyFill="1" applyBorder="1" applyAlignment="1">
      <alignment horizontal="center" vertical="center" wrapText="1"/>
    </xf>
    <xf numFmtId="0" fontId="3" fillId="9" borderId="5" xfId="49" applyNumberFormat="1" applyFont="1" applyFill="1" applyBorder="1" applyAlignment="1">
      <alignment vertical="center" wrapText="1"/>
    </xf>
    <xf numFmtId="0" fontId="4" fillId="15" borderId="5" xfId="49" applyNumberFormat="1" applyFont="1" applyFill="1" applyBorder="1" applyAlignment="1">
      <alignment horizontal="center" vertical="center" wrapText="1"/>
    </xf>
    <xf numFmtId="0" fontId="3" fillId="7" borderId="6" xfId="49" applyNumberFormat="1" applyFont="1" applyFill="1" applyBorder="1" applyAlignment="1">
      <alignment vertical="center" wrapText="1"/>
    </xf>
    <xf numFmtId="0" fontId="4" fillId="12" borderId="8" xfId="49" applyNumberFormat="1" applyFont="1" applyFill="1" applyBorder="1" applyAlignment="1">
      <alignment horizontal="center" vertical="center" wrapText="1"/>
    </xf>
    <xf numFmtId="0" fontId="3" fillId="9" borderId="6" xfId="49" applyNumberFormat="1" applyFont="1" applyFill="1" applyBorder="1" applyAlignment="1">
      <alignment vertical="center" wrapText="1"/>
    </xf>
    <xf numFmtId="0" fontId="4" fillId="13" borderId="8" xfId="49" applyNumberFormat="1" applyFont="1" applyFill="1" applyBorder="1" applyAlignment="1">
      <alignment horizontal="center" vertical="center" wrapText="1"/>
    </xf>
    <xf numFmtId="0" fontId="4" fillId="14" borderId="8" xfId="49" applyNumberFormat="1" applyFont="1" applyFill="1" applyBorder="1" applyAlignment="1">
      <alignment horizontal="center" vertical="center" wrapText="1"/>
    </xf>
    <xf numFmtId="0" fontId="4" fillId="15" borderId="8" xfId="49" applyNumberFormat="1" applyFont="1" applyFill="1" applyBorder="1" applyAlignment="1">
      <alignment horizontal="center" vertical="center" wrapText="1"/>
    </xf>
    <xf numFmtId="0" fontId="4" fillId="16" borderId="8" xfId="49" applyNumberFormat="1" applyFont="1" applyFill="1" applyBorder="1" applyAlignment="1">
      <alignment horizontal="center" vertical="center" wrapText="1"/>
    </xf>
    <xf numFmtId="0" fontId="4" fillId="17" borderId="8" xfId="49" applyNumberFormat="1" applyFont="1" applyFill="1" applyBorder="1" applyAlignment="1">
      <alignment horizontal="center" vertical="center" wrapText="1"/>
    </xf>
    <xf numFmtId="0" fontId="5" fillId="3" borderId="8" xfId="49" applyNumberFormat="1" applyFont="1" applyFill="1" applyBorder="1" applyAlignment="1">
      <alignment horizontal="center" vertical="center" wrapText="1"/>
    </xf>
    <xf numFmtId="0" fontId="5" fillId="10" borderId="8" xfId="49" applyNumberFormat="1" applyFont="1" applyFill="1" applyBorder="1" applyAlignment="1">
      <alignment horizontal="center" vertical="center" wrapText="1"/>
    </xf>
    <xf numFmtId="0" fontId="5" fillId="11" borderId="8" xfId="49" applyNumberFormat="1" applyFont="1" applyFill="1" applyBorder="1" applyAlignment="1">
      <alignment horizontal="center" vertical="center" wrapText="1"/>
    </xf>
    <xf numFmtId="0" fontId="5" fillId="12" borderId="8" xfId="49" applyNumberFormat="1" applyFont="1" applyFill="1" applyBorder="1" applyAlignment="1">
      <alignment horizontal="center" vertical="center" wrapText="1"/>
    </xf>
    <xf numFmtId="0" fontId="3" fillId="7" borderId="7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6" fillId="3" borderId="0" xfId="49" applyNumberFormat="1" applyFont="1" applyFill="1" applyBorder="1" applyAlignment="1">
      <alignment vertical="center"/>
    </xf>
    <xf numFmtId="0" fontId="1" fillId="4" borderId="0" xfId="49" applyNumberFormat="1" applyFont="1" applyFill="1" applyBorder="1" applyAlignment="1">
      <alignment horizontal="center" vertical="center"/>
    </xf>
    <xf numFmtId="9" fontId="5" fillId="3" borderId="9" xfId="49" applyNumberFormat="1" applyFont="1" applyFill="1" applyBorder="1" applyAlignment="1">
      <alignment horizontal="center" vertical="center"/>
    </xf>
    <xf numFmtId="9" fontId="5" fillId="3" borderId="10" xfId="49" applyNumberFormat="1" applyFont="1" applyFill="1" applyBorder="1" applyAlignment="1">
      <alignment horizontal="center" vertical="center"/>
    </xf>
    <xf numFmtId="0" fontId="5" fillId="18" borderId="11" xfId="49" applyNumberFormat="1" applyFont="1" applyFill="1" applyBorder="1" applyAlignment="1">
      <alignment horizontal="center" vertical="center" wrapText="1"/>
    </xf>
    <xf numFmtId="0" fontId="5" fillId="18" borderId="12" xfId="49" applyNumberFormat="1" applyFont="1" applyFill="1" applyBorder="1" applyAlignment="1">
      <alignment horizontal="center" vertical="center" wrapText="1"/>
    </xf>
    <xf numFmtId="9" fontId="5" fillId="3" borderId="13" xfId="49" applyNumberFormat="1" applyFont="1" applyFill="1" applyBorder="1" applyAlignment="1">
      <alignment horizontal="center" vertical="center"/>
    </xf>
    <xf numFmtId="9" fontId="5" fillId="3" borderId="14" xfId="49" applyNumberFormat="1" applyFont="1" applyFill="1" applyBorder="1" applyAlignment="1">
      <alignment horizontal="center" vertical="center"/>
    </xf>
    <xf numFmtId="0" fontId="5" fillId="18" borderId="15" xfId="49" applyNumberFormat="1" applyFont="1" applyFill="1" applyBorder="1" applyAlignment="1">
      <alignment horizontal="center" vertical="center" wrapText="1"/>
    </xf>
    <xf numFmtId="0" fontId="5" fillId="18" borderId="16" xfId="49" applyNumberFormat="1" applyFont="1" applyFill="1" applyBorder="1" applyAlignment="1">
      <alignment horizontal="center" vertical="center" wrapText="1"/>
    </xf>
    <xf numFmtId="0" fontId="7" fillId="19" borderId="0" xfId="49" applyNumberFormat="1" applyFont="1" applyFill="1" applyBorder="1" applyAlignment="1">
      <alignment vertical="center" wrapText="1"/>
    </xf>
    <xf numFmtId="0" fontId="8" fillId="11" borderId="0" xfId="49" applyNumberFormat="1" applyFont="1" applyFill="1" applyBorder="1" applyAlignment="1">
      <alignment vertical="center" wrapText="1"/>
    </xf>
    <xf numFmtId="0" fontId="9" fillId="10" borderId="17" xfId="49" applyNumberFormat="1" applyFont="1" applyFill="1" applyBorder="1" applyAlignment="1">
      <alignment horizontal="center" vertical="center" wrapText="1"/>
    </xf>
    <xf numFmtId="0" fontId="9" fillId="10" borderId="18" xfId="49" applyNumberFormat="1" applyFont="1" applyFill="1" applyBorder="1" applyAlignment="1">
      <alignment horizontal="center" vertical="center" wrapText="1"/>
    </xf>
    <xf numFmtId="0" fontId="8" fillId="11" borderId="19" xfId="49" applyNumberFormat="1" applyFont="1" applyFill="1" applyBorder="1" applyAlignment="1">
      <alignment horizontal="center" vertical="center" wrapText="1"/>
    </xf>
    <xf numFmtId="0" fontId="8" fillId="11" borderId="20" xfId="49" applyNumberFormat="1" applyFont="1" applyFill="1" applyBorder="1" applyAlignment="1">
      <alignment horizontal="center" vertical="center" wrapText="1"/>
    </xf>
    <xf numFmtId="0" fontId="9" fillId="10" borderId="21" xfId="49" applyNumberFormat="1" applyFont="1" applyFill="1" applyBorder="1" applyAlignment="1">
      <alignment horizontal="center" vertical="center" wrapText="1"/>
    </xf>
    <xf numFmtId="0" fontId="9" fillId="10" borderId="22" xfId="49" applyNumberFormat="1" applyFont="1" applyFill="1" applyBorder="1" applyAlignment="1">
      <alignment horizontal="center" vertical="center" wrapText="1"/>
    </xf>
    <xf numFmtId="0" fontId="8" fillId="11" borderId="23" xfId="49" applyNumberFormat="1" applyFont="1" applyFill="1" applyBorder="1" applyAlignment="1">
      <alignment horizontal="center" vertical="center" wrapText="1"/>
    </xf>
    <xf numFmtId="0" fontId="8" fillId="11" borderId="2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color rgb="FF0F766E"/>
      </font>
      <fill>
        <patternFill patternType="solid">
          <bgColor rgb="FFECFDF5"/>
        </patternFill>
      </fill>
    </dxf>
    <dxf>
      <font>
        <color rgb="FFC2410C"/>
      </font>
      <fill>
        <patternFill patternType="solid">
          <bgColor rgb="FFFFF7ED"/>
        </patternFill>
      </fill>
    </dxf>
    <dxf>
      <font>
        <color rgb="FFB45309"/>
      </font>
      <fill>
        <patternFill patternType="solid">
          <bgColor rgb="FFFFFBEB"/>
        </patternFill>
      </fill>
    </dxf>
    <dxf>
      <font>
        <b val="1"/>
        <color rgb="FFDC2626"/>
      </font>
      <fill>
        <patternFill patternType="solid">
          <bgColor rgb="FFFEF2F2"/>
        </patternFill>
      </fill>
    </dxf>
    <dxf>
      <font>
        <color rgb="FF6B7280"/>
      </font>
      <fill>
        <patternFill patternType="solid">
          <bgColor rgb="FFF3F4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ModulesTable" displayName="OverviewModulesTable" ref="A10:H26" totalsRowShown="0">
  <tableColumns count="8">
    <tableColumn id="1" name="功能模块"/>
    <tableColumn id="2" name="权重"/>
    <tableColumn id="3" name="完成度"/>
    <tableColumn id="4" name="状态"/>
    <tableColumn id="5" name="优先级"/>
    <tableColumn id="6" name="当前可用能力"/>
    <tableColumn id="7" name="主要缺口"/>
    <tableColumn id="8" name="完成标志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rmModulesTable" displayName="CrmModulesTable" ref="A4:J20" totalsRowShown="0">
  <tableColumns count="10">
    <tableColumn id="1" name="模块ID"/>
    <tableColumn id="2" name="功能模块"/>
    <tableColumn id="3" name="当前可用能力"/>
    <tableColumn id="4" name="上线缺口"/>
    <tableColumn id="5" name="状态"/>
    <tableColumn id="6" name="权重"/>
    <tableColumn id="7" name="完成度"/>
    <tableColumn id="8" name="优先级"/>
    <tableColumn id="9" name="完成标准"/>
    <tableColumn id="10" name="验收编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mTasksTable" displayName="CrmTasksTable" ref="A4:N44" totalsRowShown="0">
  <autoFilter ref="A4:N44"/>
  <tableColumns count="14">
    <tableColumn id="1" name="任务ID"/>
    <tableColumn id="2" name="功能模块"/>
    <tableColumn id="3" name="任务名称"/>
    <tableColumn id="4" name="类型"/>
    <tableColumn id="5" name="优先级"/>
    <tableColumn id="6" name="责任方"/>
    <tableColumn id="7" name="状态"/>
    <tableColumn id="8" name="计划开始"/>
    <tableColumn id="9" name="计划完成"/>
    <tableColumn id="10" name="完成度"/>
    <tableColumn id="11" name="验收标准／完成条件"/>
    <tableColumn id="12" name="阻塞原因"/>
    <tableColumn id="13" name="下一步"/>
    <tableColumn id="14" name="里程碑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mAcceptanceTable" displayName="CrmAcceptanceTable" ref="A4:H20" totalsRowShown="0">
  <tableColumns count="8">
    <tableColumn id="1" name="编号"/>
    <tableColumn id="2" name="验收场景"/>
    <tableColumn id="3" name="自动验收内容"/>
    <tableColumn id="4" name="人工验收操作"/>
    <tableColumn id="5" name="当前结果"/>
    <tableColumn id="6" name="证据／说明"/>
    <tableColumn id="7" name="人工配合"/>
    <tableColumn id="8" name="复测触发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rmPendingTable" displayName="CrmPendingTable" ref="A4:H18" totalsRowShown="0">
  <autoFilter ref="A4:H18"/>
  <tableColumns count="8">
    <tableColumn id="1" name="事项ID"/>
    <tableColumn id="2" name="类别"/>
    <tableColumn id="3" name="待确认／门槛"/>
    <tableColumn id="4" name="状态"/>
    <tableColumn id="5" name="责任方"/>
    <tableColumn id="6" name="影响"/>
    <tableColumn id="7" name="需要提供的资料／动作"/>
    <tableColumn id="8" name="完成后影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showGridLines="0" topLeftCell="A9" workbookViewId="0">
      <selection activeCell="D12" sqref="D12"/>
    </sheetView>
  </sheetViews>
  <sheetFormatPr defaultColWidth="9" defaultRowHeight="16.8" outlineLevelCol="7"/>
  <cols>
    <col min="1" max="1" width="18.8676470588235" customWidth="1"/>
    <col min="2" max="2" width="10.6617647058824" customWidth="1"/>
    <col min="3" max="3" width="14.7058823529412" customWidth="1"/>
    <col min="4" max="4" width="14" customWidth="1"/>
    <col min="5" max="5" width="10" customWidth="1"/>
    <col min="6" max="8" width="42" customWidth="1"/>
  </cols>
  <sheetData>
    <row r="1" ht="34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25" customHeight="1" spans="1:8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</row>
    <row r="3" ht="8" customHeight="1"/>
    <row r="4" spans="1:8">
      <c r="A4" s="46" t="s">
        <v>2</v>
      </c>
      <c r="B4" s="46" t="s">
        <v>2</v>
      </c>
      <c r="C4" s="46" t="s">
        <v>2</v>
      </c>
      <c r="D4" s="46" t="s">
        <v>2</v>
      </c>
      <c r="E4" s="46" t="s">
        <v>2</v>
      </c>
      <c r="F4" s="46" t="s">
        <v>2</v>
      </c>
      <c r="G4" s="46" t="s">
        <v>2</v>
      </c>
      <c r="H4" s="46" t="s">
        <v>2</v>
      </c>
    </row>
    <row r="5" spans="1:8">
      <c r="A5" s="47" t="s">
        <v>3</v>
      </c>
      <c r="B5" s="47" t="s">
        <v>3</v>
      </c>
      <c r="C5" s="47" t="s">
        <v>4</v>
      </c>
      <c r="D5" s="47" t="s">
        <v>4</v>
      </c>
      <c r="E5" s="47" t="s">
        <v>5</v>
      </c>
      <c r="F5" s="47" t="s">
        <v>6</v>
      </c>
      <c r="G5" s="47" t="s">
        <v>7</v>
      </c>
      <c r="H5" s="47" t="s">
        <v>8</v>
      </c>
    </row>
    <row r="6" ht="30" customHeight="1" spans="1:8">
      <c r="A6" s="48">
        <f>SUMPRODUCT(功能模块!$F$5:$F$12,功能模块!$G$5:$G$12)</f>
        <v>0.516</v>
      </c>
      <c r="B6" s="49"/>
      <c r="C6" s="50" t="s">
        <v>9</v>
      </c>
      <c r="D6" s="51"/>
      <c r="E6" s="58" t="str">
        <f>COUNTIF(功能模块!$G$5:$G$12,"&gt;=0.6")&amp;" / "&amp;COUNTA(功能模块!$A$5:$A$12)&amp;" 个工作包进入成型阶段"</f>
        <v>4 / 8 个工作包进入成型阶段</v>
      </c>
      <c r="F6" s="59"/>
      <c r="G6" s="60" t="str">
        <f>IF(A6&gt;=0.9,"上线交付阶段",IF(A6&gt;=0.65,"实施与验证推进中",IF(A6&gt;=0.4,"总体按计划推进，关键事项待双方确认","项目准备阶段")))</f>
        <v>总体按计划推进，关键事项待双方确认</v>
      </c>
      <c r="H6" s="61"/>
    </row>
    <row r="7" ht="30" customHeight="1" spans="1:8">
      <c r="A7" s="52"/>
      <c r="B7" s="53"/>
      <c r="C7" s="54"/>
      <c r="D7" s="55"/>
      <c r="E7" s="62"/>
      <c r="F7" s="63"/>
      <c r="G7" s="64"/>
      <c r="H7" s="65"/>
    </row>
    <row r="8" ht="8" customHeight="1"/>
    <row r="9" spans="1:8">
      <c r="A9" s="46" t="s">
        <v>10</v>
      </c>
      <c r="B9" s="46" t="s">
        <v>10</v>
      </c>
      <c r="C9" s="46" t="s">
        <v>10</v>
      </c>
      <c r="D9" s="46" t="s">
        <v>10</v>
      </c>
      <c r="E9" s="46" t="s">
        <v>10</v>
      </c>
      <c r="F9" s="46" t="s">
        <v>10</v>
      </c>
      <c r="G9" s="46" t="s">
        <v>10</v>
      </c>
      <c r="H9" s="46" t="s">
        <v>10</v>
      </c>
    </row>
    <row r="10" ht="26" customHeight="1" spans="1:8">
      <c r="A10" s="3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8" t="s">
        <v>18</v>
      </c>
    </row>
    <row r="11" ht="48" customHeight="1" spans="1:8">
      <c r="A11" s="5" t="str">
        <f>功能模块!B5</f>
        <v>需求与一期范围确认</v>
      </c>
      <c r="B11" s="16">
        <f>功能模块!F5</f>
        <v>0.15</v>
      </c>
      <c r="C11" s="16">
        <f>功能模块!G5</f>
        <v>0.78</v>
      </c>
      <c r="D11" s="5" t="str">
        <f>功能模块!E5</f>
        <v>推进中</v>
      </c>
      <c r="E11" s="5" t="str">
        <f>功能模块!H5</f>
        <v>P0</v>
      </c>
      <c r="F11" s="5" t="str">
        <f>功能模块!C5</f>
        <v>已完成需求材料梳理、一期 PRD 初稿及关键业务问题清单</v>
      </c>
      <c r="G11" s="5" t="str">
        <f>功能模块!D5</f>
        <v>完成一期范围、状态、角色及验收口径的双方确认</v>
      </c>
      <c r="H11" s="5" t="str">
        <f>功能模块!I5</f>
        <v>形成双方确认的一期范围基线与评审纪要</v>
      </c>
    </row>
    <row r="12" ht="48" customHeight="1" spans="1:8">
      <c r="A12" s="5" t="str">
        <f>功能模块!B6</f>
        <v>交互原型与公网评审</v>
      </c>
      <c r="B12" s="16">
        <f>功能模块!F6</f>
        <v>0.2</v>
      </c>
      <c r="C12" s="16">
        <f>功能模块!G6</f>
        <v>0.9</v>
      </c>
      <c r="D12" s="5" t="str">
        <f>功能模块!E6</f>
        <v>基本完成</v>
      </c>
      <c r="E12" s="5" t="str">
        <f>功能模块!H6</f>
        <v>P0</v>
      </c>
      <c r="F12" s="5" t="str">
        <f>功能模块!C6</f>
        <v>多角色 PC／移动端交互原型已完成，并已发布公网评审版本</v>
      </c>
      <c r="G12" s="5" t="str">
        <f>功能模块!D6</f>
        <v>按一期范围逐页复核，关闭评审意见并固化版本</v>
      </c>
      <c r="H12" s="5" t="str">
        <f>功能模块!I6</f>
        <v>核心角色主流程评审通过，版本与一期范围一致</v>
      </c>
    </row>
    <row r="13" ht="48" customHeight="1" spans="1:8">
      <c r="A13" s="5" t="str">
        <f>功能模块!B7</f>
        <v>工单受理、派单与闭环</v>
      </c>
      <c r="B13" s="16">
        <f>功能模块!F7</f>
        <v>0.15</v>
      </c>
      <c r="C13" s="16">
        <f>功能模块!G7</f>
        <v>0.68</v>
      </c>
      <c r="D13" s="5" t="str">
        <f>功能模块!E7</f>
        <v>推进中</v>
      </c>
      <c r="E13" s="5" t="str">
        <f>功能模块!H7</f>
        <v>P0</v>
      </c>
      <c r="F13" s="5" t="str">
        <f>功能模块!C7</f>
        <v>已具备建单、列表、详情、派单、状态流转、服务报告与完工记录演示</v>
      </c>
      <c r="G13" s="5" t="str">
        <f>功能模块!D7</f>
        <v>确认编号、状态、派单与完工规则，进入真实环境实现</v>
      </c>
      <c r="H13" s="5" t="str">
        <f>功能模块!I7</f>
        <v>普通与政府场景可按确认规则完成全流程验收</v>
      </c>
    </row>
    <row r="14" ht="48" customHeight="1" spans="1:8">
      <c r="A14" s="5" t="str">
        <f>功能模块!B8</f>
        <v>移动执行与现场记录</v>
      </c>
      <c r="B14" s="16">
        <f>功能模块!F8</f>
        <v>0.1</v>
      </c>
      <c r="C14" s="16">
        <f>功能模块!G8</f>
        <v>0.62</v>
      </c>
      <c r="D14" s="5" t="str">
        <f>功能模块!E8</f>
        <v>推进中</v>
      </c>
      <c r="E14" s="5" t="str">
        <f>功能模块!H8</f>
        <v>P0</v>
      </c>
      <c r="F14" s="5" t="str">
        <f>功能模块!C8</f>
        <v>已完成师傅移动工作台、接单、到场、处理、照片／说明及签名演示</v>
      </c>
      <c r="G14" s="5" t="str">
        <f>功能模块!D8</f>
        <v>确认照片策略并在真实手机、网络与账号环境完成验证</v>
      </c>
      <c r="H14" s="5" t="str">
        <f>功能模块!I8</f>
        <v>可拍照与不可拍照场景均通过移动端验收</v>
      </c>
    </row>
    <row r="15" ht="48" customHeight="1" spans="1:8">
      <c r="A15" s="5" t="str">
        <f>功能模块!B9</f>
        <v>角色权限与数据范围</v>
      </c>
      <c r="B15" s="16">
        <f>功能模块!F9</f>
        <v>0.1</v>
      </c>
      <c r="C15" s="16">
        <f>功能模块!G9</f>
        <v>0.45</v>
      </c>
      <c r="D15" s="5" t="str">
        <f>功能模块!E9</f>
        <v>准备中</v>
      </c>
      <c r="E15" s="5" t="str">
        <f>功能模块!H9</f>
        <v>P0</v>
      </c>
      <c r="F15" s="5" t="str">
        <f>功能模块!C9</f>
        <v>已完成 CS、Leader、师傅等角色入口和派单中心交互演示</v>
      </c>
      <c r="G15" s="5" t="str">
        <f>功能模块!D9</f>
        <v>基于试点组织及真实账号验证角色权限和数据范围</v>
      </c>
      <c r="H15" s="5" t="str">
        <f>功能模块!I9</f>
        <v>权限矩阵、数据范围及关键操作验证通过</v>
      </c>
    </row>
    <row r="16" ht="48" customHeight="1" spans="1:8">
      <c r="A16" s="5" t="str">
        <f>功能模块!B10</f>
        <v>钉钉／宜搭 POC</v>
      </c>
      <c r="B16" s="16">
        <f>功能模块!F10</f>
        <v>0.1</v>
      </c>
      <c r="C16" s="16">
        <f>功能模块!G10</f>
        <v>0.1</v>
      </c>
      <c r="D16" s="5" t="str">
        <f>功能模块!E10</f>
        <v>准备中</v>
      </c>
      <c r="E16" s="5" t="str">
        <f>功能模块!H10</f>
        <v>P0</v>
      </c>
      <c r="F16" s="5" t="str">
        <f>功能模块!C10</f>
        <v>已形成 POC 验证范围、场景与前置资源清单</v>
      </c>
      <c r="G16" s="5" t="str">
        <f>功能模块!D10</f>
        <v>准备环境和测试账号，验证免登、消息、移动端、图片与容量</v>
      </c>
      <c r="H16" s="5" t="str">
        <f>功能模块!I10</f>
        <v>完成 POC 场景验证并形成双方认可的结论</v>
      </c>
    </row>
    <row r="17" ht="48" customHeight="1" spans="1:8">
      <c r="A17" s="5" t="str">
        <f>功能模块!B11</f>
        <v>生产实现与数据准备</v>
      </c>
      <c r="B17" s="16">
        <f>功能模块!F11</f>
        <v>0.15</v>
      </c>
      <c r="C17" s="16">
        <f>功能模块!G11</f>
        <v>0</v>
      </c>
      <c r="D17" s="5" t="str">
        <f>功能模块!E11</f>
        <v>计划中</v>
      </c>
      <c r="E17" s="5" t="str">
        <f>功能模块!H11</f>
        <v>P0</v>
      </c>
      <c r="F17" s="5" t="str">
        <f>功能模块!C11</f>
        <v>已梳理生产实现范围、试点主数据模板和部署交付要点</v>
      </c>
      <c r="G17" s="5" t="str">
        <f>功能模块!D11</f>
        <v>在范围及 POC 结论确认后启动开发、集成和数据导入</v>
      </c>
      <c r="H17" s="5" t="str">
        <f>功能模块!I11</f>
        <v>一期主流程在真实环境运行并通过集成测试</v>
      </c>
    </row>
    <row r="18" ht="48" customHeight="1" spans="1:8">
      <c r="A18" s="9" t="str">
        <f>功能模块!B12</f>
        <v>UAT、试点与上线</v>
      </c>
      <c r="B18" s="17">
        <f>功能模块!F12</f>
        <v>0.05</v>
      </c>
      <c r="C18" s="17">
        <f>功能模块!G12</f>
        <v>0</v>
      </c>
      <c r="D18" s="9" t="str">
        <f>功能模块!E12</f>
        <v>计划中</v>
      </c>
      <c r="E18" s="9" t="str">
        <f>功能模块!H12</f>
        <v>P0</v>
      </c>
      <c r="F18" s="9" t="str">
        <f>功能模块!C12</f>
        <v>已形成核心验收场景、试点规模和上线交接框架</v>
      </c>
      <c r="G18" s="9" t="str">
        <f>功能模块!D12</f>
        <v>完成 UAT、7–10 个工作日试点、问题闭环与上线交接</v>
      </c>
      <c r="H18" s="9" t="str">
        <f>功能模块!I12</f>
        <v>UAT 与试点通过，完成上线及项目交接</v>
      </c>
    </row>
    <row r="19" ht="2" customHeight="1" spans="1:8">
      <c r="A19" s="10"/>
      <c r="B19" s="18"/>
      <c r="C19" s="18"/>
      <c r="D19" s="10"/>
      <c r="E19" s="10"/>
      <c r="F19" s="10"/>
      <c r="G19" s="10"/>
      <c r="H19" s="10"/>
    </row>
    <row r="20" ht="2" customHeight="1" spans="1:8">
      <c r="A20" s="10"/>
      <c r="B20" s="18"/>
      <c r="C20" s="18"/>
      <c r="D20" s="10"/>
      <c r="E20" s="10"/>
      <c r="F20" s="10"/>
      <c r="G20" s="10"/>
      <c r="H20" s="10"/>
    </row>
    <row r="21" ht="2" customHeight="1" spans="1:8">
      <c r="A21" s="10"/>
      <c r="B21" s="18"/>
      <c r="C21" s="18"/>
      <c r="D21" s="10"/>
      <c r="E21" s="10"/>
      <c r="F21" s="10"/>
      <c r="G21" s="10"/>
      <c r="H21" s="10"/>
    </row>
    <row r="22" ht="2" customHeight="1" spans="1:8">
      <c r="A22" s="10"/>
      <c r="B22" s="18"/>
      <c r="C22" s="18"/>
      <c r="D22" s="10"/>
      <c r="E22" s="10"/>
      <c r="F22" s="10"/>
      <c r="G22" s="10"/>
      <c r="H22" s="10"/>
    </row>
    <row r="23" ht="2" customHeight="1" spans="1:8">
      <c r="A23" s="10"/>
      <c r="B23" s="18"/>
      <c r="C23" s="18"/>
      <c r="D23" s="10"/>
      <c r="E23" s="10"/>
      <c r="F23" s="10"/>
      <c r="G23" s="10"/>
      <c r="H23" s="10"/>
    </row>
    <row r="24" ht="2" customHeight="1" spans="1:8">
      <c r="A24" s="10"/>
      <c r="B24" s="18"/>
      <c r="C24" s="18"/>
      <c r="D24" s="10"/>
      <c r="E24" s="10"/>
      <c r="F24" s="10"/>
      <c r="G24" s="10"/>
      <c r="H24" s="10"/>
    </row>
    <row r="25" ht="2" customHeight="1" spans="1:8">
      <c r="A25" s="10"/>
      <c r="B25" s="18"/>
      <c r="C25" s="18"/>
      <c r="D25" s="10"/>
      <c r="E25" s="10"/>
      <c r="F25" s="10"/>
      <c r="G25" s="10"/>
      <c r="H25" s="10"/>
    </row>
    <row r="26" ht="2" customHeight="1" spans="1:8">
      <c r="A26" s="11"/>
      <c r="B26" s="19"/>
      <c r="C26" s="19"/>
      <c r="D26" s="11"/>
      <c r="E26" s="11"/>
      <c r="F26" s="11"/>
      <c r="G26" s="11"/>
      <c r="H26" s="11"/>
    </row>
    <row r="27" ht="2" customHeight="1"/>
    <row r="28" ht="30" customHeight="1" spans="1:8">
      <c r="A28" s="56" t="s">
        <v>19</v>
      </c>
      <c r="B28" s="56" t="s">
        <v>19</v>
      </c>
      <c r="C28" s="56" t="s">
        <v>19</v>
      </c>
      <c r="D28" s="56" t="s">
        <v>19</v>
      </c>
      <c r="E28" s="56" t="s">
        <v>19</v>
      </c>
      <c r="F28" s="56" t="s">
        <v>19</v>
      </c>
      <c r="G28" s="56" t="s">
        <v>19</v>
      </c>
      <c r="H28" s="56" t="s">
        <v>19</v>
      </c>
    </row>
    <row r="29" ht="30" customHeight="1" spans="1:8">
      <c r="A29" s="57" t="s">
        <v>20</v>
      </c>
      <c r="B29" s="57" t="s">
        <v>20</v>
      </c>
      <c r="C29" s="57" t="s">
        <v>20</v>
      </c>
      <c r="D29" s="57" t="s">
        <v>20</v>
      </c>
      <c r="E29" s="57" t="s">
        <v>20</v>
      </c>
      <c r="F29" s="57" t="s">
        <v>20</v>
      </c>
      <c r="G29" s="57" t="s">
        <v>20</v>
      </c>
      <c r="H29" s="57" t="s">
        <v>20</v>
      </c>
    </row>
  </sheetData>
  <mergeCells count="14">
    <mergeCell ref="A1:H1"/>
    <mergeCell ref="A2:H2"/>
    <mergeCell ref="A4:H4"/>
    <mergeCell ref="A5:B5"/>
    <mergeCell ref="C5:D5"/>
    <mergeCell ref="E5:F5"/>
    <mergeCell ref="G5:H5"/>
    <mergeCell ref="A9:H9"/>
    <mergeCell ref="A28:H28"/>
    <mergeCell ref="A29:H29"/>
    <mergeCell ref="A6:B7"/>
    <mergeCell ref="C6:D7"/>
    <mergeCell ref="E6:F7"/>
    <mergeCell ref="G6:H7"/>
  </mergeCells>
  <conditionalFormatting sqref="C11:C26">
    <cfRule type="dataBar" priority="1">
      <dataBar>
        <cfvo type="min"/>
        <cfvo type="max"/>
        <color rgb="FF4F46E5"/>
      </dataBar>
      <extLst>
        <ext xmlns:x14="http://schemas.microsoft.com/office/spreadsheetml/2009/9/main" uri="{B025F937-C7B1-47D3-B67F-A62EFF666E3E}">
          <x14:id>{d16fc354-7e21-4ec3-900c-c6bc148f58b9}</x14:id>
        </ext>
      </extLst>
    </cfRule>
  </conditionalFormatting>
  <conditionalFormatting sqref="D11:D26">
    <cfRule type="containsText" dxfId="0" priority="2" operator="between" text="已完成">
      <formula>NOT(ISERROR(SEARCH("已完成",D11)))</formula>
    </cfRule>
    <cfRule type="containsText" dxfId="0" priority="3" operator="between" text="PASS">
      <formula>NOT(ISERROR(SEARCH("PASS",D11)))</formula>
    </cfRule>
    <cfRule type="containsText" dxfId="0" priority="4" operator="between" text="基本完成">
      <formula>NOT(ISERROR(SEARCH("基本完成",D11)))</formula>
    </cfRule>
    <cfRule type="containsText" dxfId="1" priority="5" operator="between" text="部分完成">
      <formula>NOT(ISERROR(SEARCH("部分完成",D11)))</formula>
    </cfRule>
    <cfRule type="containsText" dxfId="1" priority="6" operator="between" text="部分通过">
      <formula>NOT(ISERROR(SEARCH("部分通过",D11)))</formula>
    </cfRule>
    <cfRule type="containsText" dxfId="1" priority="7" operator="between" text="修复中">
      <formula>NOT(ISERROR(SEARCH("修复中",D11)))</formula>
    </cfRule>
    <cfRule type="containsText" dxfId="1" priority="8" operator="between" text="待收口">
      <formula>NOT(ISERROR(SEARCH("待收口",D11)))</formula>
    </cfRule>
    <cfRule type="containsText" dxfId="1" priority="9" operator="between" text="待验收">
      <formula>NOT(ISERROR(SEARCH("待验收",D11)))</formula>
    </cfRule>
    <cfRule type="containsText" dxfId="2" priority="10" operator="between" text="待确认">
      <formula>NOT(ISERROR(SEARCH("待确认",D11)))</formula>
    </cfRule>
    <cfRule type="containsText" dxfId="2" priority="11" operator="between" text="待开发">
      <formula>NOT(ISERROR(SEARCH("待开发",D11)))</formula>
    </cfRule>
    <cfRule type="containsText" dxfId="3" priority="12" operator="between" text="BLOCKED">
      <formula>NOT(ISERROR(SEARCH("BLOCKED",D11)))</formula>
    </cfRule>
    <cfRule type="containsText" dxfId="4" priority="13" operator="between" text="未开始">
      <formula>NOT(ISERROR(SEARCH("未开始",D11)))</formula>
    </cfRule>
    <cfRule type="containsText" dxfId="4" priority="14" operator="between" text="未完成">
      <formula>NOT(ISERROR(SEARCH("未完成",D11)))</formula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6fc354-7e21-4ec3-900c-c6bc148f58b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C11:C26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showGridLines="0" workbookViewId="0">
      <selection activeCell="E21" sqref="E21"/>
    </sheetView>
  </sheetViews>
  <sheetFormatPr defaultColWidth="9" defaultRowHeight="16.8"/>
  <cols>
    <col min="1" max="1" width="11" customWidth="1"/>
    <col min="2" max="2" width="20" customWidth="1"/>
    <col min="3" max="3" width="12" customWidth="1"/>
    <col min="4" max="4" width="20" customWidth="1"/>
    <col min="5" max="5" width="38" customWidth="1"/>
    <col min="6" max="6" width="46" customWidth="1"/>
    <col min="7" max="7" width="13" customWidth="1"/>
    <col min="8" max="8" width="10" customWidth="1"/>
    <col min="9" max="9" width="14" customWidth="1"/>
    <col min="10" max="10" width="42" customWidth="1"/>
    <col min="11" max="11" width="22" customWidth="1"/>
  </cols>
  <sheetData>
    <row r="1" ht="34" customHeight="1" spans="1:11">
      <c r="A1" s="1" t="s">
        <v>21</v>
      </c>
      <c r="B1" s="1" t="s">
        <v>21</v>
      </c>
      <c r="C1" s="1" t="s">
        <v>21</v>
      </c>
      <c r="D1" s="1" t="s">
        <v>21</v>
      </c>
      <c r="E1" s="1" t="s">
        <v>21</v>
      </c>
      <c r="F1" s="1" t="s">
        <v>21</v>
      </c>
      <c r="G1" s="1" t="s">
        <v>21</v>
      </c>
      <c r="H1" s="1" t="s">
        <v>21</v>
      </c>
      <c r="I1" s="1" t="s">
        <v>21</v>
      </c>
      <c r="J1" s="1" t="s">
        <v>21</v>
      </c>
      <c r="K1" s="1" t="s">
        <v>21</v>
      </c>
    </row>
    <row r="2" ht="25" customHeight="1" spans="1:11">
      <c r="A2" s="2" t="s">
        <v>22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</row>
    <row r="3" ht="8" customHeight="1"/>
    <row r="4" ht="26" customHeight="1" spans="1:11">
      <c r="A4" s="3" t="s">
        <v>23</v>
      </c>
      <c r="B4" s="4" t="s">
        <v>11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15</v>
      </c>
      <c r="I4" s="4" t="s">
        <v>29</v>
      </c>
      <c r="J4" s="4" t="s">
        <v>18</v>
      </c>
      <c r="K4" s="8" t="s">
        <v>30</v>
      </c>
    </row>
    <row r="5" ht="40" customHeight="1" spans="1:11">
      <c r="A5" s="20" t="s">
        <v>31</v>
      </c>
      <c r="B5" s="21" t="s">
        <v>32</v>
      </c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</row>
    <row r="6" ht="40" customHeight="1" spans="1:11">
      <c r="A6" s="22" t="s">
        <v>31</v>
      </c>
      <c r="B6" s="21" t="s">
        <v>32</v>
      </c>
      <c r="C6" s="22" t="s">
        <v>42</v>
      </c>
      <c r="D6" s="22" t="s">
        <v>43</v>
      </c>
      <c r="E6" s="22" t="s">
        <v>44</v>
      </c>
      <c r="F6" s="22" t="s">
        <v>45</v>
      </c>
      <c r="G6" s="22" t="s">
        <v>37</v>
      </c>
      <c r="H6" s="22" t="s">
        <v>38</v>
      </c>
      <c r="I6" s="22" t="s">
        <v>39</v>
      </c>
      <c r="J6" s="22" t="s">
        <v>46</v>
      </c>
      <c r="K6" s="22" t="s">
        <v>41</v>
      </c>
    </row>
    <row r="7" ht="40" customHeight="1" spans="1:11">
      <c r="A7" s="20" t="s">
        <v>47</v>
      </c>
      <c r="B7" s="23" t="s">
        <v>48</v>
      </c>
      <c r="C7" s="20" t="s">
        <v>49</v>
      </c>
      <c r="D7" s="20" t="s">
        <v>50</v>
      </c>
      <c r="E7" s="20" t="s">
        <v>51</v>
      </c>
      <c r="F7" s="20" t="s">
        <v>52</v>
      </c>
      <c r="G7" s="20" t="s">
        <v>53</v>
      </c>
      <c r="H7" s="20" t="s">
        <v>38</v>
      </c>
      <c r="I7" s="20" t="s">
        <v>54</v>
      </c>
      <c r="J7" s="20" t="s">
        <v>55</v>
      </c>
      <c r="K7" s="20" t="s">
        <v>41</v>
      </c>
    </row>
    <row r="8" ht="40" customHeight="1" spans="1:11">
      <c r="A8" s="22" t="s">
        <v>47</v>
      </c>
      <c r="B8" s="23" t="s">
        <v>48</v>
      </c>
      <c r="C8" s="22" t="s">
        <v>56</v>
      </c>
      <c r="D8" s="22" t="s">
        <v>57</v>
      </c>
      <c r="E8" s="22" t="s">
        <v>58</v>
      </c>
      <c r="F8" s="22" t="s">
        <v>59</v>
      </c>
      <c r="G8" s="22" t="s">
        <v>53</v>
      </c>
      <c r="H8" s="22" t="s">
        <v>38</v>
      </c>
      <c r="I8" s="22" t="s">
        <v>54</v>
      </c>
      <c r="J8" s="22" t="s">
        <v>60</v>
      </c>
      <c r="K8" s="22" t="s">
        <v>41</v>
      </c>
    </row>
    <row r="9" ht="40" customHeight="1" spans="1:11">
      <c r="A9" s="20" t="s">
        <v>61</v>
      </c>
      <c r="B9" s="24" t="s">
        <v>62</v>
      </c>
      <c r="C9" s="20" t="s">
        <v>63</v>
      </c>
      <c r="D9" s="20" t="s">
        <v>64</v>
      </c>
      <c r="E9" s="20" t="s">
        <v>65</v>
      </c>
      <c r="F9" s="20" t="s">
        <v>66</v>
      </c>
      <c r="G9" s="20" t="s">
        <v>67</v>
      </c>
      <c r="H9" s="20" t="s">
        <v>38</v>
      </c>
      <c r="I9" s="20" t="s">
        <v>68</v>
      </c>
      <c r="J9" s="20" t="s">
        <v>69</v>
      </c>
      <c r="K9" s="20" t="s">
        <v>70</v>
      </c>
    </row>
    <row r="10" ht="40" customHeight="1" spans="1:11">
      <c r="A10" s="22" t="s">
        <v>61</v>
      </c>
      <c r="B10" s="24" t="s">
        <v>62</v>
      </c>
      <c r="C10" s="22" t="s">
        <v>71</v>
      </c>
      <c r="D10" s="22" t="s">
        <v>72</v>
      </c>
      <c r="E10" s="22" t="s">
        <v>73</v>
      </c>
      <c r="F10" s="22" t="s">
        <v>74</v>
      </c>
      <c r="G10" s="22" t="s">
        <v>67</v>
      </c>
      <c r="H10" s="22" t="s">
        <v>38</v>
      </c>
      <c r="I10" s="22" t="s">
        <v>68</v>
      </c>
      <c r="J10" s="22" t="s">
        <v>75</v>
      </c>
      <c r="K10" s="22" t="s">
        <v>70</v>
      </c>
    </row>
    <row r="11" ht="40" customHeight="1" spans="1:11">
      <c r="A11" s="20" t="s">
        <v>61</v>
      </c>
      <c r="B11" s="24" t="s">
        <v>62</v>
      </c>
      <c r="C11" s="20" t="s">
        <v>76</v>
      </c>
      <c r="D11" s="20" t="s">
        <v>77</v>
      </c>
      <c r="E11" s="20" t="s">
        <v>78</v>
      </c>
      <c r="F11" s="20" t="s">
        <v>79</v>
      </c>
      <c r="G11" s="20" t="s">
        <v>67</v>
      </c>
      <c r="H11" s="20" t="s">
        <v>38</v>
      </c>
      <c r="I11" s="20" t="s">
        <v>68</v>
      </c>
      <c r="J11" s="20" t="s">
        <v>80</v>
      </c>
      <c r="K11" s="20" t="s">
        <v>70</v>
      </c>
    </row>
    <row r="12" ht="40" customHeight="1" spans="1:11">
      <c r="A12" s="22" t="s">
        <v>61</v>
      </c>
      <c r="B12" s="24" t="s">
        <v>62</v>
      </c>
      <c r="C12" s="22" t="s">
        <v>81</v>
      </c>
      <c r="D12" s="22" t="s">
        <v>82</v>
      </c>
      <c r="E12" s="22" t="s">
        <v>83</v>
      </c>
      <c r="F12" s="22" t="s">
        <v>84</v>
      </c>
      <c r="G12" s="22" t="s">
        <v>67</v>
      </c>
      <c r="H12" s="22" t="s">
        <v>38</v>
      </c>
      <c r="I12" s="22" t="s">
        <v>68</v>
      </c>
      <c r="J12" s="22" t="s">
        <v>85</v>
      </c>
      <c r="K12" s="22" t="s">
        <v>70</v>
      </c>
    </row>
    <row r="13" ht="40" customHeight="1" spans="1:11">
      <c r="A13" s="20" t="s">
        <v>86</v>
      </c>
      <c r="B13" s="25" t="s">
        <v>87</v>
      </c>
      <c r="C13" s="20" t="s">
        <v>88</v>
      </c>
      <c r="D13" s="20" t="s">
        <v>89</v>
      </c>
      <c r="E13" s="20" t="s">
        <v>90</v>
      </c>
      <c r="F13" s="20" t="s">
        <v>91</v>
      </c>
      <c r="G13" s="20" t="s">
        <v>67</v>
      </c>
      <c r="H13" s="20" t="s">
        <v>38</v>
      </c>
      <c r="I13" s="20" t="s">
        <v>68</v>
      </c>
      <c r="J13" s="20" t="s">
        <v>92</v>
      </c>
      <c r="K13" s="20" t="s">
        <v>70</v>
      </c>
    </row>
    <row r="14" ht="40" customHeight="1" spans="1:11">
      <c r="A14" s="22" t="s">
        <v>86</v>
      </c>
      <c r="B14" s="25" t="s">
        <v>87</v>
      </c>
      <c r="C14" s="22" t="s">
        <v>93</v>
      </c>
      <c r="D14" s="22" t="s">
        <v>94</v>
      </c>
      <c r="E14" s="22" t="s">
        <v>95</v>
      </c>
      <c r="F14" s="22" t="s">
        <v>96</v>
      </c>
      <c r="G14" s="22" t="s">
        <v>97</v>
      </c>
      <c r="H14" s="22" t="s">
        <v>38</v>
      </c>
      <c r="I14" s="22" t="s">
        <v>39</v>
      </c>
      <c r="J14" s="22" t="s">
        <v>98</v>
      </c>
      <c r="K14" s="22" t="s">
        <v>99</v>
      </c>
    </row>
    <row r="15" ht="40" customHeight="1" spans="1:11">
      <c r="A15" s="20" t="s">
        <v>100</v>
      </c>
      <c r="B15" s="26" t="s">
        <v>101</v>
      </c>
      <c r="C15" s="20" t="s">
        <v>102</v>
      </c>
      <c r="D15" s="20" t="s">
        <v>103</v>
      </c>
      <c r="E15" s="20" t="s">
        <v>104</v>
      </c>
      <c r="F15" s="20" t="s">
        <v>105</v>
      </c>
      <c r="G15" s="20" t="s">
        <v>97</v>
      </c>
      <c r="H15" s="20" t="s">
        <v>38</v>
      </c>
      <c r="I15" s="20" t="s">
        <v>106</v>
      </c>
      <c r="J15" s="20" t="s">
        <v>107</v>
      </c>
      <c r="K15" s="20" t="s">
        <v>99</v>
      </c>
    </row>
    <row r="16" ht="40" customHeight="1" spans="1:11">
      <c r="A16" s="22" t="s">
        <v>100</v>
      </c>
      <c r="B16" s="26" t="s">
        <v>101</v>
      </c>
      <c r="C16" s="22" t="s">
        <v>108</v>
      </c>
      <c r="D16" s="22" t="s">
        <v>109</v>
      </c>
      <c r="E16" s="22" t="s">
        <v>110</v>
      </c>
      <c r="F16" s="22" t="s">
        <v>111</v>
      </c>
      <c r="G16" s="22" t="s">
        <v>97</v>
      </c>
      <c r="H16" s="22" t="s">
        <v>38</v>
      </c>
      <c r="I16" s="22" t="s">
        <v>112</v>
      </c>
      <c r="J16" s="22" t="s">
        <v>113</v>
      </c>
      <c r="K16" s="22" t="s">
        <v>99</v>
      </c>
    </row>
    <row r="17" ht="40" customHeight="1" spans="1:11">
      <c r="A17" s="20" t="s">
        <v>114</v>
      </c>
      <c r="B17" s="27" t="s">
        <v>115</v>
      </c>
      <c r="C17" s="20" t="s">
        <v>116</v>
      </c>
      <c r="D17" s="20" t="s">
        <v>117</v>
      </c>
      <c r="E17" s="20" t="s">
        <v>118</v>
      </c>
      <c r="F17" s="20" t="s">
        <v>119</v>
      </c>
      <c r="G17" s="20" t="s">
        <v>97</v>
      </c>
      <c r="H17" s="20" t="s">
        <v>38</v>
      </c>
      <c r="I17" s="20" t="s">
        <v>112</v>
      </c>
      <c r="J17" s="20" t="s">
        <v>120</v>
      </c>
      <c r="K17" s="20" t="s">
        <v>99</v>
      </c>
    </row>
    <row r="18" ht="40" customHeight="1" spans="1:11">
      <c r="A18" s="22" t="s">
        <v>114</v>
      </c>
      <c r="B18" s="27" t="s">
        <v>115</v>
      </c>
      <c r="C18" s="22" t="s">
        <v>121</v>
      </c>
      <c r="D18" s="22" t="s">
        <v>122</v>
      </c>
      <c r="E18" s="22" t="s">
        <v>123</v>
      </c>
      <c r="F18" s="22" t="s">
        <v>124</v>
      </c>
      <c r="G18" s="22" t="s">
        <v>97</v>
      </c>
      <c r="H18" s="22" t="s">
        <v>38</v>
      </c>
      <c r="I18" s="22" t="s">
        <v>112</v>
      </c>
      <c r="J18" s="22" t="s">
        <v>125</v>
      </c>
      <c r="K18" s="22" t="s">
        <v>99</v>
      </c>
    </row>
    <row r="19" ht="40" customHeight="1" spans="1:11">
      <c r="A19" s="20" t="s">
        <v>126</v>
      </c>
      <c r="B19" s="28" t="s">
        <v>127</v>
      </c>
      <c r="C19" s="20" t="s">
        <v>128</v>
      </c>
      <c r="D19" s="20" t="s">
        <v>129</v>
      </c>
      <c r="E19" s="20" t="s">
        <v>130</v>
      </c>
      <c r="F19" s="20" t="s">
        <v>131</v>
      </c>
      <c r="G19" s="20" t="s">
        <v>132</v>
      </c>
      <c r="H19" s="20" t="s">
        <v>38</v>
      </c>
      <c r="I19" s="20" t="s">
        <v>39</v>
      </c>
      <c r="J19" s="20" t="s">
        <v>133</v>
      </c>
      <c r="K19" s="20" t="s">
        <v>134</v>
      </c>
    </row>
    <row r="20" ht="40" customHeight="1" spans="1:11">
      <c r="A20" s="22" t="s">
        <v>126</v>
      </c>
      <c r="B20" s="28" t="s">
        <v>127</v>
      </c>
      <c r="C20" s="22" t="s">
        <v>135</v>
      </c>
      <c r="D20" s="22" t="s">
        <v>136</v>
      </c>
      <c r="E20" s="22" t="s">
        <v>137</v>
      </c>
      <c r="F20" s="22" t="s">
        <v>138</v>
      </c>
      <c r="G20" s="22" t="s">
        <v>139</v>
      </c>
      <c r="H20" s="22" t="s">
        <v>38</v>
      </c>
      <c r="I20" s="22" t="s">
        <v>112</v>
      </c>
      <c r="J20" s="22" t="s">
        <v>140</v>
      </c>
      <c r="K20" s="22" t="s">
        <v>70</v>
      </c>
    </row>
    <row r="21" ht="40" customHeight="1" spans="1:11">
      <c r="A21" s="20" t="s">
        <v>141</v>
      </c>
      <c r="B21" s="29" t="s">
        <v>142</v>
      </c>
      <c r="C21" s="20" t="s">
        <v>143</v>
      </c>
      <c r="D21" s="20" t="s">
        <v>144</v>
      </c>
      <c r="E21" s="20" t="s">
        <v>145</v>
      </c>
      <c r="F21" s="20" t="s">
        <v>146</v>
      </c>
      <c r="G21" s="20" t="s">
        <v>147</v>
      </c>
      <c r="H21" s="20" t="s">
        <v>38</v>
      </c>
      <c r="I21" s="20" t="s">
        <v>112</v>
      </c>
      <c r="J21" s="20" t="s">
        <v>148</v>
      </c>
      <c r="K21" s="20" t="s">
        <v>149</v>
      </c>
    </row>
    <row r="22" ht="40" customHeight="1" spans="1:11">
      <c r="A22" s="30" t="s">
        <v>141</v>
      </c>
      <c r="B22" s="31" t="s">
        <v>142</v>
      </c>
      <c r="C22" s="30" t="s">
        <v>150</v>
      </c>
      <c r="D22" s="30" t="s">
        <v>151</v>
      </c>
      <c r="E22" s="30" t="s">
        <v>152</v>
      </c>
      <c r="F22" s="30" t="s">
        <v>153</v>
      </c>
      <c r="G22" s="30" t="s">
        <v>147</v>
      </c>
      <c r="H22" s="30" t="s">
        <v>38</v>
      </c>
      <c r="I22" s="30" t="s">
        <v>112</v>
      </c>
      <c r="J22" s="30" t="s">
        <v>154</v>
      </c>
      <c r="K22" s="30" t="s">
        <v>155</v>
      </c>
    </row>
    <row r="23" ht="2" customHeight="1" spans="1:11">
      <c r="A23" s="32"/>
      <c r="B23" s="33"/>
      <c r="C23" s="32"/>
      <c r="D23" s="32"/>
      <c r="E23" s="32"/>
      <c r="F23" s="32"/>
      <c r="G23" s="32"/>
      <c r="H23" s="32"/>
      <c r="I23" s="32"/>
      <c r="J23" s="32"/>
      <c r="K23" s="32"/>
    </row>
    <row r="24" ht="2" customHeight="1" spans="1:11">
      <c r="A24" s="34"/>
      <c r="B24" s="33"/>
      <c r="C24" s="34"/>
      <c r="D24" s="34"/>
      <c r="E24" s="34"/>
      <c r="F24" s="34"/>
      <c r="G24" s="34"/>
      <c r="H24" s="34"/>
      <c r="I24" s="34"/>
      <c r="J24" s="34"/>
      <c r="K24" s="34"/>
    </row>
    <row r="25" ht="2" customHeight="1" spans="1:11">
      <c r="A25" s="32"/>
      <c r="B25" s="33"/>
      <c r="C25" s="32"/>
      <c r="D25" s="32"/>
      <c r="E25" s="32"/>
      <c r="F25" s="32"/>
      <c r="G25" s="32"/>
      <c r="H25" s="32"/>
      <c r="I25" s="32"/>
      <c r="J25" s="32"/>
      <c r="K25" s="32"/>
    </row>
    <row r="26" ht="2" customHeight="1" spans="1:11">
      <c r="A26" s="34"/>
      <c r="B26" s="33"/>
      <c r="C26" s="34"/>
      <c r="D26" s="34"/>
      <c r="E26" s="34"/>
      <c r="F26" s="34"/>
      <c r="G26" s="34"/>
      <c r="H26" s="34"/>
      <c r="I26" s="34"/>
      <c r="J26" s="34"/>
      <c r="K26" s="34"/>
    </row>
    <row r="27" ht="2" customHeight="1" spans="1:11">
      <c r="A27" s="32"/>
      <c r="B27" s="35"/>
      <c r="C27" s="32"/>
      <c r="D27" s="32"/>
      <c r="E27" s="32"/>
      <c r="F27" s="32"/>
      <c r="G27" s="32"/>
      <c r="H27" s="32"/>
      <c r="I27" s="32"/>
      <c r="J27" s="32"/>
      <c r="K27" s="32"/>
    </row>
    <row r="28" ht="2" customHeight="1" spans="1:11">
      <c r="A28" s="34"/>
      <c r="B28" s="35"/>
      <c r="C28" s="34"/>
      <c r="D28" s="34"/>
      <c r="E28" s="34"/>
      <c r="F28" s="34"/>
      <c r="G28" s="34"/>
      <c r="H28" s="34"/>
      <c r="I28" s="34"/>
      <c r="J28" s="34"/>
      <c r="K28" s="34"/>
    </row>
    <row r="29" ht="2" customHeight="1" spans="1:11">
      <c r="A29" s="32"/>
      <c r="B29" s="35"/>
      <c r="C29" s="32"/>
      <c r="D29" s="32"/>
      <c r="E29" s="32"/>
      <c r="F29" s="32"/>
      <c r="G29" s="32"/>
      <c r="H29" s="32"/>
      <c r="I29" s="32"/>
      <c r="J29" s="32"/>
      <c r="K29" s="32"/>
    </row>
    <row r="30" ht="2" customHeight="1" spans="1:11">
      <c r="A30" s="34"/>
      <c r="B30" s="35"/>
      <c r="C30" s="34"/>
      <c r="D30" s="34"/>
      <c r="E30" s="34"/>
      <c r="F30" s="34"/>
      <c r="G30" s="34"/>
      <c r="H30" s="34"/>
      <c r="I30" s="34"/>
      <c r="J30" s="34"/>
      <c r="K30" s="34"/>
    </row>
    <row r="31" ht="2" customHeight="1" spans="1:11">
      <c r="A31" s="32"/>
      <c r="B31" s="36"/>
      <c r="C31" s="32"/>
      <c r="D31" s="32"/>
      <c r="E31" s="32"/>
      <c r="F31" s="32"/>
      <c r="G31" s="32"/>
      <c r="H31" s="32"/>
      <c r="I31" s="32"/>
      <c r="J31" s="32"/>
      <c r="K31" s="32"/>
    </row>
    <row r="32" ht="2" customHeight="1" spans="1:11">
      <c r="A32" s="34"/>
      <c r="B32" s="36"/>
      <c r="C32" s="34"/>
      <c r="D32" s="34"/>
      <c r="E32" s="34"/>
      <c r="F32" s="34"/>
      <c r="G32" s="34"/>
      <c r="H32" s="34"/>
      <c r="I32" s="34"/>
      <c r="J32" s="34"/>
      <c r="K32" s="34"/>
    </row>
    <row r="33" ht="2" customHeight="1" spans="1:11">
      <c r="A33" s="32"/>
      <c r="B33" s="36"/>
      <c r="C33" s="32"/>
      <c r="D33" s="32"/>
      <c r="E33" s="32"/>
      <c r="F33" s="32"/>
      <c r="G33" s="32"/>
      <c r="H33" s="32"/>
      <c r="I33" s="32"/>
      <c r="J33" s="32"/>
      <c r="K33" s="32"/>
    </row>
    <row r="34" ht="2" customHeight="1" spans="1:11">
      <c r="A34" s="34"/>
      <c r="B34" s="36"/>
      <c r="C34" s="34"/>
      <c r="D34" s="34"/>
      <c r="E34" s="34"/>
      <c r="F34" s="34"/>
      <c r="G34" s="34"/>
      <c r="H34" s="34"/>
      <c r="I34" s="34"/>
      <c r="J34" s="34"/>
      <c r="K34" s="34"/>
    </row>
    <row r="35" ht="2" customHeight="1" spans="1:11">
      <c r="A35" s="32"/>
      <c r="B35" s="37"/>
      <c r="C35" s="32"/>
      <c r="D35" s="32"/>
      <c r="E35" s="32"/>
      <c r="F35" s="32"/>
      <c r="G35" s="32"/>
      <c r="H35" s="32"/>
      <c r="I35" s="32"/>
      <c r="J35" s="32"/>
      <c r="K35" s="32"/>
    </row>
    <row r="36" ht="2" customHeight="1" spans="1:11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</row>
    <row r="37" ht="2" customHeight="1" spans="1:11">
      <c r="A37" s="32"/>
      <c r="B37" s="37"/>
      <c r="C37" s="32"/>
      <c r="D37" s="32"/>
      <c r="E37" s="32"/>
      <c r="F37" s="32"/>
      <c r="G37" s="32"/>
      <c r="H37" s="32"/>
      <c r="I37" s="32"/>
      <c r="J37" s="32"/>
      <c r="K37" s="32"/>
    </row>
    <row r="38" ht="2" customHeight="1" spans="1:11">
      <c r="A38" s="34"/>
      <c r="B38" s="38"/>
      <c r="C38" s="34"/>
      <c r="D38" s="34"/>
      <c r="E38" s="34"/>
      <c r="F38" s="34"/>
      <c r="G38" s="34"/>
      <c r="H38" s="34"/>
      <c r="I38" s="34"/>
      <c r="J38" s="34"/>
      <c r="K38" s="34"/>
    </row>
    <row r="39" ht="2" customHeight="1" spans="1:11">
      <c r="A39" s="32"/>
      <c r="B39" s="38"/>
      <c r="C39" s="32"/>
      <c r="D39" s="32"/>
      <c r="E39" s="32"/>
      <c r="F39" s="32"/>
      <c r="G39" s="32"/>
      <c r="H39" s="32"/>
      <c r="I39" s="32"/>
      <c r="J39" s="32"/>
      <c r="K39" s="32"/>
    </row>
    <row r="40" ht="2" customHeight="1" spans="1:11">
      <c r="A40" s="34"/>
      <c r="B40" s="38"/>
      <c r="C40" s="34"/>
      <c r="D40" s="34"/>
      <c r="E40" s="34"/>
      <c r="F40" s="34"/>
      <c r="G40" s="34"/>
      <c r="H40" s="34"/>
      <c r="I40" s="34"/>
      <c r="J40" s="34"/>
      <c r="K40" s="34"/>
    </row>
    <row r="41" ht="2" customHeight="1" spans="1:11">
      <c r="A41" s="32"/>
      <c r="B41" s="39"/>
      <c r="C41" s="32"/>
      <c r="D41" s="32"/>
      <c r="E41" s="32"/>
      <c r="F41" s="32"/>
      <c r="G41" s="32"/>
      <c r="H41" s="32"/>
      <c r="I41" s="32"/>
      <c r="J41" s="32"/>
      <c r="K41" s="32"/>
    </row>
    <row r="42" ht="2" customHeight="1" spans="1:11">
      <c r="A42" s="34"/>
      <c r="B42" s="39"/>
      <c r="C42" s="34"/>
      <c r="D42" s="34"/>
      <c r="E42" s="34"/>
      <c r="F42" s="34"/>
      <c r="G42" s="34"/>
      <c r="H42" s="34"/>
      <c r="I42" s="34"/>
      <c r="J42" s="34"/>
      <c r="K42" s="34"/>
    </row>
    <row r="43" ht="2" customHeight="1" spans="1:11">
      <c r="A43" s="32"/>
      <c r="B43" s="39"/>
      <c r="C43" s="32"/>
      <c r="D43" s="32"/>
      <c r="E43" s="32"/>
      <c r="F43" s="32"/>
      <c r="G43" s="32"/>
      <c r="H43" s="32"/>
      <c r="I43" s="32"/>
      <c r="J43" s="32"/>
      <c r="K43" s="32"/>
    </row>
    <row r="44" ht="2" customHeight="1" spans="1:11">
      <c r="A44" s="34"/>
      <c r="B44" s="40"/>
      <c r="C44" s="34"/>
      <c r="D44" s="34"/>
      <c r="E44" s="34"/>
      <c r="F44" s="34"/>
      <c r="G44" s="34"/>
      <c r="H44" s="34"/>
      <c r="I44" s="34"/>
      <c r="J44" s="34"/>
      <c r="K44" s="34"/>
    </row>
    <row r="45" ht="2" customHeight="1" spans="1:11">
      <c r="A45" s="32"/>
      <c r="B45" s="40"/>
      <c r="C45" s="32"/>
      <c r="D45" s="32"/>
      <c r="E45" s="32"/>
      <c r="F45" s="32"/>
      <c r="G45" s="32"/>
      <c r="H45" s="32"/>
      <c r="I45" s="32"/>
      <c r="J45" s="32"/>
      <c r="K45" s="32"/>
    </row>
    <row r="46" ht="2" customHeight="1" spans="1:11">
      <c r="A46" s="34"/>
      <c r="B46" s="40"/>
      <c r="C46" s="34"/>
      <c r="D46" s="34"/>
      <c r="E46" s="34"/>
      <c r="F46" s="34"/>
      <c r="G46" s="34"/>
      <c r="H46" s="34"/>
      <c r="I46" s="34"/>
      <c r="J46" s="34"/>
      <c r="K46" s="34"/>
    </row>
    <row r="47" ht="2" customHeight="1" spans="1:11">
      <c r="A47" s="32"/>
      <c r="B47" s="40"/>
      <c r="C47" s="32"/>
      <c r="D47" s="32"/>
      <c r="E47" s="32"/>
      <c r="F47" s="32"/>
      <c r="G47" s="32"/>
      <c r="H47" s="32"/>
      <c r="I47" s="32"/>
      <c r="J47" s="32"/>
      <c r="K47" s="32"/>
    </row>
    <row r="48" ht="2" customHeight="1" spans="1:11">
      <c r="A48" s="34"/>
      <c r="B48" s="40"/>
      <c r="C48" s="34"/>
      <c r="D48" s="34"/>
      <c r="E48" s="34"/>
      <c r="F48" s="34"/>
      <c r="G48" s="34"/>
      <c r="H48" s="34"/>
      <c r="I48" s="34"/>
      <c r="J48" s="34"/>
      <c r="K48" s="34"/>
    </row>
    <row r="49" ht="2" customHeight="1" spans="1:11">
      <c r="A49" s="32"/>
      <c r="B49" s="41"/>
      <c r="C49" s="32"/>
      <c r="D49" s="32"/>
      <c r="E49" s="32"/>
      <c r="F49" s="32"/>
      <c r="G49" s="32"/>
      <c r="H49" s="32"/>
      <c r="I49" s="32"/>
      <c r="J49" s="32"/>
      <c r="K49" s="32"/>
    </row>
    <row r="50" ht="2" customHeight="1" spans="1:11">
      <c r="A50" s="34"/>
      <c r="B50" s="41"/>
      <c r="C50" s="34"/>
      <c r="D50" s="34"/>
      <c r="E50" s="34"/>
      <c r="F50" s="34"/>
      <c r="G50" s="34"/>
      <c r="H50" s="34"/>
      <c r="I50" s="34"/>
      <c r="J50" s="34"/>
      <c r="K50" s="34"/>
    </row>
    <row r="51" ht="2" customHeight="1" spans="1:11">
      <c r="A51" s="32"/>
      <c r="B51" s="41"/>
      <c r="C51" s="32"/>
      <c r="D51" s="32"/>
      <c r="E51" s="32"/>
      <c r="F51" s="32"/>
      <c r="G51" s="32"/>
      <c r="H51" s="32"/>
      <c r="I51" s="32"/>
      <c r="J51" s="32"/>
      <c r="K51" s="32"/>
    </row>
    <row r="52" ht="2" customHeight="1" spans="1:11">
      <c r="A52" s="34"/>
      <c r="B52" s="41"/>
      <c r="C52" s="34"/>
      <c r="D52" s="34"/>
      <c r="E52" s="34"/>
      <c r="F52" s="34"/>
      <c r="G52" s="34"/>
      <c r="H52" s="34"/>
      <c r="I52" s="34"/>
      <c r="J52" s="34"/>
      <c r="K52" s="34"/>
    </row>
    <row r="53" ht="2" customHeight="1" spans="1:11">
      <c r="A53" s="32"/>
      <c r="B53" s="41"/>
      <c r="C53" s="32"/>
      <c r="D53" s="32"/>
      <c r="E53" s="32"/>
      <c r="F53" s="32"/>
      <c r="G53" s="32"/>
      <c r="H53" s="32"/>
      <c r="I53" s="32"/>
      <c r="J53" s="32"/>
      <c r="K53" s="32"/>
    </row>
    <row r="54" ht="2" customHeight="1" spans="1:11">
      <c r="A54" s="34"/>
      <c r="B54" s="42"/>
      <c r="C54" s="34"/>
      <c r="D54" s="34"/>
      <c r="E54" s="34"/>
      <c r="F54" s="34"/>
      <c r="G54" s="34"/>
      <c r="H54" s="34"/>
      <c r="I54" s="34"/>
      <c r="J54" s="34"/>
      <c r="K54" s="34"/>
    </row>
    <row r="55" ht="2" customHeight="1" spans="1:11">
      <c r="A55" s="32"/>
      <c r="B55" s="42"/>
      <c r="C55" s="32"/>
      <c r="D55" s="32"/>
      <c r="E55" s="32"/>
      <c r="F55" s="32"/>
      <c r="G55" s="32"/>
      <c r="H55" s="32"/>
      <c r="I55" s="32"/>
      <c r="J55" s="32"/>
      <c r="K55" s="32"/>
    </row>
    <row r="56" ht="2" customHeight="1" spans="1:11">
      <c r="A56" s="34"/>
      <c r="B56" s="42"/>
      <c r="C56" s="34"/>
      <c r="D56" s="34"/>
      <c r="E56" s="34"/>
      <c r="F56" s="34"/>
      <c r="G56" s="34"/>
      <c r="H56" s="34"/>
      <c r="I56" s="34"/>
      <c r="J56" s="34"/>
      <c r="K56" s="34"/>
    </row>
    <row r="57" ht="2" customHeight="1" spans="1:11">
      <c r="A57" s="32"/>
      <c r="B57" s="42"/>
      <c r="C57" s="32"/>
      <c r="D57" s="32"/>
      <c r="E57" s="32"/>
      <c r="F57" s="32"/>
      <c r="G57" s="32"/>
      <c r="H57" s="32"/>
      <c r="I57" s="32"/>
      <c r="J57" s="32"/>
      <c r="K57" s="32"/>
    </row>
    <row r="58" ht="2" customHeight="1" spans="1:11">
      <c r="A58" s="34"/>
      <c r="B58" s="42"/>
      <c r="C58" s="34"/>
      <c r="D58" s="34"/>
      <c r="E58" s="34"/>
      <c r="F58" s="34"/>
      <c r="G58" s="34"/>
      <c r="H58" s="34"/>
      <c r="I58" s="34"/>
      <c r="J58" s="34"/>
      <c r="K58" s="34"/>
    </row>
    <row r="59" ht="2" customHeight="1" spans="1:11">
      <c r="A59" s="32"/>
      <c r="B59" s="43"/>
      <c r="C59" s="32"/>
      <c r="D59" s="32"/>
      <c r="E59" s="32"/>
      <c r="F59" s="32"/>
      <c r="G59" s="32"/>
      <c r="H59" s="32"/>
      <c r="I59" s="32"/>
      <c r="J59" s="32"/>
      <c r="K59" s="32"/>
    </row>
    <row r="60" ht="2" customHeight="1" spans="1:11">
      <c r="A60" s="34"/>
      <c r="B60" s="43"/>
      <c r="C60" s="34"/>
      <c r="D60" s="34"/>
      <c r="E60" s="34"/>
      <c r="F60" s="34"/>
      <c r="G60" s="34"/>
      <c r="H60" s="34"/>
      <c r="I60" s="34"/>
      <c r="J60" s="34"/>
      <c r="K60" s="34"/>
    </row>
    <row r="61" ht="2" customHeight="1" spans="1:11">
      <c r="A61" s="32"/>
      <c r="B61" s="43"/>
      <c r="C61" s="32"/>
      <c r="D61" s="32"/>
      <c r="E61" s="32"/>
      <c r="F61" s="32"/>
      <c r="G61" s="32"/>
      <c r="H61" s="32"/>
      <c r="I61" s="32"/>
      <c r="J61" s="32"/>
      <c r="K61" s="32"/>
    </row>
    <row r="62" ht="2" customHeight="1" spans="1:11">
      <c r="A62" s="34"/>
      <c r="B62" s="43"/>
      <c r="C62" s="34"/>
      <c r="D62" s="34"/>
      <c r="E62" s="34"/>
      <c r="F62" s="34"/>
      <c r="G62" s="34"/>
      <c r="H62" s="34"/>
      <c r="I62" s="34"/>
      <c r="J62" s="34"/>
      <c r="K62" s="34"/>
    </row>
    <row r="63" ht="2" customHeight="1" spans="1:11">
      <c r="A63" s="32"/>
      <c r="B63" s="40"/>
      <c r="C63" s="32"/>
      <c r="D63" s="32"/>
      <c r="E63" s="32"/>
      <c r="F63" s="32"/>
      <c r="G63" s="32"/>
      <c r="H63" s="32"/>
      <c r="I63" s="32"/>
      <c r="J63" s="32"/>
      <c r="K63" s="32"/>
    </row>
    <row r="64" ht="2" customHeight="1" spans="1:11">
      <c r="A64" s="34"/>
      <c r="B64" s="40"/>
      <c r="C64" s="34"/>
      <c r="D64" s="34"/>
      <c r="E64" s="34"/>
      <c r="F64" s="34"/>
      <c r="G64" s="34"/>
      <c r="H64" s="34"/>
      <c r="I64" s="34"/>
      <c r="J64" s="34"/>
      <c r="K64" s="34"/>
    </row>
    <row r="65" ht="2" customHeight="1" spans="1:11">
      <c r="A65" s="32"/>
      <c r="B65" s="40"/>
      <c r="C65" s="32"/>
      <c r="D65" s="32"/>
      <c r="E65" s="32"/>
      <c r="F65" s="32"/>
      <c r="G65" s="32"/>
      <c r="H65" s="32"/>
      <c r="I65" s="32"/>
      <c r="J65" s="32"/>
      <c r="K65" s="32"/>
    </row>
    <row r="66" ht="2" customHeight="1" spans="1:11">
      <c r="A66" s="34"/>
      <c r="B66" s="40"/>
      <c r="C66" s="34"/>
      <c r="D66" s="34"/>
      <c r="E66" s="34"/>
      <c r="F66" s="34"/>
      <c r="G66" s="34"/>
      <c r="H66" s="34"/>
      <c r="I66" s="34"/>
      <c r="J66" s="34"/>
      <c r="K66" s="34"/>
    </row>
    <row r="67" ht="2" customHeight="1" spans="1:11">
      <c r="A67" s="32"/>
      <c r="B67" s="41"/>
      <c r="C67" s="32"/>
      <c r="D67" s="32"/>
      <c r="E67" s="32"/>
      <c r="F67" s="32"/>
      <c r="G67" s="32"/>
      <c r="H67" s="32"/>
      <c r="I67" s="32"/>
      <c r="J67" s="32"/>
      <c r="K67" s="32"/>
    </row>
    <row r="68" ht="2" customHeight="1" spans="1:11">
      <c r="A68" s="34"/>
      <c r="B68" s="41"/>
      <c r="C68" s="34"/>
      <c r="D68" s="34"/>
      <c r="E68" s="34"/>
      <c r="F68" s="34"/>
      <c r="G68" s="34"/>
      <c r="H68" s="34"/>
      <c r="I68" s="34"/>
      <c r="J68" s="34"/>
      <c r="K68" s="34"/>
    </row>
    <row r="69" ht="2" customHeight="1" spans="1:11">
      <c r="A69" s="32"/>
      <c r="B69" s="41"/>
      <c r="C69" s="32"/>
      <c r="D69" s="32"/>
      <c r="E69" s="32"/>
      <c r="F69" s="32"/>
      <c r="G69" s="32"/>
      <c r="H69" s="32"/>
      <c r="I69" s="32"/>
      <c r="J69" s="32"/>
      <c r="K69" s="32"/>
    </row>
    <row r="70" ht="2" customHeight="1" spans="1:11">
      <c r="A70" s="34"/>
      <c r="B70" s="41"/>
      <c r="C70" s="34"/>
      <c r="D70" s="34"/>
      <c r="E70" s="34"/>
      <c r="F70" s="34"/>
      <c r="G70" s="34"/>
      <c r="H70" s="34"/>
      <c r="I70" s="34"/>
      <c r="J70" s="34"/>
      <c r="K70" s="34"/>
    </row>
    <row r="71" ht="2" customHeight="1" spans="1:11">
      <c r="A71" s="32"/>
      <c r="B71" s="41"/>
      <c r="C71" s="32"/>
      <c r="D71" s="32"/>
      <c r="E71" s="32"/>
      <c r="F71" s="32"/>
      <c r="G71" s="32"/>
      <c r="H71" s="32"/>
      <c r="I71" s="32"/>
      <c r="J71" s="32"/>
      <c r="K71" s="32"/>
    </row>
    <row r="72" ht="2" customHeight="1" spans="1:11">
      <c r="A72" s="34"/>
      <c r="B72" s="41"/>
      <c r="C72" s="34"/>
      <c r="D72" s="34"/>
      <c r="E72" s="34"/>
      <c r="F72" s="34"/>
      <c r="G72" s="34"/>
      <c r="H72" s="34"/>
      <c r="I72" s="34"/>
      <c r="J72" s="34"/>
      <c r="K72" s="34"/>
    </row>
    <row r="73" ht="2" customHeight="1" spans="1:11">
      <c r="A73" s="32"/>
      <c r="B73" s="42"/>
      <c r="C73" s="32"/>
      <c r="D73" s="32"/>
      <c r="E73" s="32"/>
      <c r="F73" s="32"/>
      <c r="G73" s="32"/>
      <c r="H73" s="32"/>
      <c r="I73" s="32"/>
      <c r="J73" s="32"/>
      <c r="K73" s="32"/>
    </row>
    <row r="74" ht="2" customHeight="1" spans="1:11">
      <c r="A74" s="34"/>
      <c r="B74" s="42"/>
      <c r="C74" s="34"/>
      <c r="D74" s="34"/>
      <c r="E74" s="34"/>
      <c r="F74" s="34"/>
      <c r="G74" s="34"/>
      <c r="H74" s="34"/>
      <c r="I74" s="34"/>
      <c r="J74" s="34"/>
      <c r="K74" s="34"/>
    </row>
    <row r="75" ht="2" customHeight="1" spans="1:11">
      <c r="A75" s="32"/>
      <c r="B75" s="42"/>
      <c r="C75" s="32"/>
      <c r="D75" s="32"/>
      <c r="E75" s="32"/>
      <c r="F75" s="32"/>
      <c r="G75" s="32"/>
      <c r="H75" s="32"/>
      <c r="I75" s="32"/>
      <c r="J75" s="32"/>
      <c r="K75" s="32"/>
    </row>
    <row r="76" ht="2" customHeight="1" spans="1:11">
      <c r="A76" s="34"/>
      <c r="B76" s="42"/>
      <c r="C76" s="34"/>
      <c r="D76" s="34"/>
      <c r="E76" s="34"/>
      <c r="F76" s="34"/>
      <c r="G76" s="34"/>
      <c r="H76" s="34"/>
      <c r="I76" s="34"/>
      <c r="J76" s="34"/>
      <c r="K76" s="34"/>
    </row>
    <row r="77" ht="2" customHeight="1" spans="1:11">
      <c r="A77" s="32"/>
      <c r="B77" s="42"/>
      <c r="C77" s="32"/>
      <c r="D77" s="32"/>
      <c r="E77" s="32"/>
      <c r="F77" s="32"/>
      <c r="G77" s="32"/>
      <c r="H77" s="32"/>
      <c r="I77" s="32"/>
      <c r="J77" s="32"/>
      <c r="K77" s="32"/>
    </row>
    <row r="78" ht="2" customHeight="1" spans="1:11">
      <c r="A78" s="34"/>
      <c r="B78" s="42"/>
      <c r="C78" s="34"/>
      <c r="D78" s="34"/>
      <c r="E78" s="34"/>
      <c r="F78" s="34"/>
      <c r="G78" s="34"/>
      <c r="H78" s="34"/>
      <c r="I78" s="34"/>
      <c r="J78" s="34"/>
      <c r="K78" s="34"/>
    </row>
    <row r="79" ht="2" customHeight="1" spans="1:11">
      <c r="A79" s="32"/>
      <c r="B79" s="43"/>
      <c r="C79" s="32"/>
      <c r="D79" s="32"/>
      <c r="E79" s="32"/>
      <c r="F79" s="32"/>
      <c r="G79" s="32"/>
      <c r="H79" s="32"/>
      <c r="I79" s="32"/>
      <c r="J79" s="32"/>
      <c r="K79" s="32"/>
    </row>
    <row r="80" ht="2" customHeight="1" spans="1:11">
      <c r="A80" s="34"/>
      <c r="B80" s="43"/>
      <c r="C80" s="34"/>
      <c r="D80" s="34"/>
      <c r="E80" s="34"/>
      <c r="F80" s="34"/>
      <c r="G80" s="34"/>
      <c r="H80" s="34"/>
      <c r="I80" s="34"/>
      <c r="J80" s="34"/>
      <c r="K80" s="34"/>
    </row>
    <row r="81" ht="2" customHeight="1" spans="1:11">
      <c r="A81" s="32"/>
      <c r="B81" s="43"/>
      <c r="C81" s="32"/>
      <c r="D81" s="32"/>
      <c r="E81" s="32"/>
      <c r="F81" s="32"/>
      <c r="G81" s="32"/>
      <c r="H81" s="32"/>
      <c r="I81" s="32"/>
      <c r="J81" s="32"/>
      <c r="K81" s="32"/>
    </row>
    <row r="82" ht="2" customHeight="1" spans="1:11">
      <c r="A82" s="34"/>
      <c r="B82" s="43"/>
      <c r="C82" s="34"/>
      <c r="D82" s="34"/>
      <c r="E82" s="34"/>
      <c r="F82" s="34"/>
      <c r="G82" s="34"/>
      <c r="H82" s="34"/>
      <c r="I82" s="34"/>
      <c r="J82" s="34"/>
      <c r="K82" s="34"/>
    </row>
    <row r="83" ht="2" customHeight="1" spans="1:11">
      <c r="A83" s="44"/>
      <c r="B83" s="43"/>
      <c r="C83" s="44"/>
      <c r="D83" s="44"/>
      <c r="E83" s="44"/>
      <c r="F83" s="44"/>
      <c r="G83" s="44"/>
      <c r="H83" s="44"/>
      <c r="I83" s="44"/>
      <c r="J83" s="44"/>
      <c r="K83" s="44"/>
    </row>
  </sheetData>
  <mergeCells count="10">
    <mergeCell ref="A1:K1"/>
    <mergeCell ref="A2:K2"/>
    <mergeCell ref="B5:B6"/>
    <mergeCell ref="B7:B8"/>
    <mergeCell ref="B9:B12"/>
    <mergeCell ref="B13:B14"/>
    <mergeCell ref="B15:B16"/>
    <mergeCell ref="B17:B18"/>
    <mergeCell ref="B19:B20"/>
    <mergeCell ref="B21:B22"/>
  </mergeCells>
  <conditionalFormatting sqref="I5:I83">
    <cfRule type="containsText" dxfId="0" priority="1" operator="between" text="已完成">
      <formula>NOT(ISERROR(SEARCH("已完成",I5)))</formula>
    </cfRule>
    <cfRule type="containsText" dxfId="0" priority="2" operator="between" text="PASS">
      <formula>NOT(ISERROR(SEARCH("PASS",I5)))</formula>
    </cfRule>
    <cfRule type="containsText" dxfId="0" priority="3" operator="between" text="基本完成">
      <formula>NOT(ISERROR(SEARCH("基本完成",I5)))</formula>
    </cfRule>
    <cfRule type="containsText" dxfId="1" priority="4" operator="between" text="部分完成">
      <formula>NOT(ISERROR(SEARCH("部分完成",I5)))</formula>
    </cfRule>
    <cfRule type="containsText" dxfId="1" priority="5" operator="between" text="部分通过">
      <formula>NOT(ISERROR(SEARCH("部分通过",I5)))</formula>
    </cfRule>
    <cfRule type="containsText" dxfId="1" priority="6" operator="between" text="修复中">
      <formula>NOT(ISERROR(SEARCH("修复中",I5)))</formula>
    </cfRule>
    <cfRule type="containsText" dxfId="1" priority="7" operator="between" text="待收口">
      <formula>NOT(ISERROR(SEARCH("待收口",I5)))</formula>
    </cfRule>
    <cfRule type="containsText" dxfId="1" priority="8" operator="between" text="待验收">
      <formula>NOT(ISERROR(SEARCH("待验收",I5)))</formula>
    </cfRule>
    <cfRule type="containsText" dxfId="2" priority="9" operator="between" text="待确认">
      <formula>NOT(ISERROR(SEARCH("待确认",I5)))</formula>
    </cfRule>
    <cfRule type="containsText" dxfId="2" priority="10" operator="between" text="待开发">
      <formula>NOT(ISERROR(SEARCH("待开发",I5)))</formula>
    </cfRule>
    <cfRule type="containsText" dxfId="3" priority="11" operator="between" text="BLOCKED">
      <formula>NOT(ISERROR(SEARCH("BLOCKED",I5)))</formula>
    </cfRule>
    <cfRule type="containsText" dxfId="4" priority="12" operator="between" text="未开始">
      <formula>NOT(ISERROR(SEARCH("未开始",I5)))</formula>
    </cfRule>
    <cfRule type="containsText" dxfId="4" priority="13" operator="between" text="未完成">
      <formula>NOT(ISERROR(SEARCH("未完成",I5)))</formula>
    </cfRule>
  </conditionalFormatting>
  <dataValidations count="2">
    <dataValidation type="list" sqref="H5:H83">
      <formula1>"P0,P1,P2,P3"</formula1>
    </dataValidation>
    <dataValidation type="list" sqref="I5:I83">
      <formula1>"已完成,基本完成,部分完成,修复中,待开发,待验收,待确认,未开始,BLOCKED"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workbookViewId="0">
      <selection activeCell="G9" sqref="G9"/>
    </sheetView>
  </sheetViews>
  <sheetFormatPr defaultColWidth="9" defaultRowHeight="16.8"/>
  <cols>
    <col min="1" max="1" width="12" customWidth="1"/>
    <col min="2" max="2" width="23" customWidth="1"/>
    <col min="3" max="4" width="48" customWidth="1"/>
    <col min="5" max="5" width="14" customWidth="1"/>
    <col min="6" max="6" width="10" customWidth="1"/>
    <col min="7" max="7" width="13" customWidth="1"/>
    <col min="8" max="8" width="10" customWidth="1"/>
    <col min="9" max="9" width="43" customWidth="1"/>
    <col min="10" max="10" width="16" customWidth="1"/>
  </cols>
  <sheetData>
    <row r="1" ht="34" customHeight="1" spans="1:10">
      <c r="A1" s="1" t="s">
        <v>156</v>
      </c>
      <c r="B1" s="1" t="s">
        <v>156</v>
      </c>
      <c r="C1" s="1" t="s">
        <v>156</v>
      </c>
      <c r="D1" s="1" t="s">
        <v>156</v>
      </c>
      <c r="E1" s="1" t="s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</row>
    <row r="2" ht="25" customHeight="1" spans="1:10">
      <c r="A2" s="2" t="s">
        <v>157</v>
      </c>
      <c r="B2" s="2" t="s">
        <v>157</v>
      </c>
      <c r="C2" s="2" t="s">
        <v>157</v>
      </c>
      <c r="D2" s="2" t="s">
        <v>157</v>
      </c>
      <c r="E2" s="2" t="s">
        <v>157</v>
      </c>
      <c r="F2" s="2" t="s">
        <v>157</v>
      </c>
      <c r="G2" s="2" t="s">
        <v>157</v>
      </c>
      <c r="H2" s="2" t="s">
        <v>157</v>
      </c>
      <c r="I2" s="2" t="s">
        <v>157</v>
      </c>
      <c r="J2" s="2" t="s">
        <v>157</v>
      </c>
    </row>
    <row r="3" ht="8" customHeight="1"/>
    <row r="4" ht="26" customHeight="1" spans="1:10">
      <c r="A4" s="3" t="s">
        <v>23</v>
      </c>
      <c r="B4" s="4" t="s">
        <v>11</v>
      </c>
      <c r="C4" s="4" t="s">
        <v>16</v>
      </c>
      <c r="D4" s="4" t="s">
        <v>158</v>
      </c>
      <c r="E4" s="4" t="s">
        <v>14</v>
      </c>
      <c r="F4" s="4" t="s">
        <v>12</v>
      </c>
      <c r="G4" s="4" t="s">
        <v>13</v>
      </c>
      <c r="H4" s="4" t="s">
        <v>15</v>
      </c>
      <c r="I4" s="4" t="s">
        <v>18</v>
      </c>
      <c r="J4" s="8" t="s">
        <v>30</v>
      </c>
    </row>
    <row r="5" ht="48" customHeight="1" spans="1:10">
      <c r="A5" s="5" t="s">
        <v>159</v>
      </c>
      <c r="B5" s="5" t="s">
        <v>32</v>
      </c>
      <c r="C5" s="5" t="s">
        <v>160</v>
      </c>
      <c r="D5" s="5" t="s">
        <v>161</v>
      </c>
      <c r="E5" s="5" t="str">
        <f t="shared" ref="E5:E12" si="0">IF(G5&gt;=0.8,"基本完成",IF(G5&gt;=0.5,"推进中",IF(G5&gt;0,"准备中","计划中")))</f>
        <v>推进中</v>
      </c>
      <c r="F5" s="16">
        <v>0.15</v>
      </c>
      <c r="G5" s="16">
        <v>0.78</v>
      </c>
      <c r="H5" s="5" t="s">
        <v>38</v>
      </c>
      <c r="I5" s="5" t="s">
        <v>162</v>
      </c>
      <c r="J5" s="5" t="s">
        <v>163</v>
      </c>
    </row>
    <row r="6" ht="48" customHeight="1" spans="1:10">
      <c r="A6" s="5" t="s">
        <v>164</v>
      </c>
      <c r="B6" s="5" t="s">
        <v>48</v>
      </c>
      <c r="C6" s="5" t="s">
        <v>165</v>
      </c>
      <c r="D6" s="5" t="s">
        <v>166</v>
      </c>
      <c r="E6" s="5" t="str">
        <f t="shared" si="0"/>
        <v>基本完成</v>
      </c>
      <c r="F6" s="16">
        <v>0.2</v>
      </c>
      <c r="G6" s="16">
        <v>0.9</v>
      </c>
      <c r="H6" s="5" t="s">
        <v>38</v>
      </c>
      <c r="I6" s="5" t="s">
        <v>167</v>
      </c>
      <c r="J6" s="5" t="s">
        <v>163</v>
      </c>
    </row>
    <row r="7" ht="48" customHeight="1" spans="1:10">
      <c r="A7" s="5" t="s">
        <v>168</v>
      </c>
      <c r="B7" s="5" t="s">
        <v>62</v>
      </c>
      <c r="C7" s="5" t="s">
        <v>169</v>
      </c>
      <c r="D7" s="5" t="s">
        <v>170</v>
      </c>
      <c r="E7" s="5" t="str">
        <f t="shared" si="0"/>
        <v>推进中</v>
      </c>
      <c r="F7" s="16">
        <v>0.15</v>
      </c>
      <c r="G7" s="16">
        <v>0.68</v>
      </c>
      <c r="H7" s="5" t="s">
        <v>38</v>
      </c>
      <c r="I7" s="5" t="s">
        <v>171</v>
      </c>
      <c r="J7" s="5" t="s">
        <v>172</v>
      </c>
    </row>
    <row r="8" ht="48" customHeight="1" spans="1:10">
      <c r="A8" s="5" t="s">
        <v>173</v>
      </c>
      <c r="B8" s="5" t="s">
        <v>87</v>
      </c>
      <c r="C8" s="5" t="s">
        <v>174</v>
      </c>
      <c r="D8" s="5" t="s">
        <v>175</v>
      </c>
      <c r="E8" s="5" t="str">
        <f t="shared" si="0"/>
        <v>推进中</v>
      </c>
      <c r="F8" s="16">
        <v>0.1</v>
      </c>
      <c r="G8" s="16">
        <v>0.62</v>
      </c>
      <c r="H8" s="5" t="s">
        <v>38</v>
      </c>
      <c r="I8" s="5" t="s">
        <v>176</v>
      </c>
      <c r="J8" s="5" t="s">
        <v>177</v>
      </c>
    </row>
    <row r="9" ht="48" customHeight="1" spans="1:10">
      <c r="A9" s="5" t="s">
        <v>178</v>
      </c>
      <c r="B9" s="5" t="s">
        <v>101</v>
      </c>
      <c r="C9" s="5" t="s">
        <v>179</v>
      </c>
      <c r="D9" s="5" t="s">
        <v>180</v>
      </c>
      <c r="E9" s="5" t="str">
        <f t="shared" si="0"/>
        <v>准备中</v>
      </c>
      <c r="F9" s="16">
        <v>0.1</v>
      </c>
      <c r="G9" s="16">
        <v>0.45</v>
      </c>
      <c r="H9" s="5" t="s">
        <v>38</v>
      </c>
      <c r="I9" s="5" t="s">
        <v>181</v>
      </c>
      <c r="J9" s="5" t="s">
        <v>177</v>
      </c>
    </row>
    <row r="10" ht="48" customHeight="1" spans="1:10">
      <c r="A10" s="5" t="s">
        <v>182</v>
      </c>
      <c r="B10" s="5" t="s">
        <v>115</v>
      </c>
      <c r="C10" s="5" t="s">
        <v>183</v>
      </c>
      <c r="D10" s="5" t="s">
        <v>184</v>
      </c>
      <c r="E10" s="5" t="str">
        <f t="shared" si="0"/>
        <v>准备中</v>
      </c>
      <c r="F10" s="16">
        <v>0.1</v>
      </c>
      <c r="G10" s="16">
        <v>0.1</v>
      </c>
      <c r="H10" s="5" t="s">
        <v>38</v>
      </c>
      <c r="I10" s="5" t="s">
        <v>185</v>
      </c>
      <c r="J10" s="5" t="s">
        <v>177</v>
      </c>
    </row>
    <row r="11" ht="48" customHeight="1" spans="1:10">
      <c r="A11" s="5" t="s">
        <v>186</v>
      </c>
      <c r="B11" s="5" t="s">
        <v>127</v>
      </c>
      <c r="C11" s="5" t="s">
        <v>187</v>
      </c>
      <c r="D11" s="5" t="s">
        <v>188</v>
      </c>
      <c r="E11" s="5" t="str">
        <f t="shared" si="0"/>
        <v>计划中</v>
      </c>
      <c r="F11" s="16">
        <v>0.15</v>
      </c>
      <c r="G11" s="16">
        <v>0</v>
      </c>
      <c r="H11" s="5" t="s">
        <v>38</v>
      </c>
      <c r="I11" s="5" t="s">
        <v>189</v>
      </c>
      <c r="J11" s="5" t="s">
        <v>172</v>
      </c>
    </row>
    <row r="12" ht="48" customHeight="1" spans="1:10">
      <c r="A12" s="9" t="s">
        <v>190</v>
      </c>
      <c r="B12" s="9" t="s">
        <v>142</v>
      </c>
      <c r="C12" s="9" t="s">
        <v>191</v>
      </c>
      <c r="D12" s="9" t="s">
        <v>192</v>
      </c>
      <c r="E12" s="9" t="str">
        <f t="shared" si="0"/>
        <v>计划中</v>
      </c>
      <c r="F12" s="17">
        <v>0.05</v>
      </c>
      <c r="G12" s="17">
        <v>0</v>
      </c>
      <c r="H12" s="9" t="s">
        <v>38</v>
      </c>
      <c r="I12" s="9" t="s">
        <v>193</v>
      </c>
      <c r="J12" s="9" t="s">
        <v>194</v>
      </c>
    </row>
    <row r="13" ht="2" customHeight="1" spans="1:10">
      <c r="A13" s="10"/>
      <c r="B13" s="10"/>
      <c r="C13" s="10"/>
      <c r="D13" s="10"/>
      <c r="E13" s="10"/>
      <c r="F13" s="18"/>
      <c r="G13" s="18"/>
      <c r="H13" s="10"/>
      <c r="I13" s="10"/>
      <c r="J13" s="10"/>
    </row>
    <row r="14" ht="2" customHeight="1" spans="1:10">
      <c r="A14" s="10"/>
      <c r="B14" s="10"/>
      <c r="C14" s="10"/>
      <c r="D14" s="10"/>
      <c r="E14" s="10"/>
      <c r="F14" s="18"/>
      <c r="G14" s="18"/>
      <c r="H14" s="10"/>
      <c r="I14" s="10"/>
      <c r="J14" s="10"/>
    </row>
    <row r="15" ht="2" customHeight="1" spans="1:10">
      <c r="A15" s="10"/>
      <c r="B15" s="10"/>
      <c r="C15" s="10"/>
      <c r="D15" s="10"/>
      <c r="E15" s="10"/>
      <c r="F15" s="18"/>
      <c r="G15" s="18"/>
      <c r="H15" s="10"/>
      <c r="I15" s="10"/>
      <c r="J15" s="10"/>
    </row>
    <row r="16" ht="2" customHeight="1" spans="1:10">
      <c r="A16" s="10"/>
      <c r="B16" s="10"/>
      <c r="C16" s="10"/>
      <c r="D16" s="10"/>
      <c r="E16" s="10"/>
      <c r="F16" s="18"/>
      <c r="G16" s="18"/>
      <c r="H16" s="10"/>
      <c r="I16" s="10"/>
      <c r="J16" s="10"/>
    </row>
    <row r="17" ht="2" customHeight="1" spans="1:10">
      <c r="A17" s="10"/>
      <c r="B17" s="10"/>
      <c r="C17" s="10"/>
      <c r="D17" s="10"/>
      <c r="E17" s="10"/>
      <c r="F17" s="18"/>
      <c r="G17" s="18"/>
      <c r="H17" s="10"/>
      <c r="I17" s="10"/>
      <c r="J17" s="10"/>
    </row>
    <row r="18" ht="2" customHeight="1" spans="1:10">
      <c r="A18" s="10"/>
      <c r="B18" s="10"/>
      <c r="C18" s="10"/>
      <c r="D18" s="10"/>
      <c r="E18" s="10"/>
      <c r="F18" s="18"/>
      <c r="G18" s="18"/>
      <c r="H18" s="10"/>
      <c r="I18" s="10"/>
      <c r="J18" s="10"/>
    </row>
    <row r="19" ht="2" customHeight="1" spans="1:10">
      <c r="A19" s="10"/>
      <c r="B19" s="10"/>
      <c r="C19" s="10"/>
      <c r="D19" s="10"/>
      <c r="E19" s="10"/>
      <c r="F19" s="18"/>
      <c r="G19" s="18"/>
      <c r="H19" s="10"/>
      <c r="I19" s="10"/>
      <c r="J19" s="10"/>
    </row>
    <row r="20" ht="2" customHeight="1" spans="1:10">
      <c r="A20" s="11"/>
      <c r="B20" s="11"/>
      <c r="C20" s="11"/>
      <c r="D20" s="11"/>
      <c r="E20" s="11"/>
      <c r="F20" s="19"/>
      <c r="G20" s="19"/>
      <c r="H20" s="11"/>
      <c r="I20" s="11"/>
      <c r="J20" s="11"/>
    </row>
  </sheetData>
  <mergeCells count="2">
    <mergeCell ref="A1:J1"/>
    <mergeCell ref="A2:J2"/>
  </mergeCells>
  <conditionalFormatting sqref="E5:E20">
    <cfRule type="containsText" dxfId="0" priority="1" operator="between" text="已完成">
      <formula>NOT(ISERROR(SEARCH("已完成",E5)))</formula>
    </cfRule>
    <cfRule type="containsText" dxfId="0" priority="2" operator="between" text="PASS">
      <formula>NOT(ISERROR(SEARCH("PASS",E5)))</formula>
    </cfRule>
    <cfRule type="containsText" dxfId="0" priority="3" operator="between" text="基本完成">
      <formula>NOT(ISERROR(SEARCH("基本完成",E5)))</formula>
    </cfRule>
    <cfRule type="containsText" dxfId="1" priority="4" operator="between" text="部分完成">
      <formula>NOT(ISERROR(SEARCH("部分完成",E5)))</formula>
    </cfRule>
    <cfRule type="containsText" dxfId="1" priority="5" operator="between" text="部分通过">
      <formula>NOT(ISERROR(SEARCH("部分通过",E5)))</formula>
    </cfRule>
    <cfRule type="containsText" dxfId="1" priority="6" operator="between" text="修复中">
      <formula>NOT(ISERROR(SEARCH("修复中",E5)))</formula>
    </cfRule>
    <cfRule type="containsText" dxfId="1" priority="7" operator="between" text="待收口">
      <formula>NOT(ISERROR(SEARCH("待收口",E5)))</formula>
    </cfRule>
    <cfRule type="containsText" dxfId="1" priority="8" operator="between" text="待验收">
      <formula>NOT(ISERROR(SEARCH("待验收",E5)))</formula>
    </cfRule>
    <cfRule type="containsText" dxfId="2" priority="9" operator="between" text="待确认">
      <formula>NOT(ISERROR(SEARCH("待确认",E5)))</formula>
    </cfRule>
    <cfRule type="containsText" dxfId="2" priority="10" operator="between" text="待开发">
      <formula>NOT(ISERROR(SEARCH("待开发",E5)))</formula>
    </cfRule>
    <cfRule type="containsText" dxfId="3" priority="11" operator="between" text="BLOCKED">
      <formula>NOT(ISERROR(SEARCH("BLOCKED",E5)))</formula>
    </cfRule>
    <cfRule type="containsText" dxfId="4" priority="12" operator="between" text="未开始">
      <formula>NOT(ISERROR(SEARCH("未开始",E5)))</formula>
    </cfRule>
    <cfRule type="containsText" dxfId="4" priority="13" operator="between" text="未完成">
      <formula>NOT(ISERROR(SEARCH("未完成",E5)))</formula>
    </cfRule>
  </conditionalFormatting>
  <conditionalFormatting sqref="G5:G20">
    <cfRule type="dataBar" priority="14">
      <dataBar>
        <cfvo type="min"/>
        <cfvo type="max"/>
        <color rgb="FF4F46E5"/>
      </dataBar>
      <extLst>
        <ext xmlns:x14="http://schemas.microsoft.com/office/spreadsheetml/2009/9/main" uri="{B025F937-C7B1-47D3-B67F-A62EFF666E3E}">
          <x14:id>{9ad8d043-9f72-46ca-b0fc-62296797a8b7}</x14:id>
        </ext>
      </extLst>
    </cfRule>
  </conditionalFormatting>
  <dataValidations count="3">
    <dataValidation type="list" sqref="E5:E20">
      <formula1>"基本完成,部分完成,待收口,未开始,BLOCKED"</formula1>
    </dataValidation>
    <dataValidation type="decimal" operator="between" sqref="G5:G20">
      <formula1>0</formula1>
      <formula2>1</formula2>
    </dataValidation>
    <dataValidation type="list" sqref="H5:H20">
      <formula1>"P0,P1,P2,P3"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d8d043-9f72-46ca-b0fc-62296797a8b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G5:G20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topLeftCell="K10" workbookViewId="0">
      <selection activeCell="A5" sqref="A5:N19"/>
    </sheetView>
  </sheetViews>
  <sheetFormatPr defaultColWidth="9" defaultRowHeight="16.8"/>
  <cols>
    <col min="1" max="1" width="13" customWidth="1"/>
    <col min="2" max="2" width="22" customWidth="1"/>
    <col min="3" max="3" width="40" customWidth="1"/>
    <col min="4" max="4" width="18" customWidth="1"/>
    <col min="5" max="5" width="10" customWidth="1"/>
    <col min="6" max="6" width="28" customWidth="1"/>
    <col min="7" max="9" width="14" customWidth="1"/>
    <col min="10" max="10" width="12" customWidth="1"/>
    <col min="11" max="11" width="52" customWidth="1"/>
    <col min="12" max="13" width="36" customWidth="1"/>
    <col min="14" max="14" width="20" customWidth="1"/>
  </cols>
  <sheetData>
    <row r="1" ht="34" customHeight="1" spans="1:14">
      <c r="A1" s="1" t="s">
        <v>195</v>
      </c>
      <c r="B1" s="1" t="s">
        <v>195</v>
      </c>
      <c r="C1" s="1" t="s">
        <v>195</v>
      </c>
      <c r="D1" s="1" t="s">
        <v>195</v>
      </c>
      <c r="E1" s="1" t="s">
        <v>195</v>
      </c>
      <c r="F1" s="1" t="s">
        <v>195</v>
      </c>
      <c r="G1" s="1" t="s">
        <v>195</v>
      </c>
      <c r="H1" s="1" t="s">
        <v>195</v>
      </c>
      <c r="I1" s="1" t="s">
        <v>195</v>
      </c>
      <c r="J1" s="1" t="s">
        <v>195</v>
      </c>
      <c r="K1" s="1" t="s">
        <v>195</v>
      </c>
      <c r="L1" s="1" t="s">
        <v>195</v>
      </c>
      <c r="M1" s="1" t="s">
        <v>195</v>
      </c>
      <c r="N1" s="1" t="s">
        <v>195</v>
      </c>
    </row>
    <row r="2" ht="25" customHeight="1" spans="1:14">
      <c r="A2" s="2" t="s">
        <v>196</v>
      </c>
      <c r="B2" s="2" t="s">
        <v>196</v>
      </c>
      <c r="C2" s="2" t="s">
        <v>196</v>
      </c>
      <c r="D2" s="2" t="s">
        <v>196</v>
      </c>
      <c r="E2" s="2" t="s">
        <v>196</v>
      </c>
      <c r="F2" s="2" t="s">
        <v>196</v>
      </c>
      <c r="G2" s="2" t="s">
        <v>196</v>
      </c>
      <c r="H2" s="2" t="s">
        <v>196</v>
      </c>
      <c r="I2" s="2" t="s">
        <v>196</v>
      </c>
      <c r="J2" s="2" t="s">
        <v>196</v>
      </c>
      <c r="K2" s="2" t="s">
        <v>196</v>
      </c>
      <c r="L2" s="2" t="s">
        <v>196</v>
      </c>
      <c r="M2" s="2" t="s">
        <v>196</v>
      </c>
      <c r="N2" s="2" t="s">
        <v>196</v>
      </c>
    </row>
    <row r="3" ht="8" customHeight="1"/>
    <row r="4" ht="26" customHeight="1" spans="1:14">
      <c r="A4" s="3" t="s">
        <v>197</v>
      </c>
      <c r="B4" s="4" t="s">
        <v>198</v>
      </c>
      <c r="C4" s="4" t="s">
        <v>199</v>
      </c>
      <c r="D4" s="4" t="s">
        <v>200</v>
      </c>
      <c r="E4" s="4" t="s">
        <v>15</v>
      </c>
      <c r="F4" s="4" t="s">
        <v>201</v>
      </c>
      <c r="G4" s="4" t="s">
        <v>14</v>
      </c>
      <c r="H4" s="4" t="s">
        <v>202</v>
      </c>
      <c r="I4" s="4" t="s">
        <v>203</v>
      </c>
      <c r="J4" s="4" t="s">
        <v>13</v>
      </c>
      <c r="K4" s="4" t="s">
        <v>204</v>
      </c>
      <c r="L4" s="4" t="s">
        <v>205</v>
      </c>
      <c r="M4" s="4" t="s">
        <v>206</v>
      </c>
      <c r="N4" s="8" t="s">
        <v>207</v>
      </c>
    </row>
    <row r="5" ht="42" customHeight="1" spans="1:14">
      <c r="A5" s="5" t="s">
        <v>208</v>
      </c>
      <c r="B5" s="5" t="s">
        <v>209</v>
      </c>
      <c r="C5" s="5" t="s">
        <v>210</v>
      </c>
      <c r="D5" s="5" t="s">
        <v>211</v>
      </c>
      <c r="E5" s="5" t="s">
        <v>38</v>
      </c>
      <c r="F5" s="5" t="s">
        <v>212</v>
      </c>
      <c r="G5" s="5" t="s">
        <v>54</v>
      </c>
      <c r="H5" s="12">
        <v>46204</v>
      </c>
      <c r="I5" s="12">
        <v>46223</v>
      </c>
      <c r="J5" s="16">
        <f t="shared" ref="J5:J19" si="0">IF(G5="已完成",1,IF(G5="进行中",0.5,IF(G5="待双方确认",0.3,0)))</f>
        <v>1</v>
      </c>
      <c r="K5" s="5" t="s">
        <v>213</v>
      </c>
      <c r="L5" s="5" t="s">
        <v>214</v>
      </c>
      <c r="M5" s="5" t="s">
        <v>215</v>
      </c>
      <c r="N5" s="5" t="s">
        <v>216</v>
      </c>
    </row>
    <row r="6" ht="42" customHeight="1" spans="1:14">
      <c r="A6" s="5" t="s">
        <v>217</v>
      </c>
      <c r="B6" s="5" t="s">
        <v>218</v>
      </c>
      <c r="C6" s="5" t="s">
        <v>219</v>
      </c>
      <c r="D6" s="5" t="s">
        <v>220</v>
      </c>
      <c r="E6" s="5" t="s">
        <v>38</v>
      </c>
      <c r="F6" s="5" t="s">
        <v>221</v>
      </c>
      <c r="G6" s="5" t="s">
        <v>54</v>
      </c>
      <c r="H6" s="12">
        <v>46224</v>
      </c>
      <c r="I6" s="12">
        <v>46234</v>
      </c>
      <c r="J6" s="16">
        <f t="shared" si="0"/>
        <v>1</v>
      </c>
      <c r="K6" s="5" t="s">
        <v>222</v>
      </c>
      <c r="L6" s="5" t="s">
        <v>214</v>
      </c>
      <c r="M6" s="5" t="s">
        <v>223</v>
      </c>
      <c r="N6" s="5" t="s">
        <v>224</v>
      </c>
    </row>
    <row r="7" ht="42" customHeight="1" spans="1:14">
      <c r="A7" s="5" t="s">
        <v>225</v>
      </c>
      <c r="B7" s="5" t="s">
        <v>218</v>
      </c>
      <c r="C7" s="5" t="s">
        <v>226</v>
      </c>
      <c r="D7" s="5" t="s">
        <v>227</v>
      </c>
      <c r="E7" s="5" t="s">
        <v>38</v>
      </c>
      <c r="F7" s="5" t="s">
        <v>221</v>
      </c>
      <c r="G7" s="5" t="s">
        <v>54</v>
      </c>
      <c r="H7" s="12">
        <v>46231</v>
      </c>
      <c r="I7" s="12">
        <v>46265</v>
      </c>
      <c r="J7" s="16">
        <f t="shared" si="0"/>
        <v>1</v>
      </c>
      <c r="K7" s="5" t="s">
        <v>228</v>
      </c>
      <c r="L7" s="5" t="s">
        <v>214</v>
      </c>
      <c r="M7" s="5" t="s">
        <v>229</v>
      </c>
      <c r="N7" s="5" t="s">
        <v>224</v>
      </c>
    </row>
    <row r="8" ht="42" customHeight="1" spans="1:14">
      <c r="A8" s="5" t="s">
        <v>230</v>
      </c>
      <c r="B8" s="5" t="s">
        <v>37</v>
      </c>
      <c r="C8" s="5" t="s">
        <v>231</v>
      </c>
      <c r="D8" s="5" t="s">
        <v>232</v>
      </c>
      <c r="E8" s="5" t="s">
        <v>38</v>
      </c>
      <c r="F8" s="5" t="s">
        <v>233</v>
      </c>
      <c r="G8" s="5" t="s">
        <v>106</v>
      </c>
      <c r="H8" s="12">
        <v>46266</v>
      </c>
      <c r="I8" s="12">
        <v>46268</v>
      </c>
      <c r="J8" s="16">
        <f t="shared" si="0"/>
        <v>0.5</v>
      </c>
      <c r="K8" s="5" t="s">
        <v>234</v>
      </c>
      <c r="L8" s="5" t="s">
        <v>235</v>
      </c>
      <c r="M8" s="5" t="s">
        <v>236</v>
      </c>
      <c r="N8" s="5" t="s">
        <v>237</v>
      </c>
    </row>
    <row r="9" ht="42" customHeight="1" spans="1:14">
      <c r="A9" s="5" t="s">
        <v>238</v>
      </c>
      <c r="B9" s="5" t="s">
        <v>37</v>
      </c>
      <c r="C9" s="5" t="s">
        <v>239</v>
      </c>
      <c r="D9" s="5" t="s">
        <v>240</v>
      </c>
      <c r="E9" s="5" t="s">
        <v>38</v>
      </c>
      <c r="F9" s="5" t="s">
        <v>241</v>
      </c>
      <c r="G9" s="5" t="s">
        <v>39</v>
      </c>
      <c r="H9" s="12">
        <v>46269</v>
      </c>
      <c r="I9" s="12">
        <v>46272</v>
      </c>
      <c r="J9" s="16">
        <f t="shared" si="0"/>
        <v>0.3</v>
      </c>
      <c r="K9" s="5" t="s">
        <v>242</v>
      </c>
      <c r="L9" s="5" t="s">
        <v>243</v>
      </c>
      <c r="M9" s="5" t="s">
        <v>244</v>
      </c>
      <c r="N9" s="5" t="s">
        <v>237</v>
      </c>
    </row>
    <row r="10" ht="42" customHeight="1" spans="1:14">
      <c r="A10" s="5" t="s">
        <v>245</v>
      </c>
      <c r="B10" s="5" t="s">
        <v>37</v>
      </c>
      <c r="C10" s="5" t="s">
        <v>246</v>
      </c>
      <c r="D10" s="5" t="s">
        <v>247</v>
      </c>
      <c r="E10" s="5" t="s">
        <v>38</v>
      </c>
      <c r="F10" s="5" t="s">
        <v>248</v>
      </c>
      <c r="G10" s="5" t="s">
        <v>112</v>
      </c>
      <c r="H10" s="12">
        <v>46273</v>
      </c>
      <c r="I10" s="12">
        <v>46273</v>
      </c>
      <c r="J10" s="16">
        <f t="shared" si="0"/>
        <v>0</v>
      </c>
      <c r="K10" s="5" t="s">
        <v>249</v>
      </c>
      <c r="L10" s="5" t="s">
        <v>250</v>
      </c>
      <c r="M10" s="5" t="s">
        <v>251</v>
      </c>
      <c r="N10" s="5" t="s">
        <v>237</v>
      </c>
    </row>
    <row r="11" ht="42" customHeight="1" spans="1:14">
      <c r="A11" s="5" t="s">
        <v>252</v>
      </c>
      <c r="B11" s="5" t="s">
        <v>253</v>
      </c>
      <c r="C11" s="5" t="s">
        <v>254</v>
      </c>
      <c r="D11" s="5" t="s">
        <v>255</v>
      </c>
      <c r="E11" s="5" t="s">
        <v>38</v>
      </c>
      <c r="F11" s="5" t="s">
        <v>256</v>
      </c>
      <c r="G11" s="5" t="s">
        <v>39</v>
      </c>
      <c r="H11" s="12">
        <v>46273</v>
      </c>
      <c r="I11" s="12">
        <v>46275</v>
      </c>
      <c r="J11" s="16">
        <f t="shared" si="0"/>
        <v>0.3</v>
      </c>
      <c r="K11" s="5" t="s">
        <v>257</v>
      </c>
      <c r="L11" s="5" t="s">
        <v>258</v>
      </c>
      <c r="M11" s="5" t="s">
        <v>259</v>
      </c>
      <c r="N11" s="5" t="s">
        <v>260</v>
      </c>
    </row>
    <row r="12" ht="42" customHeight="1" spans="1:14">
      <c r="A12" s="5" t="s">
        <v>261</v>
      </c>
      <c r="B12" s="5" t="s">
        <v>253</v>
      </c>
      <c r="C12" s="5" t="s">
        <v>262</v>
      </c>
      <c r="D12" s="5" t="s">
        <v>263</v>
      </c>
      <c r="E12" s="5" t="s">
        <v>38</v>
      </c>
      <c r="F12" s="5" t="s">
        <v>264</v>
      </c>
      <c r="G12" s="5" t="s">
        <v>39</v>
      </c>
      <c r="H12" s="12">
        <v>46274</v>
      </c>
      <c r="I12" s="12">
        <v>46276</v>
      </c>
      <c r="J12" s="16">
        <f t="shared" si="0"/>
        <v>0.3</v>
      </c>
      <c r="K12" s="5" t="s">
        <v>265</v>
      </c>
      <c r="L12" s="5" t="s">
        <v>266</v>
      </c>
      <c r="M12" s="5" t="s">
        <v>267</v>
      </c>
      <c r="N12" s="5" t="s">
        <v>260</v>
      </c>
    </row>
    <row r="13" ht="42" customHeight="1" spans="1:14">
      <c r="A13" s="5" t="s">
        <v>268</v>
      </c>
      <c r="B13" s="5" t="s">
        <v>97</v>
      </c>
      <c r="C13" s="5" t="s">
        <v>269</v>
      </c>
      <c r="D13" s="5" t="s">
        <v>270</v>
      </c>
      <c r="E13" s="5" t="s">
        <v>38</v>
      </c>
      <c r="F13" s="5" t="s">
        <v>271</v>
      </c>
      <c r="G13" s="5" t="s">
        <v>112</v>
      </c>
      <c r="H13" s="12">
        <v>46276</v>
      </c>
      <c r="I13" s="12">
        <v>46283</v>
      </c>
      <c r="J13" s="16">
        <f t="shared" si="0"/>
        <v>0</v>
      </c>
      <c r="K13" s="5" t="s">
        <v>272</v>
      </c>
      <c r="L13" s="5" t="s">
        <v>273</v>
      </c>
      <c r="M13" s="5" t="s">
        <v>274</v>
      </c>
      <c r="N13" s="5" t="s">
        <v>260</v>
      </c>
    </row>
    <row r="14" ht="42" customHeight="1" spans="1:14">
      <c r="A14" s="5" t="s">
        <v>275</v>
      </c>
      <c r="B14" s="5" t="s">
        <v>132</v>
      </c>
      <c r="C14" s="5" t="s">
        <v>276</v>
      </c>
      <c r="D14" s="5" t="s">
        <v>277</v>
      </c>
      <c r="E14" s="5" t="s">
        <v>38</v>
      </c>
      <c r="F14" s="5" t="s">
        <v>278</v>
      </c>
      <c r="G14" s="5" t="s">
        <v>112</v>
      </c>
      <c r="H14" s="12">
        <v>46283</v>
      </c>
      <c r="I14" s="12">
        <v>46290</v>
      </c>
      <c r="J14" s="16">
        <f t="shared" si="0"/>
        <v>0</v>
      </c>
      <c r="K14" s="5" t="s">
        <v>279</v>
      </c>
      <c r="L14" s="5" t="s">
        <v>280</v>
      </c>
      <c r="M14" s="5" t="s">
        <v>281</v>
      </c>
      <c r="N14" s="5" t="s">
        <v>282</v>
      </c>
    </row>
    <row r="15" ht="42" customHeight="1" spans="1:14">
      <c r="A15" s="5" t="s">
        <v>283</v>
      </c>
      <c r="B15" s="5" t="s">
        <v>284</v>
      </c>
      <c r="C15" s="5" t="s">
        <v>285</v>
      </c>
      <c r="D15" s="5" t="s">
        <v>286</v>
      </c>
      <c r="E15" s="5" t="s">
        <v>38</v>
      </c>
      <c r="F15" s="5" t="s">
        <v>221</v>
      </c>
      <c r="G15" s="5" t="s">
        <v>112</v>
      </c>
      <c r="H15" s="12">
        <v>46293</v>
      </c>
      <c r="I15" s="12">
        <v>46311</v>
      </c>
      <c r="J15" s="16">
        <f t="shared" si="0"/>
        <v>0</v>
      </c>
      <c r="K15" s="5" t="s">
        <v>287</v>
      </c>
      <c r="L15" s="5" t="s">
        <v>288</v>
      </c>
      <c r="M15" s="5" t="s">
        <v>289</v>
      </c>
      <c r="N15" s="5" t="s">
        <v>290</v>
      </c>
    </row>
    <row r="16" ht="42" customHeight="1" spans="1:14">
      <c r="A16" s="5" t="s">
        <v>291</v>
      </c>
      <c r="B16" s="5" t="s">
        <v>284</v>
      </c>
      <c r="C16" s="5" t="s">
        <v>292</v>
      </c>
      <c r="D16" s="5" t="s">
        <v>293</v>
      </c>
      <c r="E16" s="5" t="s">
        <v>38</v>
      </c>
      <c r="F16" s="5" t="s">
        <v>294</v>
      </c>
      <c r="G16" s="5" t="s">
        <v>112</v>
      </c>
      <c r="H16" s="12">
        <v>46300</v>
      </c>
      <c r="I16" s="12">
        <v>46311</v>
      </c>
      <c r="J16" s="16">
        <f t="shared" si="0"/>
        <v>0</v>
      </c>
      <c r="K16" s="5" t="s">
        <v>295</v>
      </c>
      <c r="L16" s="5" t="s">
        <v>296</v>
      </c>
      <c r="M16" s="5" t="s">
        <v>297</v>
      </c>
      <c r="N16" s="5" t="s">
        <v>290</v>
      </c>
    </row>
    <row r="17" ht="42" customHeight="1" spans="1:14">
      <c r="A17" s="5" t="s">
        <v>298</v>
      </c>
      <c r="B17" s="5" t="s">
        <v>299</v>
      </c>
      <c r="C17" s="5" t="s">
        <v>300</v>
      </c>
      <c r="D17" s="5" t="s">
        <v>301</v>
      </c>
      <c r="E17" s="5" t="s">
        <v>38</v>
      </c>
      <c r="F17" s="5" t="s">
        <v>302</v>
      </c>
      <c r="G17" s="5" t="s">
        <v>112</v>
      </c>
      <c r="H17" s="12">
        <v>46314</v>
      </c>
      <c r="I17" s="12">
        <v>46318</v>
      </c>
      <c r="J17" s="16">
        <f t="shared" si="0"/>
        <v>0</v>
      </c>
      <c r="K17" s="5" t="s">
        <v>303</v>
      </c>
      <c r="L17" s="5" t="s">
        <v>304</v>
      </c>
      <c r="M17" s="5" t="s">
        <v>305</v>
      </c>
      <c r="N17" s="5" t="s">
        <v>306</v>
      </c>
    </row>
    <row r="18" ht="42" customHeight="1" spans="1:14">
      <c r="A18" s="5" t="s">
        <v>307</v>
      </c>
      <c r="B18" s="5" t="s">
        <v>308</v>
      </c>
      <c r="C18" s="5" t="s">
        <v>309</v>
      </c>
      <c r="D18" s="5" t="s">
        <v>308</v>
      </c>
      <c r="E18" s="5" t="s">
        <v>38</v>
      </c>
      <c r="F18" s="5" t="s">
        <v>310</v>
      </c>
      <c r="G18" s="5" t="s">
        <v>112</v>
      </c>
      <c r="H18" s="12">
        <v>46321</v>
      </c>
      <c r="I18" s="12">
        <v>46332</v>
      </c>
      <c r="J18" s="16">
        <f t="shared" si="0"/>
        <v>0</v>
      </c>
      <c r="K18" s="5" t="s">
        <v>311</v>
      </c>
      <c r="L18" s="5" t="s">
        <v>312</v>
      </c>
      <c r="M18" s="5" t="s">
        <v>313</v>
      </c>
      <c r="N18" s="5" t="s">
        <v>314</v>
      </c>
    </row>
    <row r="19" ht="42" customHeight="1" spans="1:14">
      <c r="A19" s="9" t="s">
        <v>315</v>
      </c>
      <c r="B19" s="9" t="s">
        <v>316</v>
      </c>
      <c r="C19" s="9" t="s">
        <v>317</v>
      </c>
      <c r="D19" s="9" t="s">
        <v>318</v>
      </c>
      <c r="E19" s="9" t="s">
        <v>38</v>
      </c>
      <c r="F19" s="9" t="s">
        <v>319</v>
      </c>
      <c r="G19" s="9" t="s">
        <v>112</v>
      </c>
      <c r="H19" s="13">
        <v>46335</v>
      </c>
      <c r="I19" s="13">
        <v>46339</v>
      </c>
      <c r="J19" s="17">
        <f t="shared" si="0"/>
        <v>0</v>
      </c>
      <c r="K19" s="9" t="s">
        <v>320</v>
      </c>
      <c r="L19" s="9" t="s">
        <v>321</v>
      </c>
      <c r="M19" s="9" t="s">
        <v>322</v>
      </c>
      <c r="N19" s="9" t="s">
        <v>323</v>
      </c>
    </row>
    <row r="20" ht="2" customHeight="1" spans="1:14">
      <c r="A20" s="10"/>
      <c r="B20" s="10"/>
      <c r="C20" s="10"/>
      <c r="D20" s="10"/>
      <c r="E20" s="10"/>
      <c r="F20" s="10"/>
      <c r="G20" s="10"/>
      <c r="H20" s="14"/>
      <c r="I20" s="14"/>
      <c r="J20" s="18"/>
      <c r="K20" s="10"/>
      <c r="L20" s="10"/>
      <c r="M20" s="10"/>
      <c r="N20" s="10"/>
    </row>
    <row r="21" ht="2" customHeight="1" spans="1:14">
      <c r="A21" s="10"/>
      <c r="B21" s="10"/>
      <c r="C21" s="10"/>
      <c r="D21" s="10"/>
      <c r="E21" s="10"/>
      <c r="F21" s="10"/>
      <c r="G21" s="10"/>
      <c r="H21" s="14"/>
      <c r="I21" s="14"/>
      <c r="J21" s="18"/>
      <c r="K21" s="10"/>
      <c r="L21" s="10"/>
      <c r="M21" s="10"/>
      <c r="N21" s="10"/>
    </row>
    <row r="22" ht="2" customHeight="1" spans="1:14">
      <c r="A22" s="10"/>
      <c r="B22" s="10"/>
      <c r="C22" s="10"/>
      <c r="D22" s="10"/>
      <c r="E22" s="10"/>
      <c r="F22" s="10"/>
      <c r="G22" s="10"/>
      <c r="H22" s="14"/>
      <c r="I22" s="14"/>
      <c r="J22" s="18"/>
      <c r="K22" s="10"/>
      <c r="L22" s="10"/>
      <c r="M22" s="10"/>
      <c r="N22" s="10"/>
    </row>
    <row r="23" ht="2" customHeight="1" spans="1:14">
      <c r="A23" s="10"/>
      <c r="B23" s="10"/>
      <c r="C23" s="10"/>
      <c r="D23" s="10"/>
      <c r="E23" s="10"/>
      <c r="F23" s="10"/>
      <c r="G23" s="10"/>
      <c r="H23" s="14"/>
      <c r="I23" s="14"/>
      <c r="J23" s="18"/>
      <c r="K23" s="10"/>
      <c r="L23" s="10"/>
      <c r="M23" s="10"/>
      <c r="N23" s="10"/>
    </row>
    <row r="24" ht="2" customHeight="1" spans="1:14">
      <c r="A24" s="10"/>
      <c r="B24" s="10"/>
      <c r="C24" s="10"/>
      <c r="D24" s="10"/>
      <c r="E24" s="10"/>
      <c r="F24" s="10"/>
      <c r="G24" s="10"/>
      <c r="H24" s="14"/>
      <c r="I24" s="14"/>
      <c r="J24" s="18"/>
      <c r="K24" s="10"/>
      <c r="L24" s="10"/>
      <c r="M24" s="10"/>
      <c r="N24" s="10"/>
    </row>
    <row r="25" ht="2" customHeight="1" spans="1:14">
      <c r="A25" s="10"/>
      <c r="B25" s="10"/>
      <c r="C25" s="10"/>
      <c r="D25" s="10"/>
      <c r="E25" s="10"/>
      <c r="F25" s="10"/>
      <c r="G25" s="10"/>
      <c r="H25" s="14"/>
      <c r="I25" s="14"/>
      <c r="J25" s="18"/>
      <c r="K25" s="10"/>
      <c r="L25" s="10"/>
      <c r="M25" s="10"/>
      <c r="N25" s="10"/>
    </row>
    <row r="26" ht="2" customHeight="1" spans="1:14">
      <c r="A26" s="10"/>
      <c r="B26" s="10"/>
      <c r="C26" s="10"/>
      <c r="D26" s="10"/>
      <c r="E26" s="10"/>
      <c r="F26" s="10"/>
      <c r="G26" s="10"/>
      <c r="H26" s="14"/>
      <c r="I26" s="14"/>
      <c r="J26" s="18"/>
      <c r="K26" s="10"/>
      <c r="L26" s="10"/>
      <c r="M26" s="10"/>
      <c r="N26" s="10"/>
    </row>
    <row r="27" ht="2" customHeight="1" spans="1:14">
      <c r="A27" s="10"/>
      <c r="B27" s="10"/>
      <c r="C27" s="10"/>
      <c r="D27" s="10"/>
      <c r="E27" s="10"/>
      <c r="F27" s="10"/>
      <c r="G27" s="10"/>
      <c r="H27" s="14"/>
      <c r="I27" s="14"/>
      <c r="J27" s="18"/>
      <c r="K27" s="10"/>
      <c r="L27" s="10"/>
      <c r="M27" s="10"/>
      <c r="N27" s="10"/>
    </row>
    <row r="28" ht="2" customHeight="1" spans="1:14">
      <c r="A28" s="10"/>
      <c r="B28" s="10"/>
      <c r="C28" s="10"/>
      <c r="D28" s="10"/>
      <c r="E28" s="10"/>
      <c r="F28" s="10"/>
      <c r="G28" s="10"/>
      <c r="H28" s="14"/>
      <c r="I28" s="14"/>
      <c r="J28" s="18"/>
      <c r="K28" s="10"/>
      <c r="L28" s="10"/>
      <c r="M28" s="10"/>
      <c r="N28" s="10"/>
    </row>
    <row r="29" ht="2" customHeight="1" spans="1:14">
      <c r="A29" s="10"/>
      <c r="B29" s="10"/>
      <c r="C29" s="10"/>
      <c r="D29" s="10"/>
      <c r="E29" s="10"/>
      <c r="F29" s="10"/>
      <c r="G29" s="10"/>
      <c r="H29" s="14"/>
      <c r="I29" s="14"/>
      <c r="J29" s="18"/>
      <c r="K29" s="10"/>
      <c r="L29" s="10"/>
      <c r="M29" s="10"/>
      <c r="N29" s="10"/>
    </row>
    <row r="30" ht="2" customHeight="1" spans="1:14">
      <c r="A30" s="10"/>
      <c r="B30" s="10"/>
      <c r="C30" s="10"/>
      <c r="D30" s="10"/>
      <c r="E30" s="10"/>
      <c r="F30" s="10"/>
      <c r="G30" s="10"/>
      <c r="H30" s="14"/>
      <c r="I30" s="14"/>
      <c r="J30" s="18"/>
      <c r="K30" s="10"/>
      <c r="L30" s="10"/>
      <c r="M30" s="10"/>
      <c r="N30" s="10"/>
    </row>
    <row r="31" ht="2" customHeight="1" spans="1:14">
      <c r="A31" s="10"/>
      <c r="B31" s="10"/>
      <c r="C31" s="10"/>
      <c r="D31" s="10"/>
      <c r="E31" s="10"/>
      <c r="F31" s="10"/>
      <c r="G31" s="10"/>
      <c r="H31" s="14"/>
      <c r="I31" s="14"/>
      <c r="J31" s="18"/>
      <c r="K31" s="10"/>
      <c r="L31" s="10"/>
      <c r="M31" s="10"/>
      <c r="N31" s="10"/>
    </row>
    <row r="32" ht="2" customHeight="1" spans="1:14">
      <c r="A32" s="10"/>
      <c r="B32" s="10"/>
      <c r="C32" s="10"/>
      <c r="D32" s="10"/>
      <c r="E32" s="10"/>
      <c r="F32" s="10"/>
      <c r="G32" s="10"/>
      <c r="H32" s="14"/>
      <c r="I32" s="14"/>
      <c r="J32" s="18"/>
      <c r="K32" s="10"/>
      <c r="L32" s="10"/>
      <c r="M32" s="10"/>
      <c r="N32" s="10"/>
    </row>
    <row r="33" ht="2" customHeight="1" spans="1:14">
      <c r="A33" s="10"/>
      <c r="B33" s="10"/>
      <c r="C33" s="10"/>
      <c r="D33" s="10"/>
      <c r="E33" s="10"/>
      <c r="F33" s="10"/>
      <c r="G33" s="10"/>
      <c r="H33" s="14"/>
      <c r="I33" s="14"/>
      <c r="J33" s="18"/>
      <c r="K33" s="10"/>
      <c r="L33" s="10"/>
      <c r="M33" s="10"/>
      <c r="N33" s="10"/>
    </row>
    <row r="34" ht="2" customHeight="1" spans="1:14">
      <c r="A34" s="10"/>
      <c r="B34" s="10"/>
      <c r="C34" s="10"/>
      <c r="D34" s="10"/>
      <c r="E34" s="10"/>
      <c r="F34" s="10"/>
      <c r="G34" s="10"/>
      <c r="H34" s="14"/>
      <c r="I34" s="14"/>
      <c r="J34" s="18"/>
      <c r="K34" s="10"/>
      <c r="L34" s="10"/>
      <c r="M34" s="10"/>
      <c r="N34" s="10"/>
    </row>
    <row r="35" ht="2" customHeight="1" spans="1:14">
      <c r="A35" s="10"/>
      <c r="B35" s="10"/>
      <c r="C35" s="10"/>
      <c r="D35" s="10"/>
      <c r="E35" s="10"/>
      <c r="F35" s="10"/>
      <c r="G35" s="10"/>
      <c r="H35" s="14"/>
      <c r="I35" s="14"/>
      <c r="J35" s="18"/>
      <c r="K35" s="10"/>
      <c r="L35" s="10"/>
      <c r="M35" s="10"/>
      <c r="N35" s="10"/>
    </row>
    <row r="36" ht="2" customHeight="1" spans="1:14">
      <c r="A36" s="10"/>
      <c r="B36" s="10"/>
      <c r="C36" s="10"/>
      <c r="D36" s="10"/>
      <c r="E36" s="10"/>
      <c r="F36" s="10"/>
      <c r="G36" s="10"/>
      <c r="H36" s="14"/>
      <c r="I36" s="14"/>
      <c r="J36" s="18"/>
      <c r="K36" s="10"/>
      <c r="L36" s="10"/>
      <c r="M36" s="10"/>
      <c r="N36" s="10"/>
    </row>
    <row r="37" ht="2" customHeight="1" spans="1:14">
      <c r="A37" s="10"/>
      <c r="B37" s="10"/>
      <c r="C37" s="10"/>
      <c r="D37" s="10"/>
      <c r="E37" s="10"/>
      <c r="F37" s="10"/>
      <c r="G37" s="10"/>
      <c r="H37" s="14"/>
      <c r="I37" s="14"/>
      <c r="J37" s="18"/>
      <c r="K37" s="10"/>
      <c r="L37" s="10"/>
      <c r="M37" s="10"/>
      <c r="N37" s="10"/>
    </row>
    <row r="38" ht="2" customHeight="1" spans="1:14">
      <c r="A38" s="10"/>
      <c r="B38" s="10"/>
      <c r="C38" s="10"/>
      <c r="D38" s="10"/>
      <c r="E38" s="10"/>
      <c r="F38" s="10"/>
      <c r="G38" s="10"/>
      <c r="H38" s="14"/>
      <c r="I38" s="14"/>
      <c r="J38" s="18"/>
      <c r="K38" s="10"/>
      <c r="L38" s="10"/>
      <c r="M38" s="10"/>
      <c r="N38" s="10"/>
    </row>
    <row r="39" ht="2" customHeight="1" spans="1:14">
      <c r="A39" s="10"/>
      <c r="B39" s="10"/>
      <c r="C39" s="10"/>
      <c r="D39" s="10"/>
      <c r="E39" s="10"/>
      <c r="F39" s="10"/>
      <c r="G39" s="10"/>
      <c r="H39" s="14"/>
      <c r="I39" s="14"/>
      <c r="J39" s="18"/>
      <c r="K39" s="10"/>
      <c r="L39" s="10"/>
      <c r="M39" s="10"/>
      <c r="N39" s="10"/>
    </row>
    <row r="40" ht="2" customHeight="1" spans="1:14">
      <c r="A40" s="10"/>
      <c r="B40" s="10"/>
      <c r="C40" s="10"/>
      <c r="D40" s="10"/>
      <c r="E40" s="10"/>
      <c r="F40" s="10"/>
      <c r="G40" s="10"/>
      <c r="H40" s="14"/>
      <c r="I40" s="14"/>
      <c r="J40" s="18"/>
      <c r="K40" s="10"/>
      <c r="L40" s="10"/>
      <c r="M40" s="10"/>
      <c r="N40" s="10"/>
    </row>
    <row r="41" ht="2" customHeight="1" spans="1:14">
      <c r="A41" s="10"/>
      <c r="B41" s="10"/>
      <c r="C41" s="10"/>
      <c r="D41" s="10"/>
      <c r="E41" s="10"/>
      <c r="F41" s="10"/>
      <c r="G41" s="10"/>
      <c r="H41" s="14"/>
      <c r="I41" s="14"/>
      <c r="J41" s="18"/>
      <c r="K41" s="10"/>
      <c r="L41" s="10"/>
      <c r="M41" s="10"/>
      <c r="N41" s="10"/>
    </row>
    <row r="42" ht="2" customHeight="1" spans="1:14">
      <c r="A42" s="10"/>
      <c r="B42" s="10"/>
      <c r="C42" s="10"/>
      <c r="D42" s="10"/>
      <c r="E42" s="10"/>
      <c r="F42" s="10"/>
      <c r="G42" s="10"/>
      <c r="H42" s="14"/>
      <c r="I42" s="14"/>
      <c r="J42" s="18"/>
      <c r="K42" s="10"/>
      <c r="L42" s="10"/>
      <c r="M42" s="10"/>
      <c r="N42" s="10"/>
    </row>
    <row r="43" ht="2" customHeight="1" spans="1:14">
      <c r="A43" s="10"/>
      <c r="B43" s="10"/>
      <c r="C43" s="10"/>
      <c r="D43" s="10"/>
      <c r="E43" s="10"/>
      <c r="F43" s="10"/>
      <c r="G43" s="10"/>
      <c r="H43" s="14"/>
      <c r="I43" s="14"/>
      <c r="J43" s="18"/>
      <c r="K43" s="10"/>
      <c r="L43" s="10"/>
      <c r="M43" s="10"/>
      <c r="N43" s="10"/>
    </row>
    <row r="44" ht="2" customHeight="1" spans="1:14">
      <c r="A44" s="11"/>
      <c r="B44" s="11"/>
      <c r="C44" s="11"/>
      <c r="D44" s="11"/>
      <c r="E44" s="11"/>
      <c r="F44" s="11"/>
      <c r="G44" s="11"/>
      <c r="H44" s="15"/>
      <c r="I44" s="15"/>
      <c r="J44" s="19"/>
      <c r="K44" s="11"/>
      <c r="L44" s="11"/>
      <c r="M44" s="11"/>
      <c r="N44" s="11"/>
    </row>
  </sheetData>
  <mergeCells count="2">
    <mergeCell ref="A1:N1"/>
    <mergeCell ref="A2:N2"/>
  </mergeCells>
  <conditionalFormatting sqref="G5:G44">
    <cfRule type="containsText" dxfId="0" priority="1" operator="between" text="已完成">
      <formula>NOT(ISERROR(SEARCH("已完成",G5)))</formula>
    </cfRule>
    <cfRule type="containsText" dxfId="0" priority="2" operator="between" text="PASS">
      <formula>NOT(ISERROR(SEARCH("PASS",G5)))</formula>
    </cfRule>
    <cfRule type="containsText" dxfId="0" priority="3" operator="between" text="基本完成">
      <formula>NOT(ISERROR(SEARCH("基本完成",G5)))</formula>
    </cfRule>
    <cfRule type="containsText" dxfId="1" priority="4" operator="between" text="部分完成">
      <formula>NOT(ISERROR(SEARCH("部分完成",G5)))</formula>
    </cfRule>
    <cfRule type="containsText" dxfId="1" priority="5" operator="between" text="部分通过">
      <formula>NOT(ISERROR(SEARCH("部分通过",G5)))</formula>
    </cfRule>
    <cfRule type="containsText" dxfId="1" priority="6" operator="between" text="修复中">
      <formula>NOT(ISERROR(SEARCH("修复中",G5)))</formula>
    </cfRule>
    <cfRule type="containsText" dxfId="1" priority="7" operator="between" text="待收口">
      <formula>NOT(ISERROR(SEARCH("待收口",G5)))</formula>
    </cfRule>
    <cfRule type="containsText" dxfId="1" priority="8" operator="between" text="待验收">
      <formula>NOT(ISERROR(SEARCH("待验收",G5)))</formula>
    </cfRule>
    <cfRule type="containsText" dxfId="2" priority="9" operator="between" text="待确认">
      <formula>NOT(ISERROR(SEARCH("待确认",G5)))</formula>
    </cfRule>
    <cfRule type="containsText" dxfId="2" priority="10" operator="between" text="待开发">
      <formula>NOT(ISERROR(SEARCH("待开发",G5)))</formula>
    </cfRule>
    <cfRule type="containsText" dxfId="3" priority="11" operator="between" text="BLOCKED">
      <formula>NOT(ISERROR(SEARCH("BLOCKED",G5)))</formula>
    </cfRule>
    <cfRule type="containsText" dxfId="4" priority="12" operator="between" text="未开始">
      <formula>NOT(ISERROR(SEARCH("未开始",G5)))</formula>
    </cfRule>
    <cfRule type="containsText" dxfId="4" priority="13" operator="between" text="未完成">
      <formula>NOT(ISERROR(SEARCH("未完成",G5)))</formula>
    </cfRule>
  </conditionalFormatting>
  <conditionalFormatting sqref="J5:J44">
    <cfRule type="dataBar" priority="14">
      <dataBar>
        <cfvo type="min"/>
        <cfvo type="max"/>
        <color rgb="FF4F46E5"/>
      </dataBar>
      <extLst>
        <ext xmlns:x14="http://schemas.microsoft.com/office/spreadsheetml/2009/9/main" uri="{B025F937-C7B1-47D3-B67F-A62EFF666E3E}">
          <x14:id>{f47d6c05-9573-4508-8c2e-604e1312588b}</x14:id>
        </ext>
      </extLst>
    </cfRule>
  </conditionalFormatting>
  <dataValidations count="3">
    <dataValidation type="list" sqref="E5:E44">
      <formula1>"P0,P1,P2,P3"</formula1>
    </dataValidation>
    <dataValidation type="list" sqref="F5:F44">
      <formula1>"技术开发,测试验收,产品负责人,业务负责人,数据负责人,客户IT运维,技术开发／测试验收,技术开发／产品负责人,数据负责人／业务负责人"</formula1>
    </dataValidation>
    <dataValidation type="list" sqref="G5:G44">
      <formula1>"已完成,部分完成,修复中,待开发,待验收,待确认,未开始,BLOCKED"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7d6c05-9573-4508-8c2e-604e1312588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J5:J44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tabSelected="1" workbookViewId="0">
      <selection activeCell="D7" sqref="D7"/>
    </sheetView>
  </sheetViews>
  <sheetFormatPr defaultColWidth="9" defaultRowHeight="16.8" outlineLevelCol="7"/>
  <cols>
    <col min="1" max="1" width="8.82352941176471" customWidth="1"/>
    <col min="2" max="2" width="15.1911764705882" customWidth="1"/>
    <col min="3" max="3" width="36.8823529411765" customWidth="1"/>
    <col min="4" max="4" width="25.3602941176471" customWidth="1"/>
    <col min="5" max="5" width="10.7867647058824" customWidth="1"/>
    <col min="6" max="6" width="24.3897058823529" customWidth="1"/>
    <col min="7" max="7" width="22.6764705882353" customWidth="1"/>
    <col min="8" max="8" width="16.7867647058824" customWidth="1"/>
  </cols>
  <sheetData>
    <row r="1" ht="34" customHeight="1" spans="1:8">
      <c r="A1" s="1" t="s">
        <v>324</v>
      </c>
      <c r="B1" s="1" t="s">
        <v>324</v>
      </c>
      <c r="C1" s="1" t="s">
        <v>324</v>
      </c>
      <c r="D1" s="1" t="s">
        <v>324</v>
      </c>
      <c r="E1" s="1" t="s">
        <v>324</v>
      </c>
      <c r="F1" s="1" t="s">
        <v>324</v>
      </c>
      <c r="G1" s="1" t="s">
        <v>324</v>
      </c>
      <c r="H1" s="1" t="s">
        <v>324</v>
      </c>
    </row>
    <row r="2" ht="25" customHeight="1" spans="1:8">
      <c r="A2" s="2" t="s">
        <v>325</v>
      </c>
      <c r="B2" s="2" t="s">
        <v>325</v>
      </c>
      <c r="C2" s="2" t="s">
        <v>325</v>
      </c>
      <c r="D2" s="2" t="s">
        <v>325</v>
      </c>
      <c r="E2" s="2" t="s">
        <v>325</v>
      </c>
      <c r="F2" s="2" t="s">
        <v>325</v>
      </c>
      <c r="G2" s="2" t="s">
        <v>325</v>
      </c>
      <c r="H2" s="2" t="s">
        <v>325</v>
      </c>
    </row>
    <row r="3" ht="8" customHeight="1"/>
    <row r="4" ht="26" customHeight="1" spans="1:8">
      <c r="A4" s="3" t="s">
        <v>326</v>
      </c>
      <c r="B4" s="4" t="s">
        <v>327</v>
      </c>
      <c r="C4" s="4" t="s">
        <v>328</v>
      </c>
      <c r="D4" s="4" t="s">
        <v>329</v>
      </c>
      <c r="E4" s="4" t="s">
        <v>29</v>
      </c>
      <c r="F4" s="4" t="s">
        <v>330</v>
      </c>
      <c r="G4" s="4" t="s">
        <v>331</v>
      </c>
      <c r="H4" s="8" t="s">
        <v>332</v>
      </c>
    </row>
    <row r="5" ht="44" customHeight="1" spans="1:8">
      <c r="A5" s="5" t="s">
        <v>333</v>
      </c>
      <c r="B5" s="5" t="s">
        <v>34</v>
      </c>
      <c r="C5" s="5" t="s">
        <v>334</v>
      </c>
      <c r="D5" s="5" t="s">
        <v>335</v>
      </c>
      <c r="E5" s="5" t="s">
        <v>39</v>
      </c>
      <c r="F5" s="5" t="s">
        <v>336</v>
      </c>
      <c r="G5" s="5" t="s">
        <v>337</v>
      </c>
      <c r="H5" s="5" t="s">
        <v>338</v>
      </c>
    </row>
    <row r="6" ht="44" customHeight="1" spans="1:8">
      <c r="A6" s="5" t="s">
        <v>339</v>
      </c>
      <c r="B6" s="5" t="s">
        <v>340</v>
      </c>
      <c r="C6" s="5" t="s">
        <v>341</v>
      </c>
      <c r="D6" s="5" t="s">
        <v>342</v>
      </c>
      <c r="E6" s="5" t="s">
        <v>106</v>
      </c>
      <c r="F6" s="5" t="s">
        <v>343</v>
      </c>
      <c r="G6" s="5" t="s">
        <v>344</v>
      </c>
      <c r="H6" s="5" t="s">
        <v>338</v>
      </c>
    </row>
    <row r="7" ht="44" customHeight="1" spans="1:8">
      <c r="A7" s="5" t="s">
        <v>345</v>
      </c>
      <c r="B7" s="5" t="s">
        <v>346</v>
      </c>
      <c r="C7" s="5" t="s">
        <v>347</v>
      </c>
      <c r="D7" s="5" t="s">
        <v>348</v>
      </c>
      <c r="E7" s="5" t="s">
        <v>349</v>
      </c>
      <c r="F7" s="5" t="s">
        <v>350</v>
      </c>
      <c r="G7" s="5" t="s">
        <v>351</v>
      </c>
      <c r="H7" s="5" t="s">
        <v>352</v>
      </c>
    </row>
    <row r="8" ht="44" customHeight="1" spans="1:8">
      <c r="A8" s="5" t="s">
        <v>353</v>
      </c>
      <c r="B8" s="5" t="s">
        <v>354</v>
      </c>
      <c r="C8" s="5" t="s">
        <v>355</v>
      </c>
      <c r="D8" s="5" t="s">
        <v>356</v>
      </c>
      <c r="E8" s="5" t="s">
        <v>357</v>
      </c>
      <c r="F8" s="5" t="s">
        <v>358</v>
      </c>
      <c r="G8" s="5" t="s">
        <v>359</v>
      </c>
      <c r="H8" s="5" t="s">
        <v>360</v>
      </c>
    </row>
    <row r="9" ht="44" customHeight="1" spans="1:8">
      <c r="A9" s="5" t="s">
        <v>361</v>
      </c>
      <c r="B9" s="5" t="s">
        <v>362</v>
      </c>
      <c r="C9" s="5" t="s">
        <v>363</v>
      </c>
      <c r="D9" s="5" t="s">
        <v>364</v>
      </c>
      <c r="E9" s="5" t="s">
        <v>357</v>
      </c>
      <c r="F9" s="5" t="s">
        <v>365</v>
      </c>
      <c r="G9" s="5" t="s">
        <v>366</v>
      </c>
      <c r="H9" s="5" t="s">
        <v>367</v>
      </c>
    </row>
    <row r="10" ht="44" customHeight="1" spans="1:8">
      <c r="A10" s="5" t="s">
        <v>368</v>
      </c>
      <c r="B10" s="5" t="s">
        <v>369</v>
      </c>
      <c r="C10" s="5" t="s">
        <v>370</v>
      </c>
      <c r="D10" s="5" t="s">
        <v>371</v>
      </c>
      <c r="E10" s="5" t="s">
        <v>112</v>
      </c>
      <c r="F10" s="5" t="s">
        <v>372</v>
      </c>
      <c r="G10" s="5" t="s">
        <v>373</v>
      </c>
      <c r="H10" s="5" t="s">
        <v>374</v>
      </c>
    </row>
    <row r="11" ht="44" customHeight="1" spans="1:8">
      <c r="A11" s="5" t="s">
        <v>375</v>
      </c>
      <c r="B11" s="5" t="s">
        <v>115</v>
      </c>
      <c r="C11" s="5" t="s">
        <v>376</v>
      </c>
      <c r="D11" s="5" t="s">
        <v>377</v>
      </c>
      <c r="E11" s="5" t="s">
        <v>112</v>
      </c>
      <c r="F11" s="5" t="s">
        <v>378</v>
      </c>
      <c r="G11" s="5" t="s">
        <v>379</v>
      </c>
      <c r="H11" s="5" t="s">
        <v>374</v>
      </c>
    </row>
    <row r="12" ht="44" customHeight="1" spans="1:8">
      <c r="A12" s="5" t="s">
        <v>380</v>
      </c>
      <c r="B12" s="5" t="s">
        <v>136</v>
      </c>
      <c r="C12" s="5" t="s">
        <v>381</v>
      </c>
      <c r="D12" s="5" t="s">
        <v>382</v>
      </c>
      <c r="E12" s="5" t="s">
        <v>112</v>
      </c>
      <c r="F12" s="5" t="s">
        <v>383</v>
      </c>
      <c r="G12" s="5" t="s">
        <v>384</v>
      </c>
      <c r="H12" s="5" t="s">
        <v>360</v>
      </c>
    </row>
    <row r="13" ht="44" customHeight="1" spans="1:8">
      <c r="A13" s="5" t="s">
        <v>385</v>
      </c>
      <c r="B13" s="5" t="s">
        <v>144</v>
      </c>
      <c r="C13" s="5" t="s">
        <v>386</v>
      </c>
      <c r="D13" s="5" t="s">
        <v>387</v>
      </c>
      <c r="E13" s="5" t="s">
        <v>112</v>
      </c>
      <c r="F13" s="5" t="s">
        <v>388</v>
      </c>
      <c r="G13" s="5" t="s">
        <v>389</v>
      </c>
      <c r="H13" s="5" t="s">
        <v>390</v>
      </c>
    </row>
    <row r="14" ht="44" customHeight="1" spans="1:8">
      <c r="A14" s="9" t="s">
        <v>391</v>
      </c>
      <c r="B14" s="9" t="s">
        <v>392</v>
      </c>
      <c r="C14" s="9" t="s">
        <v>393</v>
      </c>
      <c r="D14" s="9" t="s">
        <v>394</v>
      </c>
      <c r="E14" s="9" t="s">
        <v>112</v>
      </c>
      <c r="F14" s="9" t="s">
        <v>395</v>
      </c>
      <c r="G14" s="9" t="s">
        <v>396</v>
      </c>
      <c r="H14" s="9" t="s">
        <v>397</v>
      </c>
    </row>
    <row r="15" ht="2" customHeight="1" spans="1:8">
      <c r="A15" s="10"/>
      <c r="B15" s="10"/>
      <c r="C15" s="10"/>
      <c r="D15" s="10"/>
      <c r="E15" s="10"/>
      <c r="F15" s="10"/>
      <c r="G15" s="10"/>
      <c r="H15" s="10"/>
    </row>
    <row r="16" ht="2" customHeight="1" spans="1:8">
      <c r="A16" s="10"/>
      <c r="B16" s="10"/>
      <c r="C16" s="10"/>
      <c r="D16" s="10"/>
      <c r="E16" s="10"/>
      <c r="F16" s="10"/>
      <c r="G16" s="10"/>
      <c r="H16" s="10"/>
    </row>
    <row r="17" ht="2" customHeight="1" spans="1:8">
      <c r="A17" s="10"/>
      <c r="B17" s="10"/>
      <c r="C17" s="10"/>
      <c r="D17" s="10"/>
      <c r="E17" s="10"/>
      <c r="F17" s="10"/>
      <c r="G17" s="10"/>
      <c r="H17" s="10"/>
    </row>
    <row r="18" ht="2" customHeight="1" spans="1:8">
      <c r="A18" s="10"/>
      <c r="B18" s="10"/>
      <c r="C18" s="10"/>
      <c r="D18" s="10"/>
      <c r="E18" s="10"/>
      <c r="F18" s="10"/>
      <c r="G18" s="10"/>
      <c r="H18" s="10"/>
    </row>
    <row r="19" ht="2" customHeight="1" spans="1:8">
      <c r="A19" s="10"/>
      <c r="B19" s="10"/>
      <c r="C19" s="10"/>
      <c r="D19" s="10"/>
      <c r="E19" s="10"/>
      <c r="F19" s="10"/>
      <c r="G19" s="10"/>
      <c r="H19" s="10"/>
    </row>
    <row r="20" ht="2" customHeight="1" spans="1:8">
      <c r="A20" s="11"/>
      <c r="B20" s="11"/>
      <c r="C20" s="11"/>
      <c r="D20" s="11"/>
      <c r="E20" s="11"/>
      <c r="F20" s="11"/>
      <c r="G20" s="11"/>
      <c r="H20" s="11"/>
    </row>
  </sheetData>
  <mergeCells count="2">
    <mergeCell ref="A1:H1"/>
    <mergeCell ref="A2:H2"/>
  </mergeCells>
  <conditionalFormatting sqref="E5:E20">
    <cfRule type="containsText" dxfId="0" priority="1" operator="between" text="已完成">
      <formula>NOT(ISERROR(SEARCH("已完成",E5)))</formula>
    </cfRule>
    <cfRule type="containsText" dxfId="0" priority="2" operator="between" text="PASS">
      <formula>NOT(ISERROR(SEARCH("PASS",E5)))</formula>
    </cfRule>
    <cfRule type="containsText" dxfId="0" priority="3" operator="between" text="基本完成">
      <formula>NOT(ISERROR(SEARCH("基本完成",E5)))</formula>
    </cfRule>
    <cfRule type="containsText" dxfId="1" priority="4" operator="between" text="部分完成">
      <formula>NOT(ISERROR(SEARCH("部分完成",E5)))</formula>
    </cfRule>
    <cfRule type="containsText" dxfId="1" priority="5" operator="between" text="部分通过">
      <formula>NOT(ISERROR(SEARCH("部分通过",E5)))</formula>
    </cfRule>
    <cfRule type="containsText" dxfId="1" priority="6" operator="between" text="修复中">
      <formula>NOT(ISERROR(SEARCH("修复中",E5)))</formula>
    </cfRule>
    <cfRule type="containsText" dxfId="1" priority="7" operator="between" text="待收口">
      <formula>NOT(ISERROR(SEARCH("待收口",E5)))</formula>
    </cfRule>
    <cfRule type="containsText" dxfId="1" priority="8" operator="between" text="待验收">
      <formula>NOT(ISERROR(SEARCH("待验收",E5)))</formula>
    </cfRule>
    <cfRule type="containsText" dxfId="2" priority="9" operator="between" text="待确认">
      <formula>NOT(ISERROR(SEARCH("待确认",E5)))</formula>
    </cfRule>
    <cfRule type="containsText" dxfId="2" priority="10" operator="between" text="待开发">
      <formula>NOT(ISERROR(SEARCH("待开发",E5)))</formula>
    </cfRule>
    <cfRule type="containsText" dxfId="3" priority="11" operator="between" text="BLOCKED">
      <formula>NOT(ISERROR(SEARCH("BLOCKED",E5)))</formula>
    </cfRule>
    <cfRule type="containsText" dxfId="4" priority="12" operator="between" text="未开始">
      <formula>NOT(ISERROR(SEARCH("未开始",E5)))</formula>
    </cfRule>
    <cfRule type="containsText" dxfId="4" priority="13" operator="between" text="未完成">
      <formula>NOT(ISERROR(SEARCH("未完成",E5)))</formula>
    </cfRule>
  </conditionalFormatting>
  <dataValidations count="1">
    <dataValidation type="list" sqref="E5:E20">
      <formula1>"PASS,部分通过,待验收,BLOCKED"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selection activeCell="A5" sqref="A5:H18"/>
    </sheetView>
  </sheetViews>
  <sheetFormatPr defaultColWidth="9" defaultRowHeight="16.8" outlineLevelCol="7"/>
  <cols>
    <col min="1" max="1" width="13" customWidth="1"/>
    <col min="2" max="2" width="18" customWidth="1"/>
    <col min="3" max="3" width="45" customWidth="1"/>
    <col min="4" max="4" width="14" customWidth="1"/>
    <col min="5" max="5" width="32" customWidth="1"/>
    <col min="6" max="6" width="43" customWidth="1"/>
    <col min="7" max="7" width="50" customWidth="1"/>
    <col min="8" max="8" width="34" customWidth="1"/>
  </cols>
  <sheetData>
    <row r="1" ht="34" customHeight="1" spans="1:8">
      <c r="A1" s="1" t="s">
        <v>398</v>
      </c>
      <c r="B1" s="1" t="s">
        <v>398</v>
      </c>
      <c r="C1" s="1" t="s">
        <v>398</v>
      </c>
      <c r="D1" s="1" t="s">
        <v>398</v>
      </c>
      <c r="E1" s="1" t="s">
        <v>398</v>
      </c>
      <c r="F1" s="1" t="s">
        <v>398</v>
      </c>
      <c r="G1" s="1" t="s">
        <v>398</v>
      </c>
      <c r="H1" s="1" t="s">
        <v>398</v>
      </c>
    </row>
    <row r="2" ht="25" customHeight="1" spans="1:8">
      <c r="A2" s="2" t="s">
        <v>399</v>
      </c>
      <c r="B2" s="2" t="s">
        <v>399</v>
      </c>
      <c r="C2" s="2" t="s">
        <v>399</v>
      </c>
      <c r="D2" s="2" t="s">
        <v>399</v>
      </c>
      <c r="E2" s="2" t="s">
        <v>399</v>
      </c>
      <c r="F2" s="2" t="s">
        <v>399</v>
      </c>
      <c r="G2" s="2" t="s">
        <v>399</v>
      </c>
      <c r="H2" s="2" t="s">
        <v>399</v>
      </c>
    </row>
    <row r="3" ht="8" customHeight="1"/>
    <row r="4" ht="26" customHeight="1" spans="1:8">
      <c r="A4" s="3" t="s">
        <v>197</v>
      </c>
      <c r="B4" s="4" t="s">
        <v>400</v>
      </c>
      <c r="C4" s="4" t="s">
        <v>401</v>
      </c>
      <c r="D4" s="4" t="s">
        <v>14</v>
      </c>
      <c r="E4" s="4" t="s">
        <v>402</v>
      </c>
      <c r="F4" s="4" t="s">
        <v>403</v>
      </c>
      <c r="G4" s="4" t="s">
        <v>404</v>
      </c>
      <c r="H4" s="8" t="s">
        <v>405</v>
      </c>
    </row>
    <row r="5" ht="44" customHeight="1" spans="1:8">
      <c r="A5" s="5" t="s">
        <v>406</v>
      </c>
      <c r="B5" s="5" t="s">
        <v>407</v>
      </c>
      <c r="C5" s="5" t="s">
        <v>408</v>
      </c>
      <c r="D5" s="5" t="s">
        <v>39</v>
      </c>
      <c r="E5" s="5" t="s">
        <v>248</v>
      </c>
      <c r="F5" s="5" t="s">
        <v>409</v>
      </c>
      <c r="G5" s="5" t="s">
        <v>410</v>
      </c>
      <c r="H5" s="5" t="s">
        <v>411</v>
      </c>
    </row>
    <row r="6" ht="44" customHeight="1" spans="1:8">
      <c r="A6" s="5" t="s">
        <v>412</v>
      </c>
      <c r="B6" s="5" t="s">
        <v>413</v>
      </c>
      <c r="C6" s="5" t="s">
        <v>414</v>
      </c>
      <c r="D6" s="5" t="s">
        <v>39</v>
      </c>
      <c r="E6" s="5" t="s">
        <v>241</v>
      </c>
      <c r="F6" s="5" t="s">
        <v>415</v>
      </c>
      <c r="G6" s="5" t="s">
        <v>416</v>
      </c>
      <c r="H6" s="5" t="s">
        <v>417</v>
      </c>
    </row>
    <row r="7" ht="44" customHeight="1" spans="1:8">
      <c r="A7" s="5" t="s">
        <v>418</v>
      </c>
      <c r="B7" s="5" t="s">
        <v>419</v>
      </c>
      <c r="C7" s="5" t="s">
        <v>420</v>
      </c>
      <c r="D7" s="5" t="s">
        <v>39</v>
      </c>
      <c r="E7" s="5" t="s">
        <v>421</v>
      </c>
      <c r="F7" s="5" t="s">
        <v>422</v>
      </c>
      <c r="G7" s="5" t="s">
        <v>423</v>
      </c>
      <c r="H7" s="5" t="s">
        <v>417</v>
      </c>
    </row>
    <row r="8" ht="44" customHeight="1" spans="1:8">
      <c r="A8" s="5" t="s">
        <v>424</v>
      </c>
      <c r="B8" s="5" t="s">
        <v>425</v>
      </c>
      <c r="C8" s="5" t="s">
        <v>426</v>
      </c>
      <c r="D8" s="5" t="s">
        <v>39</v>
      </c>
      <c r="E8" s="5" t="s">
        <v>427</v>
      </c>
      <c r="F8" s="5" t="s">
        <v>428</v>
      </c>
      <c r="G8" s="5" t="s">
        <v>429</v>
      </c>
      <c r="H8" s="5" t="s">
        <v>430</v>
      </c>
    </row>
    <row r="9" ht="44" customHeight="1" spans="1:8">
      <c r="A9" s="5" t="s">
        <v>431</v>
      </c>
      <c r="B9" s="5" t="s">
        <v>432</v>
      </c>
      <c r="C9" s="5" t="s">
        <v>433</v>
      </c>
      <c r="D9" s="5" t="s">
        <v>39</v>
      </c>
      <c r="E9" s="5" t="s">
        <v>434</v>
      </c>
      <c r="F9" s="5" t="s">
        <v>435</v>
      </c>
      <c r="G9" s="5" t="s">
        <v>436</v>
      </c>
      <c r="H9" s="5" t="s">
        <v>437</v>
      </c>
    </row>
    <row r="10" ht="44" customHeight="1" spans="1:8">
      <c r="A10" s="5" t="s">
        <v>438</v>
      </c>
      <c r="B10" s="5" t="s">
        <v>439</v>
      </c>
      <c r="C10" s="5" t="s">
        <v>440</v>
      </c>
      <c r="D10" s="5" t="s">
        <v>39</v>
      </c>
      <c r="E10" s="5" t="s">
        <v>441</v>
      </c>
      <c r="F10" s="5" t="s">
        <v>442</v>
      </c>
      <c r="G10" s="5" t="s">
        <v>443</v>
      </c>
      <c r="H10" s="5" t="s">
        <v>430</v>
      </c>
    </row>
    <row r="11" ht="44" customHeight="1" spans="1:8">
      <c r="A11" s="5" t="s">
        <v>444</v>
      </c>
      <c r="B11" s="5" t="s">
        <v>445</v>
      </c>
      <c r="C11" s="5" t="s">
        <v>446</v>
      </c>
      <c r="D11" s="5" t="s">
        <v>39</v>
      </c>
      <c r="E11" s="5" t="s">
        <v>447</v>
      </c>
      <c r="F11" s="5" t="s">
        <v>448</v>
      </c>
      <c r="G11" s="5" t="s">
        <v>449</v>
      </c>
      <c r="H11" s="5" t="s">
        <v>450</v>
      </c>
    </row>
    <row r="12" ht="44" customHeight="1" spans="1:8">
      <c r="A12" s="5" t="s">
        <v>451</v>
      </c>
      <c r="B12" s="5" t="s">
        <v>452</v>
      </c>
      <c r="C12" s="5" t="s">
        <v>453</v>
      </c>
      <c r="D12" s="5" t="s">
        <v>39</v>
      </c>
      <c r="E12" s="5" t="s">
        <v>248</v>
      </c>
      <c r="F12" s="5" t="s">
        <v>454</v>
      </c>
      <c r="G12" s="5" t="s">
        <v>455</v>
      </c>
      <c r="H12" s="5" t="s">
        <v>456</v>
      </c>
    </row>
    <row r="13" ht="44" customHeight="1" spans="1:8">
      <c r="A13" s="6" t="s">
        <v>457</v>
      </c>
      <c r="B13" s="6" t="s">
        <v>458</v>
      </c>
      <c r="C13" s="6" t="s">
        <v>459</v>
      </c>
      <c r="D13" s="6" t="s">
        <v>106</v>
      </c>
      <c r="E13" s="6" t="s">
        <v>241</v>
      </c>
      <c r="F13" s="6" t="s">
        <v>460</v>
      </c>
      <c r="G13" s="6" t="s">
        <v>461</v>
      </c>
      <c r="H13" s="6" t="s">
        <v>462</v>
      </c>
    </row>
    <row r="14" ht="44" customHeight="1" spans="1:8">
      <c r="A14" s="6" t="s">
        <v>463</v>
      </c>
      <c r="B14" s="6" t="s">
        <v>464</v>
      </c>
      <c r="C14" s="6" t="s">
        <v>465</v>
      </c>
      <c r="D14" s="6" t="s">
        <v>106</v>
      </c>
      <c r="E14" s="6" t="s">
        <v>233</v>
      </c>
      <c r="F14" s="6" t="s">
        <v>466</v>
      </c>
      <c r="G14" s="6" t="s">
        <v>467</v>
      </c>
      <c r="H14" s="6" t="s">
        <v>462</v>
      </c>
    </row>
    <row r="15" ht="44" customHeight="1" spans="1:8">
      <c r="A15" s="6" t="s">
        <v>468</v>
      </c>
      <c r="B15" s="6" t="s">
        <v>469</v>
      </c>
      <c r="C15" s="6" t="s">
        <v>470</v>
      </c>
      <c r="D15" s="6" t="s">
        <v>471</v>
      </c>
      <c r="E15" s="6" t="s">
        <v>271</v>
      </c>
      <c r="F15" s="6" t="s">
        <v>472</v>
      </c>
      <c r="G15" s="6" t="s">
        <v>473</v>
      </c>
      <c r="H15" s="6" t="s">
        <v>474</v>
      </c>
    </row>
    <row r="16" ht="44" customHeight="1" spans="1:8">
      <c r="A16" s="6" t="s">
        <v>475</v>
      </c>
      <c r="B16" s="6" t="s">
        <v>476</v>
      </c>
      <c r="C16" s="6" t="s">
        <v>477</v>
      </c>
      <c r="D16" s="6" t="s">
        <v>471</v>
      </c>
      <c r="E16" s="6" t="s">
        <v>478</v>
      </c>
      <c r="F16" s="6" t="s">
        <v>479</v>
      </c>
      <c r="G16" s="6" t="s">
        <v>480</v>
      </c>
      <c r="H16" s="6" t="s">
        <v>481</v>
      </c>
    </row>
    <row r="17" ht="44" customHeight="1" spans="1:8">
      <c r="A17" s="6" t="s">
        <v>482</v>
      </c>
      <c r="B17" s="6" t="s">
        <v>483</v>
      </c>
      <c r="C17" s="6" t="s">
        <v>484</v>
      </c>
      <c r="D17" s="6" t="s">
        <v>471</v>
      </c>
      <c r="E17" s="6" t="s">
        <v>485</v>
      </c>
      <c r="F17" s="6" t="s">
        <v>486</v>
      </c>
      <c r="G17" s="6" t="s">
        <v>487</v>
      </c>
      <c r="H17" s="6" t="s">
        <v>488</v>
      </c>
    </row>
    <row r="18" ht="44" customHeight="1" spans="1:8">
      <c r="A18" s="6" t="s">
        <v>489</v>
      </c>
      <c r="B18" s="6" t="s">
        <v>490</v>
      </c>
      <c r="C18" s="6" t="s">
        <v>491</v>
      </c>
      <c r="D18" s="6" t="s">
        <v>471</v>
      </c>
      <c r="E18" s="6" t="s">
        <v>319</v>
      </c>
      <c r="F18" s="6" t="s">
        <v>492</v>
      </c>
      <c r="G18" s="6" t="s">
        <v>493</v>
      </c>
      <c r="H18" s="6" t="s">
        <v>494</v>
      </c>
    </row>
    <row r="19" ht="2" customHeight="1" spans="1:8">
      <c r="A19" s="7"/>
      <c r="B19" s="7"/>
      <c r="C19" s="7"/>
      <c r="D19" s="7"/>
      <c r="E19" s="7"/>
      <c r="F19" s="7"/>
      <c r="G19" s="7"/>
      <c r="H19" s="7"/>
    </row>
    <row r="20" ht="2" customHeight="1"/>
  </sheetData>
  <mergeCells count="2">
    <mergeCell ref="A1:H1"/>
    <mergeCell ref="A2:H2"/>
  </mergeCells>
  <conditionalFormatting sqref="D5:D18">
    <cfRule type="containsText" dxfId="0" priority="1" operator="between" text="已完成">
      <formula>NOT(ISERROR(SEARCH("已完成",D5)))</formula>
    </cfRule>
    <cfRule type="containsText" dxfId="0" priority="2" operator="between" text="PASS">
      <formula>NOT(ISERROR(SEARCH("PASS",D5)))</formula>
    </cfRule>
    <cfRule type="containsText" dxfId="0" priority="3" operator="between" text="基本完成">
      <formula>NOT(ISERROR(SEARCH("基本完成",D5)))</formula>
    </cfRule>
    <cfRule type="containsText" dxfId="1" priority="4" operator="between" text="部分完成">
      <formula>NOT(ISERROR(SEARCH("部分完成",D5)))</formula>
    </cfRule>
    <cfRule type="containsText" dxfId="1" priority="5" operator="between" text="部分通过">
      <formula>NOT(ISERROR(SEARCH("部分通过",D5)))</formula>
    </cfRule>
    <cfRule type="containsText" dxfId="1" priority="6" operator="between" text="修复中">
      <formula>NOT(ISERROR(SEARCH("修复中",D5)))</formula>
    </cfRule>
    <cfRule type="containsText" dxfId="1" priority="7" operator="between" text="待收口">
      <formula>NOT(ISERROR(SEARCH("待收口",D5)))</formula>
    </cfRule>
    <cfRule type="containsText" dxfId="1" priority="8" operator="between" text="待验收">
      <formula>NOT(ISERROR(SEARCH("待验收",D5)))</formula>
    </cfRule>
    <cfRule type="containsText" dxfId="2" priority="9" operator="between" text="待确认">
      <formula>NOT(ISERROR(SEARCH("待确认",D5)))</formula>
    </cfRule>
    <cfRule type="containsText" dxfId="2" priority="10" operator="between" text="待开发">
      <formula>NOT(ISERROR(SEARCH("待开发",D5)))</formula>
    </cfRule>
    <cfRule type="containsText" dxfId="3" priority="11" operator="between" text="BLOCKED">
      <formula>NOT(ISERROR(SEARCH("BLOCKED",D5)))</formula>
    </cfRule>
    <cfRule type="containsText" dxfId="4" priority="12" operator="between" text="未开始">
      <formula>NOT(ISERROR(SEARCH("未开始",D5)))</formula>
    </cfRule>
    <cfRule type="containsText" dxfId="4" priority="13" operator="between" text="未完成">
      <formula>NOT(ISERROR(SEARCH("未完成",D5)))</formula>
    </cfRule>
  </conditionalFormatting>
  <dataValidations count="2">
    <dataValidation type="list" sqref="D19">
      <formula1>"已完成,进行中,未完成,待确认,BLOCKED"</formula1>
    </dataValidation>
    <dataValidation type="list" sqref="D5:D18">
      <formula1>"已完成,进行中,待双方确认,待启动"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项目总览</vt:lpstr>
      <vt:lpstr>需求与范围</vt:lpstr>
      <vt:lpstr>功能模块</vt:lpstr>
      <vt:lpstr>推进明细</vt:lpstr>
      <vt:lpstr>验收清单</vt:lpstr>
      <vt:lpstr>待确认与上线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芝</cp:lastModifiedBy>
  <dcterms:created xsi:type="dcterms:W3CDTF">2026-08-31T10:15:42Z</dcterms:created>
  <dcterms:modified xsi:type="dcterms:W3CDTF">2026-08-31T14:27:02Z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DE81F407F7B8EC72F7E3946AB2876FE7_42</vt:lpwstr>
  </property>
  <property fmtid="{D5CDD505-2E9C-101B-9397-08002B2CF9AE}" pid="3" name="KSOProductBuildVer">
    <vt:lpwstr>2052-6.7.1.8828</vt:lpwstr>
  </property>
</Properties>
</file>
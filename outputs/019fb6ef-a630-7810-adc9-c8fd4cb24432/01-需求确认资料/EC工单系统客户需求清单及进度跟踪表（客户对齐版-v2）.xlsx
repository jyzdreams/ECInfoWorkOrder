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3160" activeTab="2"/>
  </bookViews>
  <sheets>
    <sheet name="項目總覽" sheetId="1" r:id="rId1"/>
    <sheet name="業務全景" sheetId="2" r:id="rId2"/>
    <sheet name="模組功能" sheetId="3" r:id="rId3"/>
    <sheet name="需求確認主表" sheetId="4" r:id="rId4"/>
    <sheet name="表單欄位" sheetId="5" r:id="rId5"/>
    <sheet name="角色權限" sheetId="6" r:id="rId6"/>
    <sheet name="項目進度" sheetId="7" r:id="rId7"/>
    <sheet name="待確認事項" sheetId="8" r:id="rId8"/>
    <sheet name="需求變更記錄" sheetId="9" r:id="rId9"/>
    <sheet name="說明與依據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<sst xmlns="http://schemas.openxmlformats.org/spreadsheetml/2006/main" count="5680" uniqueCount="2101">
  <si>
    <t>EC工單系統｜項目總覽</t>
  </si>
  <si>
    <t>客戶對齊版 v2｜需求確認、原型對齊和實施進度分開統計；黃色為待維護項，灰色為公式或引用項。</t>
  </si>
  <si>
    <t>需求總數</t>
  </si>
  <si>
    <t>已批准需求</t>
  </si>
  <si>
    <t>需求確認率</t>
  </si>
  <si>
    <t>原型對齊率</t>
  </si>
  <si>
    <t>實施完成率</t>
  </si>
  <si>
    <t>當前階段</t>
  </si>
  <si>
    <t>需求評審中</t>
  </si>
  <si>
    <t>目標交付日期</t>
  </si>
  <si>
    <t>待確認</t>
  </si>
  <si>
    <t>項目目標</t>
  </si>
  <si>
    <t>建立從受理、報價、中單、倉庫協同、派工、現場到完工歸檔的可追溯閉環</t>
  </si>
  <si>
    <t>里程碑</t>
  </si>
  <si>
    <t>交付物</t>
  </si>
  <si>
    <t>目標日期</t>
  </si>
  <si>
    <t>當前狀態</t>
  </si>
  <si>
    <t>完成口徑</t>
  </si>
  <si>
    <t>備註</t>
  </si>
  <si>
    <t>當前P0確認重點</t>
  </si>
  <si>
    <t>M1</t>
  </si>
  <si>
    <t>客戶需求與流程定稿</t>
  </si>
  <si>
    <t>進行中</t>
  </si>
  <si>
    <t>需求狀態均達到已批准或明確不納入</t>
  </si>
  <si>
    <t>以本工作簿為確認底稿</t>
  </si>
  <si>
    <t>1</t>
  </si>
  <si>
    <t>倉庫通接口邊界</t>
  </si>
  <si>
    <t>明確數據主責、狀態字典、同步方向、頻率、匹配編號及異常重試</t>
  </si>
  <si>
    <t>M2</t>
  </si>
  <si>
    <t>原型對齊與評審</t>
  </si>
  <si>
    <t>已批准需求均有原型頁面或明確無原型</t>
  </si>
  <si>
    <t>當前使用prototype/（2.0）</t>
  </si>
  <si>
    <t>2</t>
  </si>
  <si>
    <t>可派工門檻</t>
  </si>
  <si>
    <t>明確哪個倉庫狀態加上何種客戶時間確認後允許正式派工</t>
  </si>
  <si>
    <t>M3</t>
  </si>
  <si>
    <t>開發實施</t>
  </si>
  <si>
    <t>未開始</t>
  </si>
  <si>
    <t>本期需求開發完成並通過內部檢查</t>
  </si>
  <si>
    <t>僅統計已批准且本期擬納入需求</t>
  </si>
  <si>
    <t>3</t>
  </si>
  <si>
    <t>後續工單關係</t>
  </si>
  <si>
    <t>明確複用原CALL還是創建關聯CALL，不預設編號加後綴</t>
  </si>
  <si>
    <t>M4</t>
  </si>
  <si>
    <t>集成與業務測試</t>
  </si>
  <si>
    <t>核心鏈路及外部接口場景通過</t>
  </si>
  <si>
    <t>倉庫通需單獨接口POC</t>
  </si>
  <si>
    <t>4</t>
  </si>
  <si>
    <t>完工確認</t>
  </si>
  <si>
    <t>確認SR/CP、退回補充、返工、多份SR及正式完工口徑</t>
  </si>
  <si>
    <t>M5</t>
  </si>
  <si>
    <t>客戶UAT與驗收</t>
  </si>
  <si>
    <t>客戶驗收案例完成並形成結論</t>
  </si>
  <si>
    <t>驗收與需求編號關聯</t>
  </si>
  <si>
    <t>5</t>
  </si>
  <si>
    <t>角色權限</t>
  </si>
  <si>
    <t>確認角色×頁面×動作×區域/數據範圍矩陣</t>
  </si>
  <si>
    <t>M6</t>
  </si>
  <si>
    <t>上線與移交</t>
  </si>
  <si>
    <t>數據、權限、培訓和運維交接完成</t>
  </si>
  <si>
    <t>上線日期不在需求未定時預估</t>
  </si>
  <si>
    <t>6</t>
  </si>
  <si>
    <t>報價與中單</t>
  </si>
  <si>
    <t>確認客戶接受證據、版本鎖定及M/P/M+P後續分支</t>
  </si>
  <si>
    <t>說明：所有需求初始均為待確認/未決定；原型可演示不代表客戶已批准，也不代表後臺、接口、權限或生產數據已完成。</t>
  </si>
  <si>
    <t>EC工單系統｜業務全景</t>
  </si>
  <si>
    <t xml:space="preserve">先看端到端主鏈路，再按FLOW編號逐項確認。綠色表示EC流程，紫色表示客戶/報價決策，橙色表示外部倉庫通協同。當前全部為需求討論底稿。 </t>
  </si>
  <si>
    <t>端到端主鏈路｜報價 → 中單 → 倉庫通 → 派工 → 現場 → 完工 → 歸檔</t>
  </si>
  <si>
    <t>① 觸發報價
CALL / SR / 維保 / Tender</t>
  </si>
  <si>
    <t>→</t>
  </si>
  <si>
    <t>② 編制與修訂
保留R0/R1/R2歷史</t>
  </si>
  <si>
    <t>③ 客戶接受最終版本
保留接受證據</t>
  </si>
  <si>
    <t>④ QUO確認中單
鎖定版本與物料行</t>
  </si>
  <si>
    <t>MR與倉庫通</t>
  </si>
  <si>
    <t>⑤ 生成MR
按接受版本的P類物料</t>
  </si>
  <si>
    <t>⑥ 發送倉庫通
外部系統執行備貨</t>
  </si>
  <si>
    <t>⑦ 同步倉庫狀態
欄位/頻率/重試待確認</t>
  </si>
  <si>
    <t>⑧ 確認可派工
CR/TL確認正式時間</t>
  </si>
  <si>
    <t>派工與現場</t>
  </si>
  <si>
    <t>⑨ 分派任務
區域、負載與技能規則</t>
  </si>
  <si>
    <t>⑩ 師傅接單及簽到
開始現場處理</t>
  </si>
  <si>
    <t>⑪ 提交SR/完工資料
照片、材料、簽名</t>
  </si>
  <si>
    <t>⑫ CR/TL完工確認
可確認或退回補充</t>
  </si>
  <si>
    <t>交付與歸檔</t>
  </si>
  <si>
    <t>⑬ 報告交付
Email/WhatsApp渠道待定</t>
  </si>
  <si>
    <t>⑭ 報告與附件歸檔
保留查詢及審計</t>
  </si>
  <si>
    <t>財務銜接
開票/收款不阻塞工單完工</t>
  </si>
  <si>
    <t>閉環完成
狀態、編號、日誌可追溯</t>
  </si>
  <si>
    <t>流程編號</t>
  </si>
  <si>
    <t>流程名稱</t>
  </si>
  <si>
    <t>觸發輸入</t>
  </si>
  <si>
    <t>核心步驟</t>
  </si>
  <si>
    <t>主要角色</t>
  </si>
  <si>
    <t>前置狀態</t>
  </si>
  <si>
    <t>後置結果</t>
  </si>
  <si>
    <t>關聯需求</t>
  </si>
  <si>
    <t>原型對應</t>
  </si>
  <si>
    <t>需求狀態</t>
  </si>
  <si>
    <t>FLOW-001</t>
  </si>
  <si>
    <t>端到端主鏈路</t>
  </si>
  <si>
    <t>客戶需求、現場後補或Tender機會</t>
  </si>
  <si>
    <t>報價→修訂→客戶接受→中單→MR→倉庫通→派工→現場→完工→歸檔</t>
  </si>
  <si>
    <t>客戶、QUO、CR、TL、MASTER、倉庫通</t>
  </si>
  <si>
    <t>存在服務或項目需求</t>
  </si>
  <si>
    <t>報告歸檔；財務另行銜接</t>
  </si>
  <si>
    <t>F014-F056</t>
  </si>
  <si>
    <t>原型可演示；倉庫通未接入</t>
  </si>
  <si>
    <t>FLOW-002</t>
  </si>
  <si>
    <t>CALL受理</t>
  </si>
  <si>
    <t>電話、WhatsApp、Email或現場訴求</t>
  </si>
  <si>
    <t>登記→答疑或建單→補充客戶/地點/分類→提交</t>
  </si>
  <si>
    <t>CS、CR</t>
  </si>
  <si>
    <t>收到客戶訴求</t>
  </si>
  <si>
    <t>待分派CALL或答疑記錄</t>
  </si>
  <si>
    <t>F006-F013、F073、F079</t>
  </si>
  <si>
    <t>可演示</t>
  </si>
  <si>
    <t>FLOW-003</t>
  </si>
  <si>
    <t>分派接單</t>
  </si>
  <si>
    <t>待分派任務或物料就緒任務</t>
  </si>
  <si>
    <t>候選篩選→主管分派→通知→師傅接受/拒絕→必要時改派</t>
  </si>
  <si>
    <t>TL、CR、MASTER</t>
  </si>
  <si>
    <t>待分派</t>
  </si>
  <si>
    <t>待處理或重新分派</t>
  </si>
  <si>
    <t>F013-F023、F075-F076</t>
  </si>
  <si>
    <t>可演示；權限矩陣待定</t>
  </si>
  <si>
    <t>FLOW-004</t>
  </si>
  <si>
    <t>現場執行</t>
  </si>
  <si>
    <t>師傅已接受任務</t>
  </si>
  <si>
    <t>簽到→記錄問題→維修/檢查→照片/材料/費用→客戶確認</t>
  </si>
  <si>
    <t>MASTER、客戶</t>
  </si>
  <si>
    <t>待處理</t>
  </si>
  <si>
    <t>處理中或待完工確認</t>
  </si>
  <si>
    <t>F024-F030、F034、F074</t>
  </si>
  <si>
    <t>可演示；離線需POC</t>
  </si>
  <si>
    <t>FLOW-005</t>
  </si>
  <si>
    <t>師傅提交SR或完工資料</t>
  </si>
  <si>
    <t>提交→CR/TL檢查→確認或退回→正式完成</t>
  </si>
  <si>
    <t>MASTER、CR、TL</t>
  </si>
  <si>
    <t>處理中</t>
  </si>
  <si>
    <t>已完成或退回補充</t>
  </si>
  <si>
    <t>F031-F033、F065</t>
  </si>
  <si>
    <t>可演示（已修訂）</t>
  </si>
  <si>
    <t>FLOW-006</t>
  </si>
  <si>
    <t>報價、修訂與中單</t>
  </si>
  <si>
    <t>CALL、SR、維保或Tender結果</t>
  </si>
  <si>
    <t>編制→發出→客戶反饋→修訂→接受最終版本→QUO確認中單</t>
  </si>
  <si>
    <t>QUO、CR、客戶</t>
  </si>
  <si>
    <t>報價請求</t>
  </si>
  <si>
    <t>已中單、未中單或繼續修訂</t>
  </si>
  <si>
    <t>F040-F045、F064</t>
  </si>
  <si>
    <t>FLOW-007</t>
  </si>
  <si>
    <t>MR及倉庫通協同</t>
  </si>
  <si>
    <t>P或M+P報價已中單</t>
  </si>
  <si>
    <t>生成MR→發送倉庫通→同步備貨狀態→確認可派工→關聯後續任務</t>
  </si>
  <si>
    <t>系統、倉庫通、CR、TL</t>
  </si>
  <si>
    <t>報價已中單</t>
  </si>
  <si>
    <t>物料就緒並可進入派工</t>
  </si>
  <si>
    <t>F051-F056、F075</t>
  </si>
  <si>
    <t>流程演示；接口待確認</t>
  </si>
  <si>
    <t>FLOW-008</t>
  </si>
  <si>
    <t>報告交付</t>
  </si>
  <si>
    <t>工單正式完成</t>
  </si>
  <si>
    <t>歸集SR/CP→查看→發送→記錄日誌→歸檔</t>
  </si>
  <si>
    <t>CS、CR、TL、ADMIN</t>
  </si>
  <si>
    <t>已完成</t>
  </si>
  <si>
    <t>報告已交付並歸檔</t>
  </si>
  <si>
    <t>F035-F039、F080</t>
  </si>
  <si>
    <t>頁面可演示；外發需POC</t>
  </si>
  <si>
    <t>FLOW-009</t>
  </si>
  <si>
    <t>CM/PM維保</t>
  </si>
  <si>
    <t>合約、週期計劃或客戶需求</t>
  </si>
  <si>
    <t>生成計劃→CM直接分派或PM排程→現場執行→必要時產生報價</t>
  </si>
  <si>
    <t>CR、TL、MASTER、QUO</t>
  </si>
  <si>
    <t>存在維保計劃</t>
  </si>
  <si>
    <t>完成維保或進入報價/維修</t>
  </si>
  <si>
    <t>F043、F061、F078</t>
  </si>
  <si>
    <t>部分覆蓋；衝突規則待定</t>
  </si>
  <si>
    <t>FLOW-010</t>
  </si>
  <si>
    <t>Tender投標</t>
  </si>
  <si>
    <t>取得或接收標書</t>
  </si>
  <si>
    <t>導入/新建→分類→通知主管→填報價→導出回標→中標後創建/關聯報價</t>
  </si>
  <si>
    <t>TENDER、主管、QUO</t>
  </si>
  <si>
    <t>取得標書</t>
  </si>
  <si>
    <t>回標完成或關聯報價</t>
  </si>
  <si>
    <t>F046-F050、F069</t>
  </si>
  <si>
    <t>可演示；內部審批待定</t>
  </si>
  <si>
    <t>FLOW-011</t>
  </si>
  <si>
    <t>財務銜接</t>
  </si>
  <si>
    <t>可開票業務或合約週期</t>
  </si>
  <si>
    <t>形成待開票→開票→收款→收據→Peachtree同步</t>
  </si>
  <si>
    <t>FIN、ADMIN</t>
  </si>
  <si>
    <t>業務完工或達到開票條件</t>
  </si>
  <si>
    <t>財務記錄完成</t>
  </si>
  <si>
    <t>F057-F062、F077</t>
  </si>
  <si>
    <t>主要為流程演示</t>
  </si>
  <si>
    <t>FLOW-012</t>
  </si>
  <si>
    <t>賬戶、權限與基礎資料</t>
  </si>
  <si>
    <t>用戶、客戶、地點、字典及配置</t>
  </si>
  <si>
    <t>維護主數據→配置權限→導入→統計→存儲與審計</t>
  </si>
  <si>
    <t>ADMIN、IT、BOSS及業務角色</t>
  </si>
  <si>
    <t>基礎資料待準備</t>
  </si>
  <si>
    <t>各模組可按權限使用</t>
  </si>
  <si>
    <t>F001-F005、F063-F073、F079-F080</t>
  </si>
  <si>
    <t>部分可演示；生產規則待確認</t>
  </si>
  <si>
    <t>EC工單系統｜模組功能</t>
  </si>
  <si>
    <t xml:space="preserve">按模組確認業務目標、主要功能、角色、流程、表單和範圍階段。原型能力僅作為討論底稿。 </t>
  </si>
  <si>
    <t>模組編號</t>
  </si>
  <si>
    <t>模組名稱</t>
  </si>
  <si>
    <t>業務目標</t>
  </si>
  <si>
    <t>核心功能</t>
  </si>
  <si>
    <t>關聯流程</t>
  </si>
  <si>
    <t>主要表單/頁面</t>
  </si>
  <si>
    <t>範圍階段</t>
  </si>
  <si>
    <t>客戶確認重點</t>
  </si>
  <si>
    <t>客戶意見</t>
  </si>
  <si>
    <t>M01</t>
  </si>
  <si>
    <t>首頁與通知</t>
  </si>
  <si>
    <t>提供統一工作入口，集中呈現狀態、待辦、異常和業務通知。</t>
  </si>
  <si>
    <t>按角色與數據範圍彙總指標和消息</t>
  </si>
  <si>
    <t>全部角色</t>
  </si>
  <si>
    <t>首頁看板、通知中心</t>
  </si>
  <si>
    <t>本期擬納入</t>
  </si>
  <si>
    <t>確認指標口徑、數據範圍和真實通知渠道</t>
  </si>
  <si>
    <t>M02</t>
  </si>
  <si>
    <t>CALL受理與工單管理</t>
  </si>
  <si>
    <t>承接客戶來電、WhatsApp、郵件或現場訴求，形成可跟蹤CALL。</t>
  </si>
  <si>
    <t>受理判斷、自動編號、建單、查詢、狀態操作和時間線記錄</t>
  </si>
  <si>
    <t>CS、CR、TL、ADMIN及相關角色</t>
  </si>
  <si>
    <t>CALL受理、新建/編輯CALL、CALL列表、CALL詳情</t>
  </si>
  <si>
    <t>確認編號、必填項、取消/直接完成權限和狀態口徑</t>
  </si>
  <si>
    <t>M03</t>
  </si>
  <si>
    <t>分派與調度</t>
  </si>
  <si>
    <t>將待分派CALL分配給合適師傅並保留完整分派軌跡。</t>
  </si>
  <si>
    <t>同區域可接單且最低負載推薦，人工篩選與確認分派</t>
  </si>
  <si>
    <t>TL、CR、ADMIN、MASTER</t>
  </si>
  <si>
    <t>分派中心、分派彈窗、申請審批</t>
  </si>
  <si>
    <t>確認區域權限、請假來源、負載閾值和工單池審批</t>
  </si>
  <si>
    <t>M04</t>
  </si>
  <si>
    <t>移動端現場執行</t>
  </si>
  <si>
    <t>支持師傅從接單、簽到、處理到提交報告的現場閉環。</t>
  </si>
  <si>
    <t>接單/拒單、簽到、處理記錄、照片上傳、簽名和提交</t>
  </si>
  <si>
    <t>MASTER、TL</t>
  </si>
  <si>
    <t>FLOW-004 / FLOW-005</t>
  </si>
  <si>
    <t>師傅首頁、CALL列表、CALL詳情、現場處理、完工單</t>
  </si>
  <si>
    <t>可演示；部分能力需真機POC</t>
  </si>
  <si>
    <t>確認照片、不可拍照、簽名、離線及提交後的狀態</t>
  </si>
  <si>
    <t>M05</t>
  </si>
  <si>
    <t>報告與文檔</t>
  </si>
  <si>
    <t>集中管理服務報告和完工單，並記錄客戶發送過程。</t>
  </si>
  <si>
    <t>分類、搜索、查看、關聯跳轉、發送和日誌記錄</t>
  </si>
  <si>
    <t>報告管理、報告詳情、報告發送</t>
  </si>
  <si>
    <t>頁面可演示；外部發送為流程演示</t>
  </si>
  <si>
    <t>確認報告模板、發送渠道、回執和保留期限</t>
  </si>
  <si>
    <t>M06</t>
  </si>
  <si>
    <t>報價管理</t>
  </si>
  <si>
    <t>處理服務產生的報價需求，維護明細、金額、版本和中單結果。</t>
  </si>
  <si>
    <t>編制報價、金額計算、發出、修訂和中單/丟單維護</t>
  </si>
  <si>
    <t>QUO、CR、ADMIN、BOSS</t>
  </si>
  <si>
    <t>FLOW-001 / FLOW-006</t>
  </si>
  <si>
    <t>報價列表、報價單、報價明細、狀態更新</t>
  </si>
  <si>
    <t>確認是否納入一期、審批、版本和金額修改權限</t>
  </si>
  <si>
    <t>M07</t>
  </si>
  <si>
    <t>標書管理</t>
  </si>
  <si>
    <t>跟蹤招投標機會、截止時間、資料和中標結果。</t>
  </si>
  <si>
    <t>導入/新建、倒計時、狀態維護、附件管理和可選排程</t>
  </si>
  <si>
    <t>TENDER、TL、ADMIN、BOSS</t>
  </si>
  <si>
    <t>標書列表、標書表單、標書師傅排程</t>
  </si>
  <si>
    <t>後續階段</t>
  </si>
  <si>
    <t>確認階段歸屬、逾期提醒、排程邊界和負責人</t>
  </si>
  <si>
    <t>M08</t>
  </si>
  <si>
    <t>MR與倉庫通狀態協同</t>
  </si>
  <si>
    <t>承接報價中單後的MR生成和外部倉庫通狀態協同，為正式派工提供物料就緒依據。</t>
  </si>
  <si>
    <t>按客戶接受版本生成MR、發送倉庫通、同步狀態、異常提示及確認可派工；EC不執行採購、入庫和揀貨。</t>
  </si>
  <si>
    <t>系統、倉庫通、QUO、CR、TL</t>
  </si>
  <si>
    <t>FLOW-001 / FLOW-007</t>
  </si>
  <si>
    <t>報價詳情、MR狀態、外部接口監控、分派中心</t>
  </si>
  <si>
    <t>流程演示；倉庫通未接入</t>
  </si>
  <si>
    <t>確認接口主責、狀態字典、同步頻率、匹配編號、可派工門檻和後續工單關係</t>
  </si>
  <si>
    <t>M09</t>
  </si>
  <si>
    <t>會計與外部接口</t>
  </si>
  <si>
    <t>管理待開票、發票、收款、收據及Peachtree同步。</t>
  </si>
  <si>
    <t>生成待開票、批量開票、收款登記、打印和同步</t>
  </si>
  <si>
    <t>FIN、ADMIN、IT</t>
  </si>
  <si>
    <t>待開票、發票、收款、會計客戶、保養合約、接口配置</t>
  </si>
  <si>
    <t>確認財務邊界、賬期、編號、接口版本和同步方向</t>
  </si>
  <si>
    <t>M10</t>
  </si>
  <si>
    <t>統計、客戶和基礎設置</t>
  </si>
  <si>
    <t>維護系統主數據、權限、字典和經營統計，為業務流程提供基礎。</t>
  </si>
  <si>
    <t>主數據維護、權限過濾、批量導入、存儲配置和多維統計</t>
  </si>
  <si>
    <t>ADMIN、CS、CR、TL、BOSS、IT</t>
  </si>
  <si>
    <t>統計報表、用戶管理、客戶管理、字典、Excel導入、存儲設置、登錄</t>
  </si>
  <si>
    <t>可演示；導入與存儲為流程演示</t>
  </si>
  <si>
    <t>準備真實主數據並確認權限、導入、存儲和統計口徑</t>
  </si>
  <si>
    <t>M11</t>
  </si>
  <si>
    <t>原需求補充與上線約束</t>
  </si>
  <si>
    <t>承接當前原型未完整覆蓋的編號、豁免、提醒、工單池、報銷和歸檔要求。</t>
  </si>
  <si>
    <t>以跨模組規則補充當前頁面和生產約束</t>
  </si>
  <si>
    <t>ADMIN、IT、CS、TL、MASTER、FIN</t>
  </si>
  <si>
    <t>跨流程約束</t>
  </si>
  <si>
    <t>編號規則、不可拍照豁免、SLA提醒、工單池、簡版報銷、分類映射、歸檔</t>
  </si>
  <si>
    <t>部分覆蓋或未覆蓋</t>
  </si>
  <si>
    <t>逐項確認是否進入生產範圍及驗收方式</t>
  </si>
  <si>
    <t>EC工單系統｜需求確認主表</t>
  </si>
  <si>
    <t>客戶逐條確認入口：需求、流程、原型、表單和驗收口徑保持同一行追溯。開發、測試和排期已移至“項目進度”。</t>
  </si>
  <si>
    <t>需求編號</t>
  </si>
  <si>
    <t>業務流程</t>
  </si>
  <si>
    <t>模組</t>
  </si>
  <si>
    <t>功能/需求</t>
  </si>
  <si>
    <t>業務說明</t>
  </si>
  <si>
    <t>關鍵規則</t>
  </si>
  <si>
    <t>表單/頁面</t>
  </si>
  <si>
    <t>關鍵欄位摘要</t>
  </si>
  <si>
    <t>客戶決策</t>
  </si>
  <si>
    <t>驗收口徑</t>
  </si>
  <si>
    <t>來源依據</t>
  </si>
  <si>
    <t>F001</t>
  </si>
  <si>
    <t>查看 7 個工單狀態的數量和分佈</t>
  </si>
  <si>
    <t>面向全部角色，支持查看 7 個工單狀態的數量和分佈；正式交付需結合真實數據、權限和驗收規則確認。</t>
  </si>
  <si>
    <t>點擊狀態卡片查看對應CALL列表；卡片數量按當前角色數據範圍彙總。</t>
  </si>
  <si>
    <t>首頁看板</t>
  </si>
  <si>
    <t>狀態數量、CALL編號、客戶/摘要、異常類型、時間/操作人/內容</t>
  </si>
  <si>
    <t>未決定</t>
  </si>
  <si>
    <t>全部角色可在“首頁看板”完成“查看 7 個工單狀態的數量和分佈”，可按權限查看或查詢，結果與關聯明細一致；狀態變化和業務限制符合關鍵規則。</t>
  </si>
  <si>
    <t>當前原型 + 最新需求清單</t>
  </si>
  <si>
    <t>F002</t>
  </si>
  <si>
    <t>查看本人、團隊或管理範圍內的今日待辦</t>
  </si>
  <si>
    <t>面向CS、CR、TL、ADMIN、BOSS，支持查看本人、團隊或管理範圍內的今日待辦；正式交付需結合真實數據、權限和驗收規則確認。</t>
  </si>
  <si>
    <t>CS、CR、TL、ADMIN、BOSS</t>
  </si>
  <si>
    <t>進入頁面查看本人、團隊或管理範圍內的今日待辦；點擊相關卡片或編號下鑽。點擊狀態卡片或待辦記錄進入對應列表/詳情；數據按角色範圍過濾。</t>
  </si>
  <si>
    <t>CS、CR、TL、ADMIN、BOSS可在“首頁看板”完成“查看本人、團隊或管理範圍內的今日待辦”，可按權限查看或查詢，結果與關聯明細一致；狀態變化和業務限制符合關鍵規則。</t>
  </si>
  <si>
    <t>F003</t>
  </si>
  <si>
    <t>查看異常 CALL、緊急事項、拒單和需關注事項</t>
  </si>
  <si>
    <t>面向CS、CR、TL、BOSS，支持查看異常 CALL、緊急事項、拒單和需關注事項；正式交付需結合真實數據、權限和驗收規則確認。</t>
  </si>
  <si>
    <t>CS、CR、TL、BOSS</t>
  </si>
  <si>
    <t>進入頁面查看異常 CALL、緊急事項、拒單和需關注事項；點擊相關卡片或編號下鑽。點擊狀態卡片或待辦記錄進入對應列表/詳情；數據按角色範圍過濾。</t>
  </si>
  <si>
    <t>CS、CR、TL、BOSS可在“首頁看板”完成“查看異常 CALL、緊急事項、拒單和需關注事項”，可按權限查看或查詢，結果與關聯明細一致；狀態變化和業務限制符合關鍵規則。</t>
  </si>
  <si>
    <t>F004</t>
  </si>
  <si>
    <t>查看最近業務動態、狀態時間線和最近來電</t>
  </si>
  <si>
    <t>面向全部角色，支持查看最近業務動態、狀態時間線和最近來電；正式交付需結合真實數據、權限和驗收規則確認。</t>
  </si>
  <si>
    <t>進入頁面查看最近業務動態、狀態時間線和最近來電；點擊相關卡片或編號下鑽。點擊狀態卡片或待辦記錄進入對應列表/詳情；數據按角色範圍過濾。</t>
  </si>
  <si>
    <t>全部角色可在“首頁看板”完成“查看最近業務動態、狀態時間線和最近來電”，可按權限查看或查詢，結果與關聯明細一致；狀態變化和業務限制符合關鍵規則。</t>
  </si>
  <si>
    <t>F005</t>
  </si>
  <si>
    <t>接收派單、拒單、完成、報價等業務通知</t>
  </si>
  <si>
    <t>面向相關角色，支持接收派單、拒單、完成、報價等業務通知；正式交付需結合真實數據、權限和驗收規則確認。</t>
  </si>
  <si>
    <t>相關角色</t>
  </si>
  <si>
    <t>點擊通知打開關聯業務；支持標記已讀。外部渠道需接口POC。</t>
  </si>
  <si>
    <t>通知中心</t>
  </si>
  <si>
    <t>通知類型、接收角色/人員、關聯編號、發送時間、已讀狀態</t>
  </si>
  <si>
    <t>流程演示</t>
  </si>
  <si>
    <t>相關角色可在“通知中心”完成“接收派單、拒單、完成、報價等業務通知”，可完成操作並形成可追溯記錄；狀態變化和業務限制符合關鍵規則。</t>
  </si>
  <si>
    <t>F006</t>
  </si>
  <si>
    <t>CALL 受理與工單管理</t>
  </si>
  <si>
    <t>記錄來電並判斷“僅答疑”或“創建工單”</t>
  </si>
  <si>
    <t>面向CS，支持記錄來電並判斷“僅答疑”或“創建工單”；正式交付需結合真實數據、權限和驗收規則確認。</t>
  </si>
  <si>
    <t>CS</t>
  </si>
  <si>
    <t>登記來電後選擇“僅答疑”或“創建CALL”；創建時進入新建CALL表單。</t>
  </si>
  <si>
    <t>CALL受理記錄</t>
  </si>
  <si>
    <t>客戶、聯繫人/電話、來源渠道、內容摘要、受理判斷、跟進備註</t>
  </si>
  <si>
    <t>CS可在“CALL受理記錄”完成“記錄來電並判斷“僅答疑”或“創建工單””，可完成操作並形成可追溯記錄；狀態變化和業務限制符合關鍵規則。</t>
  </si>
  <si>
    <t>F007</t>
  </si>
  <si>
    <t>新建工單、保存草稿、提交和取消</t>
  </si>
  <si>
    <t>面向CS、CR、ADMIN，支持新建工單、保存草稿、提交和取消；正式交付需結合真實數據、權限和驗收規則確認。</t>
  </si>
  <si>
    <t>CS、CR、ADMIN</t>
  </si>
  <si>
    <t>點擊新建，填寫並校驗必填項，可保存草稿、提交或取消。</t>
  </si>
  <si>
    <t>新建/編輯CALL</t>
  </si>
  <si>
    <t>CALL編號、任務編號、客戶/聯繫人、聯繫電話、CALL代碼、CALL類型、區域、標準地點/地址、問題描述、附件、優先級/緊急、保存方式</t>
  </si>
  <si>
    <t>CS、CR、ADMIN可在“新建/編輯CALL”完成“新建工單、保存草稿、提交和取消”，可完成操作並形成可追溯記錄；狀態變化和業務限制符合關鍵規則。</t>
  </si>
  <si>
    <t>F008</t>
  </si>
  <si>
    <t>選擇客戶、聯繫人並帶入客戶資料</t>
  </si>
  <si>
    <t>面向CS、CR，支持選擇客戶、聯繫人並帶入客戶資料；正式交付需結合真實數據、權限和驗收規則確認。</t>
  </si>
  <si>
    <t>點擊新建或編輯，系統生成編號；完成必填校驗後可保存草稿或提交。</t>
  </si>
  <si>
    <t>CS、CR可在“新建/編輯CALL”完成“選擇客戶、聯繫人並帶入客戶資料”，可完成操作並形成可追溯記錄；狀態變化和業務限制符合關鍵規則。</t>
  </si>
  <si>
    <t>F009</t>
  </si>
  <si>
    <t>填寫 CALL 代碼、類型、區域、標準地點、問題描述和附件</t>
  </si>
  <si>
    <t>面向CS、CR、TL，支持填寫 CALL 代碼、類型、區域、標準地點、問題描述和附件；正式交付需結合真實數據、權限和驗收規則確認。</t>
  </si>
  <si>
    <t>CS、CR、TL</t>
  </si>
  <si>
    <t>CS、CR、TL可在“新建/編輯CALL”完成“填寫 CALL 代碼、類型、區域、標準地點、問題描述和附件”，可完成操作並形成可追溯記錄；狀態變化和業務限制符合關鍵規則。</t>
  </si>
  <si>
    <t>F010</t>
  </si>
  <si>
    <t>按狀態、類型、區域、負責人、師傅、客戶和關鍵詞篩選</t>
  </si>
  <si>
    <t>面向CS、CR、TL、ADMIN，支持按狀態、類型、區域、負責人、師傅、客戶和關鍵詞篩選；正式交付需結合真實數據、權限和驗收規則確認。</t>
  </si>
  <si>
    <t>組合選擇狀態、類型、區域、人員、客戶或關鍵詞，列表即時刷新並支持清空。</t>
  </si>
  <si>
    <t>CALL列表與篩選</t>
  </si>
  <si>
    <t>關鍵詞、狀態、CALL類型、區域、負責人/師傅、客戶、編號/客戶/類型、狀態/負責人/更新時間</t>
  </si>
  <si>
    <t>CS、CR、TL、ADMIN可在“CALL列表與篩選”完成“按狀態、類型、區域、負責人、師傅、客戶和關鍵詞篩選”，可按權限查看或查詢，結果與關聯明細一致；狀態變化和業務限制符合關鍵規則。</t>
  </si>
  <si>
    <t>F011</t>
  </si>
  <si>
    <t>查看 CALL 詳情、處理記錄、催單記錄和狀態時間線</t>
  </si>
  <si>
    <t>面向相關業務角色，支持查看 CALL 詳情、處理記錄、催單記錄和狀態時間線；正式交付需結合真實數據、權限和驗收規則確認。</t>
  </si>
  <si>
    <t>相關業務角色</t>
  </si>
  <si>
    <t>進入頁面查看 CALL 詳情、處理記錄、催單記錄和狀態時間線；點擊相關卡片或編號下鑽。根據角色和狀態顯示完成、取消、補充、催單、編輯、關聯報價等操作；操作後寫入時間線。</t>
  </si>
  <si>
    <t>CALL詳情與操作</t>
  </si>
  <si>
    <t>CALL/任務編號、狀態/類型/區域、客戶/聯繫人/電話、地址/標準地點、TL/師傅/負責人、問題描述/附件、處理時間線、催單記錄、完成/取消原因</t>
  </si>
  <si>
    <t>相關業務角色可在“CALL詳情與操作”完成“查看 CALL 詳情、處理記錄、催單記錄和狀態時間線”，可按權限查看或查詢，結果與關聯明細一致；狀態變化和業務限制符合關鍵規則。</t>
  </si>
  <si>
    <t>F012</t>
  </si>
  <si>
    <t>直接完成、取消、補充資料、催單、編輯和關聯報價</t>
  </si>
  <si>
    <t>面向CS、CR、TL、ADMIN，支持直接完成、取消、補充資料、催單、編輯和關聯報價；正式交付需結合真實數據、權限和驗收規則確認。</t>
  </si>
  <si>
    <t>詳情頁按角色和當前狀態展示允許動作；確認後更新狀態並寫入時間線。</t>
  </si>
  <si>
    <t>CS、CR、TL、ADMIN可在“CALL詳情與操作”完成“直接完成、取消、補充資料、催單、編輯和關聯報價”，可完成操作並形成可追溯記錄；狀態變化和業務限制符合關鍵規則。</t>
  </si>
  <si>
    <t>F013</t>
  </si>
  <si>
    <t>FLOW-002 / FLOW-003</t>
  </si>
  <si>
    <t>使用“任務編號”作為分派中心獨立流水號，與 CALL 編號分離</t>
  </si>
  <si>
    <t>分派任務使用獨立任務編號，不能覆蓋CALL編號；兩個編號均需支持關聯查詢。</t>
  </si>
  <si>
    <t>TL、CR、ADMIN</t>
  </si>
  <si>
    <t>選擇任務後打開分派彈窗；系統推薦同區域可接單且負載最低的師傅，人工可按技能篩選並確認。</t>
  </si>
  <si>
    <t>分派中心/分派彈窗</t>
  </si>
  <si>
    <t>任務編號/CALL編號、客戶/區域/類型/描述、師傅姓名、區域/技能、今日負載、工作狀態、選擇師傅、單據類型、派工備註、分派歷史</t>
  </si>
  <si>
    <t>TL、CR、ADMIN可在“分派中心/分派彈窗”完成“使用“任務編號”作為分派中心獨立流水號，與 CALL 編號分離”，可完成操作並形成可追溯記錄；狀態變化和業務限制符合關鍵規則。</t>
  </si>
  <si>
    <t>F014</t>
  </si>
  <si>
    <t>FLOW-001 / FLOW-003</t>
  </si>
  <si>
    <t>查看待分派、已分派、申請審批和可接單師傅指標</t>
  </si>
  <si>
    <t>面向TL、CR、ADMIN，支持查看待分派、已分派、申請審批和可接單師傅指標；正式交付需結合真實數據、權限和驗收規則確認。</t>
  </si>
  <si>
    <t>進入頁面查看待分派、已分派、申請審批和可接單師傅指標；點擊相關卡片或編號下鑽。選擇任務後打開分派彈窗；系統推薦同區域可接單且負載最低的師傅，人工可按技能篩選並確認。</t>
  </si>
  <si>
    <t>TL、CR、ADMIN可在“分派中心/分派彈窗”完成“查看待分派、已分派、申請審批和可接單師傅指標”，可按權限查看或查詢，結果與關聯明細一致；狀態變化和業務限制符合關鍵規則。</t>
  </si>
  <si>
    <t>F015</t>
  </si>
  <si>
    <t>按任務編號、CALL、客戶、區域、狀態和類型搜索</t>
  </si>
  <si>
    <t>面向TL、CR，支持按任務編號、CALL、客戶、區域、狀態和類型搜索；正式交付需結合真實數據、權限和驗收規則確認。</t>
  </si>
  <si>
    <t>TL、CR</t>
  </si>
  <si>
    <t>設置條件後刷新結果，支持清空篩選；點擊記錄進入詳情。選擇任務後打開分派彈窗；系統推薦同區域可接單且負載最低的師傅，人工可按技能篩選並確認。</t>
  </si>
  <si>
    <t>TL、CR可在“分派中心/分派彈窗”完成“按任務編號、CALL、客戶、區域、狀態和類型搜索”，可按權限查看或查詢，結果與關聯明細一致；狀態變化和業務限制符合關鍵規則。</t>
  </si>
  <si>
    <t>F016</t>
  </si>
  <si>
    <t>在同區域的可接單師傅中推薦負載最低者；無候選人時不跨區推薦、不自動派單</t>
  </si>
  <si>
    <t>系統僅在同區域、啟用且可接單的師傅中推薦當前負載最低者，不自動執行派單。</t>
  </si>
  <si>
    <t>TL、CR可在“分派中心/分派彈窗”完成“在同區域的可接單師傅中推薦負載最低者；無候選人時不跨區推薦、不自動派單”，可完成操作並形成可追溯記錄；狀態變化和業務限制符合關鍵規則。</t>
  </si>
  <si>
    <t>F017</t>
  </si>
  <si>
    <t>人工按師傅技能篩選候選人；技能不參與自動推薦</t>
  </si>
  <si>
    <t>技能僅供人工篩選，不參與自動推薦優先級。</t>
  </si>
  <si>
    <t>TL、CR可在“分派中心/分派彈窗”完成“人工按師傅技能篩選候選人；技能不參與自動推薦”，可按權限查看或查詢，結果與關聯明細一致；狀態變化和業務限制符合關鍵規則。</t>
  </si>
  <si>
    <t>F018</t>
  </si>
  <si>
    <t>請假師傅置灰且不可分派；負載過高師傅標記為忙碌</t>
  </si>
  <si>
    <t>請假師傅不可分派；高負載閾值和請假數據來源需在POC確認。</t>
  </si>
  <si>
    <t>TL、CR、ADMIN可在“分派中心/分派彈窗”完成“請假師傅置灰且不可分派；負載過高師傅標記為忙碌”，可完成操作並形成可追溯記錄；狀態變化和業務限制符合關鍵規則。</t>
  </si>
  <si>
    <t>F019</t>
  </si>
  <si>
    <t>首次分派、改派、派工備註和分派日誌</t>
  </si>
  <si>
    <t>面向TL、CR，支持首次分派、改派、派工備註和分派日誌；正式交付需結合真實數據、權限和驗收規則確認。</t>
  </si>
  <si>
    <t>選擇任務與師傅，填寫備註後確認；改派保留原分派記錄。</t>
  </si>
  <si>
    <t>TL、CR可在“分派中心/分派彈窗”完成“首次分派、改派、派工備註和分派日誌”，可完成操作並形成可追溯記錄；狀態變化和業務限制符合關鍵規則。</t>
  </si>
  <si>
    <t>F020</t>
  </si>
  <si>
    <t>分派權限按“區域主管”及“對應區域 CR”限制</t>
  </si>
  <si>
    <t>TL、區域CR與管理員的可見和可操作範圍需形成正式權限矩陣。</t>
  </si>
  <si>
    <t>TL、CR、ADMIN可在“分派中心/分派彈窗”完成“分派權限按“區域主管”及“對應區域 CR”限制”，可完成操作並形成可追溯記錄；狀態變化和業務限制符合關鍵規則。</t>
  </si>
  <si>
    <t>F021</t>
  </si>
  <si>
    <t>分派時由系統自動判定領取完工單或服務報告</t>
  </si>
  <si>
    <t>系統依據物料、採購或報價關聯自動判斷領取SR或完工單。</t>
  </si>
  <si>
    <t>TL、CR可在“分派中心/分派彈窗”完成“分派時由系統自動判定領取完工單或服務報告”，可完成操作並形成可追溯記錄；狀態變化和業務限制符合關鍵規則。</t>
  </si>
  <si>
    <t>F022</t>
  </si>
  <si>
    <t>師傅接單、拒單並填寫拒單原因</t>
  </si>
  <si>
    <t>面向MASTER，支持師傅接單、拒單並填寫拒單原因；正式交付需結合真實數據、權限和驗收規則確認。</t>
  </si>
  <si>
    <t>MASTER</t>
  </si>
  <si>
    <t>師傅點擊收到或拒單；拒單必須填寫原因並退回待分派。</t>
  </si>
  <si>
    <t>師傅首頁/CALL列表/詳情</t>
  </si>
  <si>
    <t>CALL編號/狀態、客戶/區域/地址、類型/優先級、問題描述/附件、接單/拒單、預計到場/開始時間</t>
  </si>
  <si>
    <t>MASTER可在“師傅首頁/CALL列表/詳情”完成“師傅接單、拒單並填寫拒單原因”，可完成操作並形成可追溯記錄；狀態變化和業務限制符合關鍵規則。</t>
  </si>
  <si>
    <t>F023</t>
  </si>
  <si>
    <t>主管通過或不通過分派申請</t>
  </si>
  <si>
    <t>面向TL，支持主管通過或不通過分派申請；正式交付需結合真實數據、權限和驗收規則確認。</t>
  </si>
  <si>
    <t>TL</t>
  </si>
  <si>
    <t>打開申請明細，核對任務和申請人後審批；結果回寫任務並通知相關人員。</t>
  </si>
  <si>
    <t>分派申請審批</t>
  </si>
  <si>
    <t>任務編號、申請師傅、申請時間、審批結果、審批意見</t>
  </si>
  <si>
    <t>TL可在“分派申請審批”完成“主管通過或不通過分派申請”，可完成操作並形成可追溯記錄；狀態變化和業務限制符合關鍵規則。</t>
  </si>
  <si>
    <t>F024</t>
  </si>
  <si>
    <t>FLOW-001 / FLOW-004</t>
  </si>
  <si>
    <t>師傅首頁查看今日工作、待確認、待處理和處理中 CALL</t>
  </si>
  <si>
    <t>面向MASTER，支持師傅首頁查看今日工作、待確認、待處理和處理中 CALL；正式交付需結合真實數據、權限和驗收規則確認。</t>
  </si>
  <si>
    <t>進入頁面查看相關記錄；點擊卡片或編號下鑽。通過底部導航切換首頁和CALL；點擊任務查看詳情，按狀態接單、拒單或開始處理。</t>
  </si>
  <si>
    <t>MASTER可在“師傅首頁/CALL列表/詳情”完成“師傅首頁查看今日工作、待確認、待處理和處理中 CALL”，可按權限查看或查詢，結果與關聯明細一致；狀態變化和業務限制符合關鍵規則。</t>
  </si>
  <si>
    <t>F025</t>
  </si>
  <si>
    <t>查看本人任務列表、優先處理事項和工單詳情</t>
  </si>
  <si>
    <t>面向MASTER，支持查看本人任務列表、優先處理事項和工單詳情；正式交付需結合真實數據、權限和驗收規則確認。</t>
  </si>
  <si>
    <t>進入頁面查看本人任務列表、優先處理事項和工單詳情；點擊相關卡片或編號下鑽。通過底部導航切換首頁和CALL；點擊任務查看詳情，按狀態接單、拒單或開始處理。</t>
  </si>
  <si>
    <t>MASTER可在“師傅首頁/CALL列表/詳情”完成“查看本人任務列表、優先處理事項和工單詳情”，可按權限查看或查詢，結果與關聯明細一致；狀態變化和業務限制符合關鍵規則。</t>
  </si>
  <si>
    <t>F026</t>
  </si>
  <si>
    <t>接單、拒單、開始處理、記錄到場時間</t>
  </si>
  <si>
    <t>面向MASTER，支持接單、拒單、開始處理、記錄到場時間；正式交付需結合真實數據、權限和驗收規則確認。</t>
  </si>
  <si>
    <t>師傅從詳情點擊接單、拒單或開始處理；每個動作記錄操作人與時間。</t>
  </si>
  <si>
    <t>MASTER可在“師傅首頁/CALL列表/詳情”完成“接單、拒單、開始處理、記錄到場時間”，可完成操作並形成可追溯記錄；狀態變化和業務限制符合關鍵規則。</t>
  </si>
  <si>
    <t>F027</t>
  </si>
  <si>
    <t>填寫服務報告編號、系統、目的、完成工作和跟進事項</t>
  </si>
  <si>
    <t>面向MASTER，支持填寫服務報告編號、系統、目的、完成工作和跟進事項；正式交付需結合真實數據、權限和驗收規則確認。</t>
  </si>
  <si>
    <t>完成現場簽到後進入服務中；上傳前後照片並填寫處理記錄，暫存或進入完工報告。</t>
  </si>
  <si>
    <t>現場處理/服務報告</t>
  </si>
  <si>
    <t>到場時間、位置說明、SR編號、系統/設備、服務目的、完成工作、跟進事項、Before照片、After照片、車資/材料記錄、是否需要報價、其他附件</t>
  </si>
  <si>
    <t>MASTER可在“現場處理/服務報告”完成“填寫服務報告編號、系統、目的、完成工作和跟進事項”，可完成操作並形成可追溯記錄；狀態變化和業務限制符合關鍵規則。</t>
  </si>
  <si>
    <t>F028</t>
  </si>
  <si>
    <t>上傳服務報告圖片並模擬帶入報告數據</t>
  </si>
  <si>
    <t>當前僅演示圖片帶入流程，真實OCR識別能力需另行POC。</t>
  </si>
  <si>
    <t>選擇文件並校驗格式，預覽後保存或提交；失敗項保留原因。完成現場簽到後進入服務中；上傳前後照片並填寫處理記錄，暫存或進入完工報告。</t>
  </si>
  <si>
    <t>MASTER可在“現場處理/服務報告”完成“上傳服務報告圖片並模擬帶入報告數據”，可完成操作並形成可追溯記錄；狀態變化和業務限制符合關鍵規則。</t>
  </si>
  <si>
    <t>F029</t>
  </si>
  <si>
    <t>上傳現場照片、材料照片、附件和車資記錄</t>
  </si>
  <si>
    <t>面向MASTER，支持上傳現場照片、材料照片、附件和車資記錄；正式交付需結合真實數據、權限和驗收規則確認。</t>
  </si>
  <si>
    <t>MASTER可在“現場處理/服務報告”完成“上傳現場照片、材料照片、附件和車資記錄”，可完成操作並形成可追溯記錄；狀態變化和業務限制符合關鍵規則。</t>
  </si>
  <si>
    <t>F030</t>
  </si>
  <si>
    <t>標記是否需要後補報價、材料或客戶確認</t>
  </si>
  <si>
    <t>面向MASTER、QUO、PUR，支持標記是否需要後補報價、材料或客戶確認；正式交付需結合真實數據、權限和驗收規則確認。</t>
  </si>
  <si>
    <t>MASTER、QUO、PUR</t>
  </si>
  <si>
    <t>MASTER、QUO、PUR可在“現場處理/服務報告”完成“標記是否需要後補報價、材料或客戶確認”，可完成操作並形成可追溯記錄；狀態變化和業務限制符合關鍵規則。</t>
  </si>
  <si>
    <t>F031</t>
  </si>
  <si>
    <t>FLOW-001 / FLOW-005</t>
  </si>
  <si>
    <t>記錄滿意度、電子簽名或客戶不在場</t>
  </si>
  <si>
    <t>面向MASTER、客戶，支持記錄滿意度、電子簽名或客戶不在場；正式交付需結合真實數據、權限和驗收規則確認。</t>
  </si>
  <si>
    <t>選擇紙質或電子完工單，補齊材料、照片和簽章；暫存或提交，提交後進入確認節點。</t>
  </si>
  <si>
    <t>完工單與客戶確認</t>
  </si>
  <si>
    <t>完工單編號、完工內容、材料明細、滿意度、電子簽名、客戶不在場、完工照片/紙質單照片、提交備註</t>
  </si>
  <si>
    <t>MASTER、客戶可在“完工單與客戶確認”完成“記錄滿意度、電子簽名或客戶不在場”，可完成操作並形成可追溯記錄；狀態變化和業務限制符合關鍵規則。</t>
  </si>
  <si>
    <t>F032</t>
  </si>
  <si>
    <t>填寫完工單編號、材料、照片、簽章和備註</t>
  </si>
  <si>
    <t>面向MASTER，支持填寫完工單編號、材料、照片、簽章和備註；正式交付需結合真實數據、權限和驗收規則確認。</t>
  </si>
  <si>
    <t>MASTER可在“完工單與客戶確認”完成“填寫完工單編號、材料、照片、簽章和備註”，可完成操作並形成可追溯記錄；狀態變化和業務限制符合關鍵規則。</t>
  </si>
  <si>
    <t>F033</t>
  </si>
  <si>
    <t>提交SR/完工資料並進入主管完工確認</t>
  </si>
  <si>
    <t>師傅提交SR或完工資料後，工單進入“待完工確認”；由CR/TL確認後才進入已完成。</t>
  </si>
  <si>
    <t>師傅提交不等同正式完工；CR/TL可確認、退回補充並記錄意見。</t>
  </si>
  <si>
    <t>完工單與客戶確認 / CALL詳情</t>
  </si>
  <si>
    <t>可演示（2026-09-27修訂）</t>
  </si>
  <si>
    <t>MASTER可在“完工單與客戶確認 / CALL詳情”完成“提交SR/完工資料並進入主管完工確認”，可完成操作並形成可追溯記錄；狀態變化和業務限制符合關鍵規則。</t>
  </si>
  <si>
    <t>當前原型 + 最新需求清單 + 2026-09-27業務流程討論</t>
  </si>
  <si>
    <t>F034</t>
  </si>
  <si>
    <t>離線保存處理記錄，恢復網絡後上傳</t>
  </si>
  <si>
    <t>需要在真機弱網環境驗證離線緩存、衝突處理和恢復上傳。</t>
  </si>
  <si>
    <t>選擇文件並校驗格式，預覽後保存或提交；失敗項保留原因。選擇紙質或電子完工單，補齊材料、照片和簽章；暫存或提交，提交後進入確認節點。</t>
  </si>
  <si>
    <t>MASTER可在“完工單與客戶確認”完成“離線保存處理記錄，恢復網絡後上傳”，可完成操作並形成可追溯記錄；狀態變化和業務限制符合關鍵規則。</t>
  </si>
  <si>
    <t>F035</t>
  </si>
  <si>
    <t>FLOW-001 / FLOW-008</t>
  </si>
  <si>
    <t>按服務報告（SR）和完工單（CP）分類查看文件夾</t>
  </si>
  <si>
    <t>面向CS、CR、TL、ADMIN，支持按服務報告（SR）和完工單（CP）分類查看文件夾；正式交付需結合真實數據、權限和驗收規則確認。</t>
  </si>
  <si>
    <t>進入頁面查看相關記錄；點擊卡片或編號下鑽。按編號、客戶、區域和狀態篩選；查看報告後可跳轉CALL或選擇渠道發送並記錄日誌。</t>
  </si>
  <si>
    <t>報告管理/發送</t>
  </si>
  <si>
    <t>報告類型/狀態、編號/客戶/區域/內容、報告編號、關聯CALL、客戶/簽名狀態、發送渠道、收件人、發送時間/結果</t>
  </si>
  <si>
    <t>CS、CR、TL、ADMIN可在“報告管理/發送”完成“按服務報告（SR）和完工單（CP）分類查看文件夾”，可按權限查看或查詢，結果與關聯明細一致；狀態變化和業務限制符合關鍵規則。</t>
  </si>
  <si>
    <t>F036</t>
  </si>
  <si>
    <t>按區域、狀態、編號、客戶和內容搜索報告</t>
  </si>
  <si>
    <t>面向CS、CR、TL、ADMIN，支持按區域、狀態、編號、客戶和內容搜索報告；正式交付需結合真實數據、權限和驗收規則確認。</t>
  </si>
  <si>
    <t>設置條件後刷新結果，支持清空篩選；點擊記錄進入詳情。按編號、客戶、區域和狀態篩選；查看報告後可跳轉CALL或選擇渠道發送並記錄日誌。</t>
  </si>
  <si>
    <t>CS、CR、TL、ADMIN可在“報告管理/發送”完成“按區域、狀態、編號、客戶和內容搜索報告”，可按權限查看或查詢，結果與關聯明細一致；狀態變化和業務限制符合關鍵規則。</t>
  </si>
  <si>
    <t>F037</t>
  </si>
  <si>
    <t>查看報告詳情並跳轉關聯 CALL</t>
  </si>
  <si>
    <t>面向相關業務角色，支持查看報告詳情並跳轉關聯 CALL；正式交付需結合真實數據、權限和驗收規則確認。</t>
  </si>
  <si>
    <t>進入頁面查看報告詳情並跳轉關聯 CALL；點擊相關卡片或編號下鑽。按編號、客戶、區域和狀態篩選；查看報告後可跳轉CALL或選擇渠道發送並記錄日誌。</t>
  </si>
  <si>
    <t>相關業務角色可在“報告管理/發送”完成“查看報告詳情並跳轉關聯 CALL”，可按權限查看或查詢，結果與關聯明細一致；狀態變化和業務限制符合關鍵規則。</t>
  </si>
  <si>
    <t>F038</t>
  </si>
  <si>
    <t>通過 Email 或 WhatsApp 發送報告</t>
  </si>
  <si>
    <t>原型可演示發送動作，Email和WhatsApp真實通道未接入。</t>
  </si>
  <si>
    <t>按編號、客戶、區域和狀態篩選；查看報告後可跳轉CALL或選擇渠道發送並記錄日誌。</t>
  </si>
  <si>
    <t>CS、CR可在“報告管理/發送”完成“通過 Email 或 WhatsApp 發送報告”，可完成操作並形成可追溯記錄；狀態變化和業務限制符合關鍵規則。</t>
  </si>
  <si>
    <t>F039</t>
  </si>
  <si>
    <t>記錄發送對象、方式、時間和發送日誌</t>
  </si>
  <si>
    <t>面向CS、CR、ADMIN，支持記錄發送對象、方式、時間和發送日誌；正式交付需結合真實數據、權限和驗收規則確認。</t>
  </si>
  <si>
    <t>CS、CR、ADMIN可在“報告管理/發送”完成“記錄發送對象、方式、時間和發送日誌”，可完成操作並形成可追溯記錄；狀態變化和業務限制符合關鍵規則。</t>
  </si>
  <si>
    <t>F040</t>
  </si>
  <si>
    <t>新增、編輯、刪除、查看和篩選報價</t>
  </si>
  <si>
    <t>面向QUO、CR、ADMIN，支持新增、編輯、刪除、查看和篩選報價；正式交付需結合真實數據、權限和驗收規則確認。</t>
  </si>
  <si>
    <t>QUO、CR、ADMIN</t>
  </si>
  <si>
    <t>通過列表新建、查看、編輯或刪除；刪除和金額變更權限需確認。</t>
  </si>
  <si>
    <t>報價單/報價明細</t>
  </si>
  <si>
    <t>報價編號、報價標題/類別、來源/CALL/SR/客戶、報價負責人、報價日期/回覆截止/有效期、物料/描述/數量/單位、單價/稅率/總金額、歷史成本/供應商、報價狀態/中單結果、版本/修訂記錄、報價附件</t>
  </si>
  <si>
    <t>QUO、CR、ADMIN可在“報價單/報價明細”完成“新增、編輯、刪除、查看和篩選報價”，可按權限查看或查詢，結果與關聯明細一致；狀態變化和業務限制符合關鍵規則。</t>
  </si>
  <si>
    <t>F041</t>
  </si>
  <si>
    <t>維護報價類別M/P/M+P、明細、金額和有效期</t>
  </si>
  <si>
    <t>報價需明確M、P或M+P類別；M生成維保計劃，P進入MR及倉庫通協同，M+P兩條分支可獨立推進。</t>
  </si>
  <si>
    <t>QUO</t>
  </si>
  <si>
    <t>M+P不強制固定先後順序；類別和已接受版本共同決定後續業務。</t>
  </si>
  <si>
    <t>QUO可在“報價單/報價明細”完成“維護報價類別M/P/M+P、明細、金額和有效期”，可完成操作並形成可追溯記錄；狀態變化和業務限制符合關鍵規則。</t>
  </si>
  <si>
    <t>F042</t>
  </si>
  <si>
    <t>顯示歷史物料成本價和供應商參考，不鎖定庫存</t>
  </si>
  <si>
    <t>面向QUO，支持顯示歷史物料成本價和供應商參考，不鎖定庫存；正式交付需結合真實數據、權限和驗收規則確認。</t>
  </si>
  <si>
    <t>新建或編輯報價，選擇來源與客戶，錄入明細後保存；狀態變化觸發修訂或中單聯動。</t>
  </si>
  <si>
    <t>QUO可在“報價單/報價明細”完成“顯示歷史物料成本價和供應商參考，不鎖定庫存”，可完成操作並形成可追溯記錄；狀態變化和業務限制符合關鍵規則。</t>
  </si>
  <si>
    <t>F043</t>
  </si>
  <si>
    <t>從CALL、SR、維保或Tender創建並關聯報價</t>
  </si>
  <si>
    <t>報價可由普通CALL、現場SR、維保場景或Tender中標結果觸發，並保留來源關聯。</t>
  </si>
  <si>
    <t>QUO、CR、MASTER</t>
  </si>
  <si>
    <t>Tender中標僅創建或關聯報價，不等於客戶接受報價或正式中單。</t>
  </si>
  <si>
    <t>QUO、CR、MASTER可在“報價單/報價明細”完成“從CALL、SR、維保或Tender創建並關聯報價”，可完成操作並形成可追溯記錄；狀態變化和業務限制符合關鍵規則。</t>
  </si>
  <si>
    <t>F044</t>
  </si>
  <si>
    <t>維護報價版本、修訂記錄、客戶接受版本和中單結果</t>
  </si>
  <si>
    <t>報價保留R0/R1/R2等修訂歷史；客戶接受最終版本後由QUO確認中單，並鎖定接受版本及物料行。</t>
  </si>
  <si>
    <t>QUO、BOSS</t>
  </si>
  <si>
    <t>中單隻能基於客戶已接受版本；修訂不得覆蓋歷史版本。</t>
  </si>
  <si>
    <t>QUO、BOSS可在“報價單/報價明細”完成“維護報價版本、修訂記錄、客戶接受版本和中單結果”，可完成操作並形成可追溯記錄；狀態變化和業務限制符合關鍵規則。</t>
  </si>
  <si>
    <t>F045</t>
  </si>
  <si>
    <t>維護報價組通訊錄和報價負責人</t>
  </si>
  <si>
    <t>面向QUO、ADMIN，支持維護報價組通訊錄和報價負責人；正式交付需結合真實數據、權限和驗收規則確認。</t>
  </si>
  <si>
    <t>QUO、ADMIN</t>
  </si>
  <si>
    <t>點擊新增或編輯，完成校驗後保存；停用或刪除需二次確認。新建或編輯報價，選擇來源與客戶，錄入明細後保存；狀態變化觸發修訂或中單聯動。</t>
  </si>
  <si>
    <t>QUO、ADMIN可在“報價單/報價明細”完成“維護報價組通訊錄和報價負責人”，可完成操作並形成可追溯記錄；狀態變化和業務限制符合關鍵規則。</t>
  </si>
  <si>
    <t>F046</t>
  </si>
  <si>
    <t>新建、導入、編輯、刪除和搜索標書</t>
  </si>
  <si>
    <t>面向TENDER、ADMIN，支持新建、導入、編輯、刪除和搜索標書；正式交付需結合真實數據、權限和驗收規則確認。</t>
  </si>
  <si>
    <t>TENDER、ADMIN</t>
  </si>
  <si>
    <t>支持新建或從文件導入標書，校驗後進入標書列表。</t>
  </si>
  <si>
    <t>標書表單</t>
  </si>
  <si>
    <t>標書編號/名稱、標書來源、回標方式、收到日期/截止日期、負責人、投標狀態/中標結果、招標文件/往來資料、內部備註</t>
  </si>
  <si>
    <t>TENDER、ADMIN可在“標書表單”完成“新建、導入、編輯、刪除和搜索標書”，可按權限查看或查詢，結果與關聯明細一致；狀態變化和業務限制符合關鍵規則。</t>
  </si>
  <si>
    <t>F047</t>
  </si>
  <si>
    <t>維護標書來源、回標方式、截止日期和負責人</t>
  </si>
  <si>
    <t>面向TENDER，支持維護標書來源、回標方式、截止日期和負責人；正式交付需結合真實數據、權限和驗收規則確認。</t>
  </si>
  <si>
    <t>TENDER</t>
  </si>
  <si>
    <t>點擊新增或編輯，完成校驗後保存；停用或刪除需二次確認。支持新增或導入；按截止日期倒計時提醒，維護投標狀態和中標結果。</t>
  </si>
  <si>
    <t>TENDER可在“標書表單”完成“維護標書來源、回標方式、截止日期和負責人”，可完成操作並形成可追溯記錄；狀態變化和業務限制符合關鍵規則。</t>
  </si>
  <si>
    <t>F048</t>
  </si>
  <si>
    <t>倒計時查看截止日期、投標狀態和中標結果</t>
  </si>
  <si>
    <t>面向TENDER、BOSS，支持倒計時查看截止日期、投標狀態和中標結果；正式交付需結合真實數據、權限和驗收規則確認。</t>
  </si>
  <si>
    <t>TENDER、BOSS</t>
  </si>
  <si>
    <t>進入頁面查看相關記錄；點擊卡片或編號下鑽。支持新增或導入；按截止日期倒計時提醒，維護投標狀態和中標結果。</t>
  </si>
  <si>
    <t>TENDER、BOSS可在“標書表單”完成“倒計時查看截止日期、投標狀態和中標結果”，可按權限查看或查詢，結果與關聯明細一致；狀態變化和業務限制符合關鍵規則。</t>
  </si>
  <si>
    <t>F049</t>
  </si>
  <si>
    <t>管理標書附件、往來資料和內部備註</t>
  </si>
  <si>
    <t>面向TENDER，支持管理標書附件、往來資料和內部備註；正式交付需結合真實數據、權限和驗收規則確認。</t>
  </si>
  <si>
    <t>TENDER可在“標書表單”完成“管理標書附件、往來資料和內部備註”，可完成操作並形成可追溯記錄；狀態變化和業務限制符合關鍵規則。</t>
  </si>
  <si>
    <t>F050</t>
  </si>
  <si>
    <t>按區域、技能、日期和重複週期安排標書相關師傅</t>
  </si>
  <si>
    <t>面向TENDER、TL，支持按區域、技能、日期和重複週期安排標書相關師傅；正式交付需結合真實數據、權限和驗收規則確認。</t>
  </si>
  <si>
    <t>TENDER、TL</t>
  </si>
  <si>
    <t>選擇標書與師傅，設置日期和重複週期；保存後生成排程記錄。</t>
  </si>
  <si>
    <t>標書師傅排程</t>
  </si>
  <si>
    <t>標書、師傅、開始/結束日期、重複週期、備註</t>
  </si>
  <si>
    <t>TENDER、TL可在“標書師傅排程”完成“按區域、技能、日期和重複週期安排標書相關師傅”，可完成操作並形成可追溯記錄；狀態變化和業務限制符合關鍵規則。</t>
  </si>
  <si>
    <t>F051</t>
  </si>
  <si>
    <t>報價中單後按客戶接受版本生成關聯MR</t>
  </si>
  <si>
    <t>QUO確認中單後，系統按客戶最終接受版本中的P類物料行生成MR，並保留報價、CALL和物料關聯。</t>
  </si>
  <si>
    <t>QUO、CR、TL、系統</t>
  </si>
  <si>
    <t>僅使用客戶已接受並鎖定的物料行；MR生成規則和明細來源仍需客戶確認。</t>
  </si>
  <si>
    <t>報價詳情 / MR狀態</t>
  </si>
  <si>
    <t>報價編號、接受版本、MR編號、物料編碼、數量、需求日期、關聯CALL</t>
  </si>
  <si>
    <t>流程演示；接口未接入</t>
  </si>
  <si>
    <t>QUO、CR、TL、系統可在“報價詳情 / MR狀態”完成“報價中單後按客戶接受版本生成關聯MR”，可完成操作並形成可追溯記錄；狀態變化和業務限制符合關鍵規則。</t>
  </si>
  <si>
    <t>F052</t>
  </si>
  <si>
    <t>向倉庫通發送MR並同步備貨狀態</t>
  </si>
  <si>
    <t>EC將MR協同信息發送至外部倉庫通，並接收備貨狀態；EC不承擔採購、入庫和揀貨的人工執行。</t>
  </si>
  <si>
    <t>同步方向、頻率、狀態字典、匹配編號、異常重試和數據主責均待接口確認。</t>
  </si>
  <si>
    <t>MR狀態 / 外部接口監控</t>
  </si>
  <si>
    <t>MR編號、外部單號、同步狀態、倉庫狀態、更新時間、異常信息</t>
  </si>
  <si>
    <t>原型暫行；倉庫通未接入</t>
  </si>
  <si>
    <t>系統、倉庫通、CR、TL可在“MR狀態 / 外部接口監控”完成“向倉庫通發送MR並同步備貨狀態”，可完成操作並形成可追溯記錄；狀態變化和業務限制符合關鍵規則。</t>
  </si>
  <si>
    <t>F053</t>
  </si>
  <si>
    <t>查看倉庫通返回的物料、庫存或供應信息</t>
  </si>
  <si>
    <t>EC按確認的接口範圍展示倉庫通返回的物料準備信息；供應商和庫存主數據是否回傳仍待確認。</t>
  </si>
  <si>
    <t>CR、TL、QUO、系統</t>
  </si>
  <si>
    <t>不在EC重複維護倉庫通已負責的採購或庫存主數據。</t>
  </si>
  <si>
    <t>MR狀態 / 物料準備詳情</t>
  </si>
  <si>
    <t>物料編碼、物料名稱、需求數量、已備數量、預計就緒日期、來源系統</t>
  </si>
  <si>
    <t>部分覆蓋；接口邊界待確認</t>
  </si>
  <si>
    <t>CR、TL、QUO、系統可在“MR狀態 / 物料準備詳情”完成“查看倉庫通返回的物料、庫存或供應信息”，可按權限查看或查詢，結果與關聯明細一致；狀態變化和業務限制符合關鍵規則。</t>
  </si>
  <si>
    <t>F054</t>
  </si>
  <si>
    <t>關聯報價、CALL、MR、外部單號和倉庫狀態</t>
  </si>
  <si>
    <t>通過穩定編號追溯報價中單、MR、倉庫通外部單據、原CALL及後續派工關係。</t>
  </si>
  <si>
    <t>關聯編號不可互相覆蓋；任一編號可查詢完整業務鏈。</t>
  </si>
  <si>
    <t>MR狀態 / 關聯記錄</t>
  </si>
  <si>
    <t>報價編號、CALL編號、MR編號、外部單號、當前狀態、更新時間</t>
  </si>
  <si>
    <t>部分覆蓋；接口欄位待確認</t>
  </si>
  <si>
    <t>CR、TL、QUO、系統可在“MR狀態 / 關聯記錄”完成“關聯報價、CALL、MR、外部單號和倉庫狀態”，可完成操作並形成可追溯記錄；狀態變化和業務限制符合關鍵規則。</t>
  </si>
  <si>
    <t>F055</t>
  </si>
  <si>
    <t>物料達到可派工條件後通知CR/TL確認正式時間</t>
  </si>
  <si>
    <t>倉庫通返回滿足條件的備貨狀態後，EC通知CR/TL確認客戶正式時間和可派工條件。</t>
  </si>
  <si>
    <t>倉庫通、系統、CR、TL</t>
  </si>
  <si>
    <t>系統不得僅憑任意到貨狀態自動派工；允許派工的倉庫狀態和客戶時間確認規則待定。</t>
  </si>
  <si>
    <t>MR狀態 / 分派中心</t>
  </si>
  <si>
    <t>倉庫狀態、可派工標識、預計日期、客戶確認時間、確認人、確認意見</t>
  </si>
  <si>
    <t>流程演示；門檻待確認</t>
  </si>
  <si>
    <t>倉庫通、系統、CR、TL可在“MR狀態 / 分派中心”完成“物料達到可派工條件後通知CR/TL確認正式時間”，可完成操作並形成可追溯記錄；狀態變化和業務限制符合關鍵規則。</t>
  </si>
  <si>
    <t>F056</t>
  </si>
  <si>
    <t>建立物料就緒後的後續安裝或維修任務關聯</t>
  </si>
  <si>
    <t>物料就緒並確認正式時間後進入派工；複用原工單還是創建關聯工單由客戶定稿。</t>
  </si>
  <si>
    <t>CR、TL、系統</t>
  </si>
  <si>
    <t>不得擅自採用原工單編號加後綴；編號和關聯方式列為待確認。</t>
  </si>
  <si>
    <t>MR狀態 / CALL詳情 / 分派中心</t>
  </si>
  <si>
    <t>原CALL編號、關聯任務編號、任務類型、正式時間、物料就緒狀態</t>
  </si>
  <si>
    <t>流程演示；建單方式待確認</t>
  </si>
  <si>
    <t>CR、TL、系統可在“MR狀態 / CALL詳情 / 分派中心”完成“建立物料就緒後的後續安裝或維修任務關聯”，可完成操作並形成可追溯記錄；狀態變化和業務限制符合關鍵規則。</t>
  </si>
  <si>
    <t>F057</t>
  </si>
  <si>
    <t>查看待開票項目、篩選、批量開票和打印</t>
  </si>
  <si>
    <t>面向FIN，支持查看待開票項目、篩選、批量開票和打印；正式交付需結合真實數據、權限和驗收規則確認。</t>
  </si>
  <si>
    <t>FIN</t>
  </si>
  <si>
    <t>篩選待開票記錄，支持全選、批量開票和打印；每次操作寫入日誌。</t>
  </si>
  <si>
    <t>待開票/發票管理</t>
  </si>
  <si>
    <t>Job Code/客戶、描述/類型、開票金額、Billing Period、服務起止日期、付款賬期、合約/附件、發票/收款狀態</t>
  </si>
  <si>
    <t>FIN可在“待開票/發票管理”完成“查看待開票項目、篩選、批量開票和打印”，可按權限查看或查詢，結果與關聯明細一致；狀態變化和業務限制符合關鍵規則。</t>
  </si>
  <si>
    <t>F058</t>
  </si>
  <si>
    <t>管理發票金額、賬期、重印和收款狀態</t>
  </si>
  <si>
    <t>面向FIN，支持管理發票金額、賬期、重印和收款狀態；正式交付需結合真實數據、權限和驗收規則確認。</t>
  </si>
  <si>
    <t>點擊新增或編輯，完成校驗後保存；停用或刪除需二次確認。篩選或勾選待開票記錄後批量開票；可查看、重印及更新收款狀態。</t>
  </si>
  <si>
    <t>FIN可在“待開票/發票管理”完成“管理發票金額、賬期、重印和收款狀態”，可完成操作並形成可追溯記錄；狀態變化和業務限制符合關鍵規則。</t>
  </si>
  <si>
    <t>F059</t>
  </si>
  <si>
    <t>管理收款、收據編號和收據打印</t>
  </si>
  <si>
    <t>面向FIN，支持管理收款、收據編號和收據打印；正式交付需結合真實數據、權限和驗收規則確認。</t>
  </si>
  <si>
    <t>點擊新增或編輯，完成校驗後保存；停用或刪除需二次確認。選擇發票，錄入收款信息並保存；系統生成收據編號，可打印或重印。</t>
  </si>
  <si>
    <t>收款/收據</t>
  </si>
  <si>
    <t>發票編號/客戶、收款日期、金額、方式、收據編號、打印狀態、備註</t>
  </si>
  <si>
    <t>FIN可在“收款/收據”完成“管理收款、收據編號和收據打印”，可完成操作並形成可追溯記錄；狀態變化和業務限制符合關鍵規則。</t>
  </si>
  <si>
    <t>F060</t>
  </si>
  <si>
    <t>維護會計客戶、賬單地址、收件人和賬期</t>
  </si>
  <si>
    <t>面向FIN，支持維護會計客戶、賬單地址、收件人和賬期；正式交付需結合真實數據、權限和驗收規則確認。</t>
  </si>
  <si>
    <t>點擊新增或編輯，完成校驗後保存；停用或刪除需二次確認。維護賬單資料與賬期；按合約起止日期和頻率生成月結待開票記錄。</t>
  </si>
  <si>
    <t>會計客戶/保養合約</t>
  </si>
  <si>
    <t>財務客戶編號/名稱、賬單地址/收件人、付款賬期、合約編號、起止日期、開單頻率、固定金額</t>
  </si>
  <si>
    <t>FIN可在“會計客戶/保養合約”完成“維護會計客戶、賬單地址、收件人和賬期”，可完成操作並形成可追溯記錄；狀態變化和業務限制符合關鍵規則。</t>
  </si>
  <si>
    <t>F061</t>
  </si>
  <si>
    <t>按保養合約日期和頻率生成月結待開發票</t>
  </si>
  <si>
    <t>面向FIN，支持按保養合約日期和頻率生成月結待開發票；正式交付需結合真實數據、權限和驗收規則確認。</t>
  </si>
  <si>
    <t>維護賬單資料與賬期；按合約起止日期和頻率生成月結待開票記錄。</t>
  </si>
  <si>
    <t>FIN可在“會計客戶/保養合約”完成“按保養合約日期和頻率生成月結待開發票”，可完成操作並形成可追溯記錄；狀態變化和業務限制符合關鍵規則。</t>
  </si>
  <si>
    <t>F062</t>
  </si>
  <si>
    <t>配置並模擬同步 Peachtree 客戶、發票和收款</t>
  </si>
  <si>
    <t>原型僅模擬Peachtree同步，真實版本、接口方向、鑑權和驗收標準待確認。</t>
  </si>
  <si>
    <t>點擊新增或編輯，完成校驗後保存；停用或刪除需二次確認。管理員配置連接後執行模擬同步；真實接口版本、鑑權和錯誤重試需POC。</t>
  </si>
  <si>
    <t>Peachtree接口配置</t>
  </si>
  <si>
    <t>系統版本/地址、鑑權方式、數據對象、同步方向、最後同步時間、結果/錯誤日誌</t>
  </si>
  <si>
    <t>FIN、ADMIN、IT可在“Peachtree接口配置”完成“配置並模擬同步 Peachtree 客戶、發票和收款”，可完成操作並形成可追溯記錄；狀態變化和業務限制符合關鍵規則。</t>
  </si>
  <si>
    <t>F063</t>
  </si>
  <si>
    <t>按狀態、類型、區域、師傅和客戶統計 CALL</t>
  </si>
  <si>
    <t>面向TL、ADMIN、BOSS，支持按狀態、類型、區域、師傅和客戶統計 CALL；正式交付需結合真實數據、權限和驗收規則確認。</t>
  </si>
  <si>
    <t>TL、ADMIN、BOSS</t>
  </si>
  <si>
    <t>選擇統計維度或時間範圍後刷新；點擊統計項下鑽到對應CALL列表。</t>
  </si>
  <si>
    <t>統計報表</t>
  </si>
  <si>
    <t>統計日期範圍、狀態/類型/區域/師傅/客戶、CALL數量、最近7天趨勢、未完成/SR待簽名/資料缺失、報價總數/中單數/中單率</t>
  </si>
  <si>
    <t>TL、ADMIN、BOSS可在“統計報表”完成“按狀態、類型、區域、師傅和客戶統計 CALL”，可按權限查看或查詢，結果與關聯明細一致；狀態變化和業務限制符合關鍵規則。</t>
  </si>
  <si>
    <t>F064</t>
  </si>
  <si>
    <t>FLOW-006 / FLOW-012</t>
  </si>
  <si>
    <t>查看最近 7 天趨勢和報價中單統計</t>
  </si>
  <si>
    <t>面向TL、ADMIN、BOSS、QUO，支持查看最近 7 天趨勢和報價中單統計；正式交付需結合真實數據、權限和驗收規則確認。</t>
  </si>
  <si>
    <t>TL、ADMIN、BOSS、QUO</t>
  </si>
  <si>
    <t>進入頁面查看最近 7 天趨勢和報價中單統計；點擊相關卡片或編號下鑽。選擇統計維度或時間範圍後刷新；點擊統計項下鑽到對應CALL列表。</t>
  </si>
  <si>
    <t>TL、ADMIN、BOSS、QUO可在“統計報表”完成“查看最近 7 天趨勢和報價中單統計”，可按權限查看或查詢，結果與關聯明細一致；狀態變化和業務限制符合關鍵規則。</t>
  </si>
  <si>
    <t>F065</t>
  </si>
  <si>
    <t>FLOW-005 / FLOW-012</t>
  </si>
  <si>
    <t>查看未完成、SR 待簽名和資料缺失提醒</t>
  </si>
  <si>
    <t>面向TL、ADMIN，支持查看未完成、SR 待簽名和資料缺失提醒；正式交付需結合真實數據、權限和驗收規則確認。</t>
  </si>
  <si>
    <t>TL、ADMIN</t>
  </si>
  <si>
    <t>進入頁面查看未完成、SR 待簽名和資料缺失提醒；點擊相關卡片或編號下鑽。選擇統計維度或時間範圍後刷新；點擊統計項下鑽到對應CALL列表。</t>
  </si>
  <si>
    <t>TL、ADMIN可在“統計報表”完成“查看未完成、SR 待簽名和資料缺失提醒”，可按權限查看或查詢，結果與關聯明細一致；狀態變化和業務限制符合關鍵規則。</t>
  </si>
  <si>
    <t>F066</t>
  </si>
  <si>
    <t>按角色、狀態、工號、電話和郵箱管理用戶</t>
  </si>
  <si>
    <t>面向ADMIN，支持按角色、狀態、工號、電話和郵箱管理用戶；正式交付需結合真實數據、權限和驗收規則確認。</t>
  </si>
  <si>
    <t>ADMIN</t>
  </si>
  <si>
    <t>按角色或狀態篩選；新增、編輯、啟停用戶，離職用戶保留歷史關係。</t>
  </si>
  <si>
    <t>用戶管理</t>
  </si>
  <si>
    <t>姓名/工號、電話/郵箱、角色、所屬區域/主管、技能、啟用/禁用/離職、最後登錄</t>
  </si>
  <si>
    <t>ADMIN可在“用戶管理”完成“按角色、狀態、工號、電話和郵箱管理用戶”，可完成操作並形成可追溯記錄；狀態變化和業務限制符合關鍵規則。</t>
  </si>
  <si>
    <t>F067</t>
  </si>
  <si>
    <t>管理客戶、聯繫人、標準地點、區域和客戶權限</t>
  </si>
  <si>
    <t>面向CS、CR、ADMIN，支持管理客戶、聯繫人、標準地點、區域和客戶權限；正式交付需結合真實數據、權限和驗收規則確認。</t>
  </si>
  <si>
    <t>點擊新增或編輯，完成校驗後保存；停用或刪除需二次確認。選擇客戶類別後查看列表和詳情；新增或編輯聯繫人、地點與合約。</t>
  </si>
  <si>
    <t>客戶/聯繫人/地點管理</t>
  </si>
  <si>
    <t>客戶編號/中英文名稱、客戶類型/等級/狀態、Peachtree ID、姓名/職位/電話/WhatsApp/郵箱、區域/中英文地址、默認TL、不可拍照/原因、項目/合約編號與週期</t>
  </si>
  <si>
    <t>CS、CR、ADMIN可在“客戶/聯繫人/地點管理”完成“管理客戶、聯繫人、標準地點、區域和客戶權限”，可完成操作並形成可追溯記錄；狀態變化和業務限制符合關鍵規則。</t>
  </si>
  <si>
    <t>F068</t>
  </si>
  <si>
    <t>管理工單類型、區域、CALL 代碼、狀態說明和通知規則</t>
  </si>
  <si>
    <t>面向ADMIN，支持管理工單類型、區域、CALL 代碼、狀態說明和通知規則；正式交付需結合真實數據、權限和驗收規則確認。</t>
  </si>
  <si>
    <t>點擊新增或編輯，完成校驗後保存；停用或刪除需二次確認。新增、編輯、排序或停用字典項；停用項不用於新數據但保留歷史顯示。</t>
  </si>
  <si>
    <t>業務字典管理</t>
  </si>
  <si>
    <t>字典類別、代碼、名稱/說明、排序、啟用狀態、關聯通知/負責人</t>
  </si>
  <si>
    <t>ADMIN可在“業務字典管理”完成“管理工單類型、區域、CALL 代碼、狀態說明和通知規則”，可完成操作並形成可追溯記錄；狀態變化和業務限制符合關鍵規則。</t>
  </si>
  <si>
    <t>F069</t>
  </si>
  <si>
    <t>管理報價類別、標書來源、回標方式和標書狀態</t>
  </si>
  <si>
    <t>面向ADMIN、QUO、TENDER，支持管理報價類別、標書來源、回標方式和標書狀態；正式交付需結合真實數據、權限和驗收規則確認。</t>
  </si>
  <si>
    <t>ADMIN、QUO、TENDER</t>
  </si>
  <si>
    <t>ADMIN、QUO、TENDER可在“業務字典管理”完成“管理報價類別、標書來源、回標方式和標書狀態”，可完成操作並形成可追溯記錄；狀態變化和業務限制符合關鍵規則。</t>
  </si>
  <si>
    <t>F070</t>
  </si>
  <si>
    <t>Excel 導入客戶、工單、報價、發票和收款記錄</t>
  </si>
  <si>
    <t>面向ADMIN，支持Excel 導入客戶、工單、報價、發票和收款記錄；正式交付需結合真實數據、權限和驗收規則確認。</t>
  </si>
  <si>
    <t>上傳Excel後先校驗和預覽，錯誤數據不導入並提供錯誤明細。</t>
  </si>
  <si>
    <t>Excel導入</t>
  </si>
  <si>
    <t>數據類型、文件、重複處理、總數/成功/失敗、錯誤行/原因</t>
  </si>
  <si>
    <t>ADMIN可在“Excel導入”完成“Excel 導入客戶、工單、報價、發票和收款記錄”，可完成操作並形成可追溯記錄；狀態變化和業務限制符合關鍵規則。</t>
  </si>
  <si>
    <t>F071</t>
  </si>
  <si>
    <t>配置附件存儲、容量、文件類型、保留期和備份</t>
  </si>
  <si>
    <t>面向ADMIN、IT，支持配置附件存儲、容量、文件類型、保留期和備份；正式交付需結合真實數據、權限和驗收規則確認。</t>
  </si>
  <si>
    <t>ADMIN、IT</t>
  </si>
  <si>
    <t>點擊新增或編輯，完成校驗後保存；停用或刪除需二次確認。管理員修改參數並保存；生產環境需驗證供應商、權限和恢復流程。</t>
  </si>
  <si>
    <t>附件存儲設置</t>
  </si>
  <si>
    <t>存儲方式/供應商、允許類型、單文件大小、總容量/已用容量、在線保留期、備份週期/位置、清理策略</t>
  </si>
  <si>
    <t>ADMIN、IT可在“附件存儲設置”完成“配置附件存儲、容量、文件類型、保留期和備份”，可完成操作並形成可追溯記錄；狀態變化和業務限制符合關鍵規則。</t>
  </si>
  <si>
    <t>F072</t>
  </si>
  <si>
    <t>角色登錄、切換和頁面權限控制</t>
  </si>
  <si>
    <t>面向全部角色，支持角色登錄、切換和頁面權限控制；正式交付需結合真實數據、權限和驗收規則確認。</t>
  </si>
  <si>
    <t>選擇角色和人員登錄；系統根據角色切換頁面入口和數據範圍。</t>
  </si>
  <si>
    <t>登錄與角色切換</t>
  </si>
  <si>
    <t>賬號/人員、密碼、當前角色、允許頁面、數據範圍</t>
  </si>
  <si>
    <t>全部角色可在“登錄與角色切換”完成“角色登錄、切換和頁面權限控制”，可完成操作並形成可追溯記錄；狀態變化和業務限制符合關鍵規則。</t>
  </si>
  <si>
    <t>F073</t>
  </si>
  <si>
    <t>FLOW-002 / FLOW-012</t>
  </si>
  <si>
    <t>按普通/政府客戶自動生成唯一 CALL 編號；政府前綴可配置，任務編號與 CALL 編號獨立</t>
  </si>
  <si>
    <t>普通與政府CALL編號規則、業務時區、併發防重和歷史遷移需統一確認。</t>
  </si>
  <si>
    <t>管理員維護前綴和流水規則；創建記錄時系統併發生成唯一編號。</t>
  </si>
  <si>
    <t>編號規則配置</t>
  </si>
  <si>
    <t>編號對象、客戶類別、前綴/日期格式、流水位數、啟用狀態</t>
  </si>
  <si>
    <t>部分覆蓋</t>
  </si>
  <si>
    <t>CS、CR、ADMIN可在“編號規則配置”完成“按普通/政府客戶自動生成唯一 CALL 編號；政府前綴可配置，任務編號與 CALL 編號獨立”，可完成操作並形成可追溯記錄；狀態變化和業務限制符合關鍵規則。</t>
  </si>
  <si>
    <t>原有需求/MVP範圍補充</t>
  </si>
  <si>
    <t>F074</t>
  </si>
  <si>
    <t>按客戶/地點配置不可拍照豁免，取消照片強制項並保留原因或替代證明</t>
  </si>
  <si>
    <t>不可拍照規則應在現場提交校驗中生效，並保留原因或替代證明。</t>
  </si>
  <si>
    <t>MASTER、CS、ADMIN</t>
  </si>
  <si>
    <t>現場提交時自動讀取客戶/地點規則；豁免時要求填寫原因或上傳替代證明。</t>
  </si>
  <si>
    <t>不可拍照豁免</t>
  </si>
  <si>
    <t>客戶/地點、不可拍照、原因、替代證明、有效期</t>
  </si>
  <si>
    <t>MASTER、CS、ADMIN可在“不可拍照豁免”完成“按客戶/地點配置不可拍照豁免，取消照片強制項並保留原因或替代證明”，可完成操作並形成可追溯記錄；狀態變化和業務限制符合關鍵規則。</t>
  </si>
  <si>
    <t>F075</t>
  </si>
  <si>
    <t>FLOW-003 / FLOW-007</t>
  </si>
  <si>
    <t>配置未接單、未到場、處理超時提醒及負責人；採購狀態停滯時通知採購部和報價組</t>
  </si>
  <si>
    <t>面向TL、CR、PUR、QUO，支持配置未接單、未到場、處理超時提醒及負責人；採購狀態停滯時通知採購部和報價組；正式交付需結合真實數據、權限和驗收規則確認。</t>
  </si>
  <si>
    <t>TL、CR、PUR、QUO</t>
  </si>
  <si>
    <t>點擊新增或編輯，完成校驗後保存；停用或刪除需二次確認。達到閾值後生成系統通知；外部渠道和升級接收人按確認規則發送。</t>
  </si>
  <si>
    <t>SLA與提醒規則</t>
  </si>
  <si>
    <t>業務事件、閾值、接收角色/人員、通知渠道、啟用狀態</t>
  </si>
  <si>
    <t>TL、CR、PUR、QUO可在“SLA與提醒規則”完成“配置未接單、未到場、處理超時提醒及負責人；採購狀態停滯時通知採購部和報價組”，可完成操作並形成可追溯記錄；狀態變化和業務限制符合關鍵規則。</t>
  </si>
  <si>
    <t>F076</t>
  </si>
  <si>
    <t>工單池開放任務、師傅申請接單、主管確認</t>
  </si>
  <si>
    <t>面向MASTER、TL，支持工單池開放任務、師傅申請接單、主管確認；正式交付需結合真實數據、權限和驗收規則確認。</t>
  </si>
  <si>
    <t>師傅瀏覽開放任務並申請；主管審批後分派，失敗或拒絕則返回工單池。</t>
  </si>
  <si>
    <t>工單池</t>
  </si>
  <si>
    <t>任務編號/區域/類型、可申請範圍、申請師傅/時間、申請說明、結果/意見</t>
  </si>
  <si>
    <t>MASTER、TL可在“工單池”完成“工單池開放任務、師傅申請接單、主管確認”，可完成操作並形成可追溯記錄；狀態變化和業務限制符合關鍵規則。</t>
  </si>
  <si>
    <t>F077</t>
  </si>
  <si>
    <t>簡版報銷關聯一個或多個已完成工單，記錄金額與票據附件</t>
  </si>
  <si>
    <t>當前原型只有車資記錄，不等同於完整報銷模組；本項按簡版記錄評審。</t>
  </si>
  <si>
    <t>MASTER、FIN</t>
  </si>
  <si>
    <t>選擇已完成CALL，錄入費用並上傳票據；僅做記錄，不包含完整審批或OCR。</t>
  </si>
  <si>
    <t>簡版報銷關聯</t>
  </si>
  <si>
    <t>報銷編號、報銷人、已完成CALL、費用類型/金額、票據附件、說明</t>
  </si>
  <si>
    <t>未覆蓋</t>
  </si>
  <si>
    <t>MASTER、FIN可在“簡版報銷關聯”完成“簡版報銷關聯一個或多個已完成工單，記錄金額與票據附件”，可完成操作並形成可追溯記錄；狀態變化和業務限制符合關鍵規則。</t>
  </si>
  <si>
    <t>F078</t>
  </si>
  <si>
    <t>支持PM、CM及M/P/M+P業務分類與流程映射</t>
  </si>
  <si>
    <t>保留PM/CM統計口徑，同時與報價M/P/M+P後續分支建立可維護映射。</t>
  </si>
  <si>
    <t>CM可由主管直接分派；PM自動釋放、衝突和改期規則仍待確認。</t>
  </si>
  <si>
    <t>PM/CM分類映射</t>
  </si>
  <si>
    <t>PM/CM分類、CALL類型、映射說明、啟用日期、啟用狀態</t>
  </si>
  <si>
    <t>部分覆蓋（2026-09-27修訂）</t>
  </si>
  <si>
    <t>CS、CR、TL可在“PM/CM分類映射”完成“支持PM、CM及M/P/M+P業務分類與流程映射”，可完成操作並形成可追溯記錄；狀態變化和業務限制符合關鍵規則。</t>
  </si>
  <si>
    <t>原有需求/MVP範圍補充 + 2026-09-27業務流程討論</t>
  </si>
  <si>
    <t>F079</t>
  </si>
  <si>
    <t>項目編號、CALL 編號、任務編號和外部 Reference 分開存儲並可關聯檢索</t>
  </si>
  <si>
    <t>面向CS、CR、TL、FIN，支持項目編號、CALL 編號、任務編號和外部 Reference 分開存儲並可關聯檢索；正式交付需結合真實數據、權限和驗收規則確認。</t>
  </si>
  <si>
    <t>CS、CR、TL、FIN</t>
  </si>
  <si>
    <t>輸入任一編號查詢關聯鏈；點擊結果跳轉到有權限的業務詳情。</t>
  </si>
  <si>
    <t>編號關聯查詢</t>
  </si>
  <si>
    <t>項目編號、CALL編號、任務編號、外部Reference、關聯類型</t>
  </si>
  <si>
    <t>CS、CR、TL、FIN可在“編號關聯查詢”完成“項目編號、CALL 編號、任務編號和外部 Reference 分開存儲並可關聯檢索”，可完成操作並形成可追溯記錄；狀態變化和業務限制符合關鍵規則。</t>
  </si>
  <si>
    <t>F080</t>
  </si>
  <si>
    <t>FLOW-008 / FLOW-012</t>
  </si>
  <si>
    <t>完成/取消後的報告與附件歸檔，配置在線保留、備份和恢復規則</t>
  </si>
  <si>
    <t>歸檔不應等同刪除；必須保留查詢、備份、恢復和操作審計。</t>
  </si>
  <si>
    <t>ADMIN、IT、FIN</t>
  </si>
  <si>
    <t>達到歸檔條件後轉入歸檔存儲；授權人員可查詢併發起恢復。</t>
  </si>
  <si>
    <t>歸檔與恢復規則</t>
  </si>
  <si>
    <t>歸檔對象、狀態/時間條件、在線/歸檔保留期、備份位置/週期、恢復申請/結果</t>
  </si>
  <si>
    <t>ADMIN、IT、FIN可在“歸檔與恢復規則”完成“完成/取消後的報告與附件歸檔，配置在線保留、備份和恢復規則”，可完成操作並形成可追溯記錄；狀態變化和業務限制符合關鍵規則。</t>
  </si>
  <si>
    <t>EC工單系統｜表單欄位確認</t>
  </si>
  <si>
    <t xml:space="preserve">保留當前欄位，同時單獨記錄客戶定稿欄位；空白定稿欄位表示尚未確認，不代表刪除。 </t>
  </si>
  <si>
    <t>欄位編號</t>
  </si>
  <si>
    <t>欄位組</t>
  </si>
  <si>
    <t>當前欄位名</t>
  </si>
  <si>
    <t>當前類型</t>
  </si>
  <si>
    <t>當前必填</t>
  </si>
  <si>
    <t>當前規則/選項</t>
  </si>
  <si>
    <t>原型狀態</t>
  </si>
  <si>
    <t>定稿欄位名</t>
  </si>
  <si>
    <t>定稿類型</t>
  </si>
  <si>
    <t>定稿必填</t>
  </si>
  <si>
    <t>定稿規則/選項</t>
  </si>
  <si>
    <t>FLD-001</t>
  </si>
  <si>
    <t>統計指標</t>
  </si>
  <si>
    <t>狀態數量</t>
  </si>
  <si>
    <t>計算</t>
  </si>
  <si>
    <t>否</t>
  </si>
  <si>
    <t>按7個CALL主狀態統計</t>
  </si>
  <si>
    <t>原型/材料已定義</t>
  </si>
  <si>
    <t>F001、F002、F003、F004</t>
  </si>
  <si>
    <t>FLD-002</t>
  </si>
  <si>
    <t>待辦</t>
  </si>
  <si>
    <t>CALL編號</t>
  </si>
  <si>
    <t>文本</t>
  </si>
  <si>
    <t>跳轉關聯CALL</t>
  </si>
  <si>
    <t>FLD-003</t>
  </si>
  <si>
    <t>客戶/摘要</t>
  </si>
  <si>
    <t>顯示任務摘要</t>
  </si>
  <si>
    <t>FLD-004</t>
  </si>
  <si>
    <t>異常</t>
  </si>
  <si>
    <t>異常類型</t>
  </si>
  <si>
    <t>枚舉</t>
  </si>
  <si>
    <t>緊急、拒單、超時等</t>
  </si>
  <si>
    <t>FLD-005</t>
  </si>
  <si>
    <t>動態</t>
  </si>
  <si>
    <t>時間/操作人/內容</t>
  </si>
  <si>
    <t>記錄</t>
  </si>
  <si>
    <t>按時間倒序</t>
  </si>
  <si>
    <t>FLD-006</t>
  </si>
  <si>
    <t>通知</t>
  </si>
  <si>
    <t>通知類型</t>
  </si>
  <si>
    <t>是</t>
  </si>
  <si>
    <t>業務事件類型</t>
  </si>
  <si>
    <t>FLD-007</t>
  </si>
  <si>
    <t>接收角色/人員</t>
  </si>
  <si>
    <t>人員</t>
  </si>
  <si>
    <t>按角色及人員投遞</t>
  </si>
  <si>
    <t>FLD-008</t>
  </si>
  <si>
    <t>關聯編號</t>
  </si>
  <si>
    <t>CALL/報價/採購編號</t>
  </si>
  <si>
    <t>FLD-009</t>
  </si>
  <si>
    <t>發送時間</t>
  </si>
  <si>
    <t>日期時間</t>
  </si>
  <si>
    <t>系統生成</t>
  </si>
  <si>
    <t>FLD-010</t>
  </si>
  <si>
    <t>已讀狀態</t>
  </si>
  <si>
    <t>布爾</t>
  </si>
  <si>
    <t>未讀/已讀</t>
  </si>
  <si>
    <t>FLD-011</t>
  </si>
  <si>
    <t>來電</t>
  </si>
  <si>
    <t>客戶</t>
  </si>
  <si>
    <t>關聯選擇</t>
  </si>
  <si>
    <t>關聯客戶主數據</t>
  </si>
  <si>
    <t>待映射</t>
  </si>
  <si>
    <t>FLD-012</t>
  </si>
  <si>
    <t>聯繫人/電話</t>
  </si>
  <si>
    <t>可從客戶資料帶入</t>
  </si>
  <si>
    <t>FLD-013</t>
  </si>
  <si>
    <t>來源渠道</t>
  </si>
  <si>
    <t>電話、WhatsApp、現場、郵件</t>
  </si>
  <si>
    <t>FLD-014</t>
  </si>
  <si>
    <t>內容摘要</t>
  </si>
  <si>
    <t>多行文本</t>
  </si>
  <si>
    <t>記錄客戶訴求</t>
  </si>
  <si>
    <t>FLD-015</t>
  </si>
  <si>
    <t>處理</t>
  </si>
  <si>
    <t>受理判斷</t>
  </si>
  <si>
    <t>僅答疑/創建CALL/取消</t>
  </si>
  <si>
    <t>FLD-016</t>
  </si>
  <si>
    <t>跟進備註</t>
  </si>
  <si>
    <t>後續說明</t>
  </si>
  <si>
    <t>FLD-017</t>
  </si>
  <si>
    <t>編號</t>
  </si>
  <si>
    <t>自動編號</t>
  </si>
  <si>
    <t>普通/政府編號規則</t>
  </si>
  <si>
    <t>FLD-018</t>
  </si>
  <si>
    <t>任務編號</t>
  </si>
  <si>
    <t>進入分派後獨立生成</t>
  </si>
  <si>
    <t>FLD-019</t>
  </si>
  <si>
    <t>客戶/聯繫人</t>
  </si>
  <si>
    <t>帶入聯繫方式</t>
  </si>
  <si>
    <t>FLD-020</t>
  </si>
  <si>
    <t>聯繫電話</t>
  </si>
  <si>
    <t>允許覆蓋本次聯繫號碼</t>
  </si>
  <si>
    <t>FLD-021</t>
  </si>
  <si>
    <t>分類</t>
  </si>
  <si>
    <t>CALL代碼</t>
  </si>
  <si>
    <t>字典</t>
  </si>
  <si>
    <t>可配置代碼</t>
  </si>
  <si>
    <t>FLD-022</t>
  </si>
  <si>
    <t>CALL類型</t>
  </si>
  <si>
    <t>DLP保養維修等五類</t>
  </si>
  <si>
    <t>FLD-023</t>
  </si>
  <si>
    <t>地點</t>
  </si>
  <si>
    <t>區域</t>
  </si>
  <si>
    <t>關聯主管與師傅</t>
  </si>
  <si>
    <t>FLD-024</t>
  </si>
  <si>
    <t>標準地點/地址</t>
  </si>
  <si>
    <t>客戶地點主數據</t>
  </si>
  <si>
    <t>FLD-025</t>
  </si>
  <si>
    <t>內容</t>
  </si>
  <si>
    <t>問題描述</t>
  </si>
  <si>
    <t>故障或服務內容</t>
  </si>
  <si>
    <t>FLD-026</t>
  </si>
  <si>
    <t>附件</t>
  </si>
  <si>
    <t>圖片或文件</t>
  </si>
  <si>
    <t>FLD-027</t>
  </si>
  <si>
    <t>優先級/緊急</t>
  </si>
  <si>
    <t>用於排序與提醒</t>
  </si>
  <si>
    <t>FLD-028</t>
  </si>
  <si>
    <t>保存方式</t>
  </si>
  <si>
    <t>草稿/提交</t>
  </si>
  <si>
    <t>FLD-029</t>
  </si>
  <si>
    <t>篩選</t>
  </si>
  <si>
    <t>關鍵詞</t>
  </si>
  <si>
    <t>編號、客戶或描述</t>
  </si>
  <si>
    <t>FLD-030</t>
  </si>
  <si>
    <t>狀態</t>
  </si>
  <si>
    <t>多選枚舉</t>
  </si>
  <si>
    <t>7個主狀態</t>
  </si>
  <si>
    <t>FLD-031</t>
  </si>
  <si>
    <t>五類CALL</t>
  </si>
  <si>
    <t>FLD-032</t>
  </si>
  <si>
    <t>區域範圍</t>
  </si>
  <si>
    <t>FLD-033</t>
  </si>
  <si>
    <t>負責人/師傅</t>
  </si>
  <si>
    <t>按權限選擇</t>
  </si>
  <si>
    <t>FLD-034</t>
  </si>
  <si>
    <t>客戶主數據</t>
  </si>
  <si>
    <t>FLD-035</t>
  </si>
  <si>
    <t>列表</t>
  </si>
  <si>
    <t>編號/客戶/類型</t>
  </si>
  <si>
    <t>核心識別欄位</t>
  </si>
  <si>
    <t>FLD-036</t>
  </si>
  <si>
    <t>狀態/負責人/更新時間</t>
  </si>
  <si>
    <t>狀態/人員/日期時間</t>
  </si>
  <si>
    <t>進度信息</t>
  </si>
  <si>
    <t>FLD-037</t>
  </si>
  <si>
    <t>基本</t>
  </si>
  <si>
    <t>CALL/任務編號</t>
  </si>
  <si>
    <t>關聯檢索</t>
  </si>
  <si>
    <t>FLD-038</t>
  </si>
  <si>
    <t>狀態/類型/區域</t>
  </si>
  <si>
    <t>當前業務狀態</t>
  </si>
  <si>
    <t>FLD-039</t>
  </si>
  <si>
    <t>客戶/聯繫人/電話</t>
  </si>
  <si>
    <t>客戶資料</t>
  </si>
  <si>
    <t>FLD-040</t>
  </si>
  <si>
    <t>地址/標準地點</t>
  </si>
  <si>
    <t>服務位置</t>
  </si>
  <si>
    <t>FLD-041</t>
  </si>
  <si>
    <t>TL/師傅/負責人</t>
  </si>
  <si>
    <t>處理責任</t>
  </si>
  <si>
    <t>FLD-042</t>
  </si>
  <si>
    <t>問題描述/附件</t>
  </si>
  <si>
    <t>文本/附件</t>
  </si>
  <si>
    <t>原始需求</t>
  </si>
  <si>
    <t>FLD-043</t>
  </si>
  <si>
    <t>處理時間線</t>
  </si>
  <si>
    <t>時間、操作人、內容</t>
  </si>
  <si>
    <t>FLD-044</t>
  </si>
  <si>
    <t>催單記錄</t>
  </si>
  <si>
    <t>次數、時間、備註</t>
  </si>
  <si>
    <t>FLD-045</t>
  </si>
  <si>
    <t>關閉</t>
  </si>
  <si>
    <t>完成/取消原因</t>
  </si>
  <si>
    <t>條件必填</t>
  </si>
  <si>
    <t>關閉類操作填寫</t>
  </si>
  <si>
    <t>FLD-046</t>
  </si>
  <si>
    <t>任務</t>
  </si>
  <si>
    <t>任務編號/CALL編號</t>
  </si>
  <si>
    <t>兩個編號獨立</t>
  </si>
  <si>
    <t>F014、F015、F016、F017、F018、F019、F020、F021</t>
  </si>
  <si>
    <t>FLD-047</t>
  </si>
  <si>
    <t>客戶/區域/類型/描述</t>
  </si>
  <si>
    <t>分派依據</t>
  </si>
  <si>
    <t>FLD-048</t>
  </si>
  <si>
    <t>候選</t>
  </si>
  <si>
    <t>師傅姓名</t>
  </si>
  <si>
    <t>啟用且可接單</t>
  </si>
  <si>
    <t>FLD-049</t>
  </si>
  <si>
    <t>區域/技能</t>
  </si>
  <si>
    <t>技能僅人工篩選</t>
  </si>
  <si>
    <t>FLD-050</t>
  </si>
  <si>
    <t>今日負載</t>
  </si>
  <si>
    <t>數字</t>
  </si>
  <si>
    <t>待確認/待處理/處理中數量</t>
  </si>
  <si>
    <t>FLD-051</t>
  </si>
  <si>
    <t>工作狀態</t>
  </si>
  <si>
    <t>可接單/忙碌/請假</t>
  </si>
  <si>
    <t>FLD-052</t>
  </si>
  <si>
    <t>分派</t>
  </si>
  <si>
    <t>選擇師傅</t>
  </si>
  <si>
    <t>確認分派對象</t>
  </si>
  <si>
    <t>FLD-053</t>
  </si>
  <si>
    <t>單據類型</t>
  </si>
  <si>
    <t>系統判定SR或完工單</t>
  </si>
  <si>
    <t>FLD-054</t>
  </si>
  <si>
    <t>派工備註</t>
  </si>
  <si>
    <t>現場說明</t>
  </si>
  <si>
    <t>FLD-055</t>
  </si>
  <si>
    <t>分派歷史</t>
  </si>
  <si>
    <t>首次分派/改派日誌</t>
  </si>
  <si>
    <t>FLD-056</t>
  </si>
  <si>
    <t>申請</t>
  </si>
  <si>
    <t>關聯任務</t>
  </si>
  <si>
    <t>FLD-057</t>
  </si>
  <si>
    <t>申請師傅</t>
  </si>
  <si>
    <t>申請人</t>
  </si>
  <si>
    <t>FLD-058</t>
  </si>
  <si>
    <t>申請時間</t>
  </si>
  <si>
    <t>系統記錄</t>
  </si>
  <si>
    <t>FLD-059</t>
  </si>
  <si>
    <t>審批</t>
  </si>
  <si>
    <t>審批結果</t>
  </si>
  <si>
    <t>通過/不通過</t>
  </si>
  <si>
    <t>FLD-060</t>
  </si>
  <si>
    <t>審批意見</t>
  </si>
  <si>
    <t>不通過說明原因</t>
  </si>
  <si>
    <t>FLD-061</t>
  </si>
  <si>
    <t>CALL編號/狀態</t>
  </si>
  <si>
    <t>文本/狀態</t>
  </si>
  <si>
    <t>本人授權任務</t>
  </si>
  <si>
    <t>F024、F025、F026、F033</t>
  </si>
  <si>
    <t>FLD-062</t>
  </si>
  <si>
    <t>客戶/區域/地址</t>
  </si>
  <si>
    <t>現場信息</t>
  </si>
  <si>
    <t>FLD-063</t>
  </si>
  <si>
    <t>類型/優先級</t>
  </si>
  <si>
    <t>用於排序</t>
  </si>
  <si>
    <t>FLD-064</t>
  </si>
  <si>
    <t>詳情</t>
  </si>
  <si>
    <t>服務內容</t>
  </si>
  <si>
    <t>FLD-065</t>
  </si>
  <si>
    <t>操作</t>
  </si>
  <si>
    <t>接單/拒單</t>
  </si>
  <si>
    <t>條件</t>
  </si>
  <si>
    <t>拒單需填寫原因</t>
  </si>
  <si>
    <t>FLD-066</t>
  </si>
  <si>
    <t>預計到場/開始時間</t>
  </si>
  <si>
    <t>關鍵節點記錄</t>
  </si>
  <si>
    <t>FLD-067</t>
  </si>
  <si>
    <t>簽到</t>
  </si>
  <si>
    <t>到場時間</t>
  </si>
  <si>
    <t>打卡時自動記錄</t>
  </si>
  <si>
    <t>F027、F028、F029、F030</t>
  </si>
  <si>
    <t>FLD-068</t>
  </si>
  <si>
    <t>位置說明</t>
  </si>
  <si>
    <t>真實定位需POC</t>
  </si>
  <si>
    <t>FLD-069</t>
  </si>
  <si>
    <t>報告</t>
  </si>
  <si>
    <t>SR編號</t>
  </si>
  <si>
    <t>服務報告編號規則</t>
  </si>
  <si>
    <t>FLD-070</t>
  </si>
  <si>
    <t>系統/設備</t>
  </si>
  <si>
    <t>服務對象</t>
  </si>
  <si>
    <t>FLD-071</t>
  </si>
  <si>
    <t>服務目的</t>
  </si>
  <si>
    <t>本次目的</t>
  </si>
  <si>
    <t>FLD-072</t>
  </si>
  <si>
    <t>完成工作</t>
  </si>
  <si>
    <t>處理結果</t>
  </si>
  <si>
    <t>FLD-073</t>
  </si>
  <si>
    <t>跟進事項</t>
  </si>
  <si>
    <t>未解決事項</t>
  </si>
  <si>
    <t>FLD-074</t>
  </si>
  <si>
    <t>照片</t>
  </si>
  <si>
    <t>Before照片</t>
  </si>
  <si>
    <t>圖片</t>
  </si>
  <si>
    <t>不可拍照客戶可豁免</t>
  </si>
  <si>
    <t>FLD-075</t>
  </si>
  <si>
    <t>After照片</t>
  </si>
  <si>
    <t>FLD-076</t>
  </si>
  <si>
    <t>費用</t>
  </si>
  <si>
    <t>車資/材料記錄</t>
  </si>
  <si>
    <t>數字/明細</t>
  </si>
  <si>
    <t>關聯現場支出</t>
  </si>
  <si>
    <t>FLD-077</t>
  </si>
  <si>
    <t>報價</t>
  </si>
  <si>
    <t>是否需要報價</t>
  </si>
  <si>
    <t>可觸發後補報價</t>
  </si>
  <si>
    <t>FLD-078</t>
  </si>
  <si>
    <t>其他附件</t>
  </si>
  <si>
    <t>現場資料</t>
  </si>
  <si>
    <t>FLD-079</t>
  </si>
  <si>
    <t>完工單</t>
  </si>
  <si>
    <t>完工單編號</t>
  </si>
  <si>
    <t>按單據規則生成/填寫</t>
  </si>
  <si>
    <t>F031、F032、F033、F034</t>
  </si>
  <si>
    <t>FLD-080</t>
  </si>
  <si>
    <t>完工內容</t>
  </si>
  <si>
    <t>本次完成事項</t>
  </si>
  <si>
    <t>FLD-081</t>
  </si>
  <si>
    <t>材料</t>
  </si>
  <si>
    <t>材料明細</t>
  </si>
  <si>
    <t>明細表</t>
  </si>
  <si>
    <t>物料、數量、備註</t>
  </si>
  <si>
    <t>FLD-082</t>
  </si>
  <si>
    <t>客戶確認</t>
  </si>
  <si>
    <t>滿意度</t>
  </si>
  <si>
    <t>評分</t>
  </si>
  <si>
    <t>客戶評價</t>
  </si>
  <si>
    <t>FLD-083</t>
  </si>
  <si>
    <t>電子簽名</t>
  </si>
  <si>
    <t>簽名</t>
  </si>
  <si>
    <t>或選擇客戶不在場</t>
  </si>
  <si>
    <t>FLD-084</t>
  </si>
  <si>
    <t>客戶不在場</t>
  </si>
  <si>
    <t>觸發簽名豁免</t>
  </si>
  <si>
    <t>FLD-085</t>
  </si>
  <si>
    <t>完工照片/紙質單照片</t>
  </si>
  <si>
    <t>按客戶規則校驗</t>
  </si>
  <si>
    <t>FLD-086</t>
  </si>
  <si>
    <t>提交</t>
  </si>
  <si>
    <t>提交備註</t>
  </si>
  <si>
    <t>提交說明</t>
  </si>
  <si>
    <t>FLD-087</t>
  </si>
  <si>
    <t>報告類型/狀態</t>
  </si>
  <si>
    <t>SR/完工單</t>
  </si>
  <si>
    <t>F035、F036、F037、F038、F039</t>
  </si>
  <si>
    <t>FLD-088</t>
  </si>
  <si>
    <t>編號/客戶/區域/內容</t>
  </si>
  <si>
    <t>文本/選擇</t>
  </si>
  <si>
    <t>組合查詢</t>
  </si>
  <si>
    <t>FLD-089</t>
  </si>
  <si>
    <t>報告編號</t>
  </si>
  <si>
    <t>唯一標識</t>
  </si>
  <si>
    <t>FLD-090</t>
  </si>
  <si>
    <t>關聯CALL</t>
  </si>
  <si>
    <t>關聯</t>
  </si>
  <si>
    <t>跳轉詳情</t>
  </si>
  <si>
    <t>FLD-091</t>
  </si>
  <si>
    <t>客戶/簽名狀態</t>
  </si>
  <si>
    <t>報告信息</t>
  </si>
  <si>
    <t>FLD-092</t>
  </si>
  <si>
    <t>發送</t>
  </si>
  <si>
    <t>發送渠道</t>
  </si>
  <si>
    <t>Email/WhatsApp/系統內</t>
  </si>
  <si>
    <t>FLD-093</t>
  </si>
  <si>
    <t>收件人</t>
  </si>
  <si>
    <t>地址或號碼</t>
  </si>
  <si>
    <t>FLD-094</t>
  </si>
  <si>
    <t>發送時間/結果</t>
  </si>
  <si>
    <t>日期時間/狀態</t>
  </si>
  <si>
    <t>日誌記錄</t>
  </si>
  <si>
    <t>FLD-095</t>
  </si>
  <si>
    <t>報價編號</t>
  </si>
  <si>
    <t>類別/地區/流水規則</t>
  </si>
  <si>
    <t>F040、F041、F042、F043、F044、F045</t>
  </si>
  <si>
    <t>FLD-096</t>
  </si>
  <si>
    <t>報價標題/類別</t>
  </si>
  <si>
    <t>文本/字典</t>
  </si>
  <si>
    <t>報價主題</t>
  </si>
  <si>
    <t>FLD-097</t>
  </si>
  <si>
    <t>來源/CALL/SR/客戶</t>
  </si>
  <si>
    <t>業務來源</t>
  </si>
  <si>
    <t>FLD-098</t>
  </si>
  <si>
    <t>報價負責人</t>
  </si>
  <si>
    <t>報價組人員</t>
  </si>
  <si>
    <t>FLD-099</t>
  </si>
  <si>
    <t>日期</t>
  </si>
  <si>
    <t>報價日期/回覆截止/有效期</t>
  </si>
  <si>
    <t>期限控制</t>
  </si>
  <si>
    <t>FLD-100</t>
  </si>
  <si>
    <t>明細</t>
  </si>
  <si>
    <t>物料/描述/數量/單位</t>
  </si>
  <si>
    <t>報價項目</t>
  </si>
  <si>
    <t>FLD-101</t>
  </si>
  <si>
    <t>金額</t>
  </si>
  <si>
    <t>單價/稅率/總金額</t>
  </si>
  <si>
    <t>自動彙總</t>
  </si>
  <si>
    <t>FLD-102</t>
  </si>
  <si>
    <t>參考</t>
  </si>
  <si>
    <t>歷史成本/供應商</t>
  </si>
  <si>
    <t>參考信息</t>
  </si>
  <si>
    <t>不鎖庫存</t>
  </si>
  <si>
    <t>FLD-103</t>
  </si>
  <si>
    <t>報價狀態/中單結果</t>
  </si>
  <si>
    <t>待報價、報價中、已中單、丟單</t>
  </si>
  <si>
    <t>FLD-104</t>
  </si>
  <si>
    <t>版本</t>
  </si>
  <si>
    <t>版本/修訂記錄</t>
  </si>
  <si>
    <t>文本/記錄</t>
  </si>
  <si>
    <t>R1/R2等</t>
  </si>
  <si>
    <t>FLD-105</t>
  </si>
  <si>
    <t>報價附件</t>
  </si>
  <si>
    <t>PDF或客戶資料</t>
  </si>
  <si>
    <t>FLD-106</t>
  </si>
  <si>
    <t>標書編號/名稱</t>
  </si>
  <si>
    <t>標書識別</t>
  </si>
  <si>
    <t>F046、F047、F048、F049</t>
  </si>
  <si>
    <t>FLD-107</t>
  </si>
  <si>
    <t>來源</t>
  </si>
  <si>
    <t>標書來源</t>
  </si>
  <si>
    <t>主動/邀請等</t>
  </si>
  <si>
    <t>FLD-108</t>
  </si>
  <si>
    <t>回標</t>
  </si>
  <si>
    <t>回標方式</t>
  </si>
  <si>
    <t>郵件/平臺/現場</t>
  </si>
  <si>
    <t>FLD-109</t>
  </si>
  <si>
    <t>收到日期/截止日期</t>
  </si>
  <si>
    <t>倒計時依據</t>
  </si>
  <si>
    <t>FLD-110</t>
  </si>
  <si>
    <t>負責人</t>
  </si>
  <si>
    <t>標書組</t>
  </si>
  <si>
    <t>FLD-111</t>
  </si>
  <si>
    <t>投標狀態/中標結果</t>
  </si>
  <si>
    <t>待投標/不投標/已中標/未中標</t>
  </si>
  <si>
    <t>FLD-112</t>
  </si>
  <si>
    <t>招標文件/往來資料</t>
  </si>
  <si>
    <t>文件管理</t>
  </si>
  <si>
    <t>FLD-113</t>
  </si>
  <si>
    <t>內部備註</t>
  </si>
  <si>
    <t>內部協同</t>
  </si>
  <si>
    <t>FLD-114</t>
  </si>
  <si>
    <t>標書</t>
  </si>
  <si>
    <t>關聯標書</t>
  </si>
  <si>
    <t>FLD-115</t>
  </si>
  <si>
    <t>師傅</t>
  </si>
  <si>
    <t>按區域/技能篩選</t>
  </si>
  <si>
    <t>FLD-116</t>
  </si>
  <si>
    <t>排程</t>
  </si>
  <si>
    <t>開始/結束日期</t>
  </si>
  <si>
    <t>排程範圍</t>
  </si>
  <si>
    <t>FLD-117</t>
  </si>
  <si>
    <t>重複週期</t>
  </si>
  <si>
    <t>不重複/周/月</t>
  </si>
  <si>
    <t>FLD-118</t>
  </si>
  <si>
    <t>安排說明</t>
  </si>
  <si>
    <t>FLD-119</t>
  </si>
  <si>
    <t>備貨單/採購單</t>
  </si>
  <si>
    <t>備貨</t>
  </si>
  <si>
    <t>備貨單編號</t>
  </si>
  <si>
    <t>中單報價唯一觸發</t>
  </si>
  <si>
    <t>當前原型欄位；倉庫通接口邊界待確認</t>
  </si>
  <si>
    <t>F051、F052、F053、F054、F055、F056</t>
  </si>
  <si>
    <t>FLD-120</t>
  </si>
  <si>
    <t>報價/CALL/客戶</t>
  </si>
  <si>
    <t>來源業務</t>
  </si>
  <si>
    <t>FLD-121</t>
  </si>
  <si>
    <t>採購</t>
  </si>
  <si>
    <t>採購單編號</t>
  </si>
  <si>
    <t>自動/文本</t>
  </si>
  <si>
    <t>可按供應商拆單</t>
  </si>
  <si>
    <t>FLD-122</t>
  </si>
  <si>
    <t>供應商</t>
  </si>
  <si>
    <t>供應商主數據</t>
  </si>
  <si>
    <t>FLD-123</t>
  </si>
  <si>
    <t>物料/數量/單位</t>
  </si>
  <si>
    <t>採購明細</t>
  </si>
  <si>
    <t>FLD-124</t>
  </si>
  <si>
    <t>預計/實際到貨</t>
  </si>
  <si>
    <t>進度跟蹤</t>
  </si>
  <si>
    <t>FLD-125</t>
  </si>
  <si>
    <t>採購狀態</t>
  </si>
  <si>
    <t>待下單/已下單/已發貨/到貨/驗收</t>
  </si>
  <si>
    <t>FLD-126</t>
  </si>
  <si>
    <t>聯動</t>
  </si>
  <si>
    <t>驗收後建CALL</t>
  </si>
  <si>
    <t>客戶確認後啟用</t>
  </si>
  <si>
    <t>FLD-127</t>
  </si>
  <si>
    <t>供應商檔案</t>
  </si>
  <si>
    <t>供應商編號/名稱</t>
  </si>
  <si>
    <t>供應商主鍵</t>
  </si>
  <si>
    <t>FLD-128</t>
  </si>
  <si>
    <t>聯繫</t>
  </si>
  <si>
    <t>聯繫人/電話/郵箱</t>
  </si>
  <si>
    <t>採購聯絡</t>
  </si>
  <si>
    <t>FLD-129</t>
  </si>
  <si>
    <t>業務</t>
  </si>
  <si>
    <t>供應類別</t>
  </si>
  <si>
    <t>物料/服務範圍</t>
  </si>
  <si>
    <t>FLD-130</t>
  </si>
  <si>
    <t>合作狀態</t>
  </si>
  <si>
    <t>合作中/暫停/停用</t>
  </si>
  <si>
    <t>FLD-131</t>
  </si>
  <si>
    <t>合作說明</t>
  </si>
  <si>
    <t>FLD-132</t>
  </si>
  <si>
    <t>Job Code/客戶</t>
  </si>
  <si>
    <t>文本/關聯</t>
  </si>
  <si>
    <t>開票對象</t>
  </si>
  <si>
    <t>F057、F058</t>
  </si>
  <si>
    <t>FLD-133</t>
  </si>
  <si>
    <t>描述/類型</t>
  </si>
  <si>
    <t>文本/枚舉</t>
  </si>
  <si>
    <t>收費內容</t>
  </si>
  <si>
    <t>FLD-134</t>
  </si>
  <si>
    <t>開票金額</t>
  </si>
  <si>
    <t>HKD</t>
  </si>
  <si>
    <t>FLD-135</t>
  </si>
  <si>
    <t>期間</t>
  </si>
  <si>
    <t>Billing Period</t>
  </si>
  <si>
    <t>服務期間</t>
  </si>
  <si>
    <t>FLD-136</t>
  </si>
  <si>
    <t>服務起止日期</t>
  </si>
  <si>
    <t>計費範圍</t>
  </si>
  <si>
    <t>FLD-137</t>
  </si>
  <si>
    <t>賬期</t>
  </si>
  <si>
    <t>付款賬期</t>
  </si>
  <si>
    <t>月結/天數</t>
  </si>
  <si>
    <t>FLD-138</t>
  </si>
  <si>
    <t>合約/附件</t>
  </si>
  <si>
    <t>開票依據</t>
  </si>
  <si>
    <t>FLD-139</t>
  </si>
  <si>
    <t>發票/收款狀態</t>
  </si>
  <si>
    <t>待開票/已開票/已收款</t>
  </si>
  <si>
    <t>FLD-140</t>
  </si>
  <si>
    <t>發票編號/客戶</t>
  </si>
  <si>
    <t>收款對象</t>
  </si>
  <si>
    <t>FLD-141</t>
  </si>
  <si>
    <t>收款</t>
  </si>
  <si>
    <t>收款日期</t>
  </si>
  <si>
    <t>到賬日期</t>
  </si>
  <si>
    <t>FLD-142</t>
  </si>
  <si>
    <t>不得超過未收金額</t>
  </si>
  <si>
    <t>FLD-143</t>
  </si>
  <si>
    <t>方式</t>
  </si>
  <si>
    <t>轉賬/支票/現金等</t>
  </si>
  <si>
    <t>FLD-144</t>
  </si>
  <si>
    <t>收據</t>
  </si>
  <si>
    <t>收據編號</t>
  </si>
  <si>
    <t>唯一編號</t>
  </si>
  <si>
    <t>FLD-145</t>
  </si>
  <si>
    <t>打印狀態</t>
  </si>
  <si>
    <t>已打印/重印</t>
  </si>
  <si>
    <t>FLD-146</t>
  </si>
  <si>
    <t>差異說明</t>
  </si>
  <si>
    <t>FLD-147</t>
  </si>
  <si>
    <t>財務客戶編號/名稱</t>
  </si>
  <si>
    <t>可關聯業務客戶</t>
  </si>
  <si>
    <t>F060、F061</t>
  </si>
  <si>
    <t>FLD-148</t>
  </si>
  <si>
    <t>賬單</t>
  </si>
  <si>
    <t>賬單地址/收件人</t>
  </si>
  <si>
    <t>發票寄送</t>
  </si>
  <si>
    <t>FLD-149</t>
  </si>
  <si>
    <t>月結規則</t>
  </si>
  <si>
    <t>FLD-150</t>
  </si>
  <si>
    <t>合約</t>
  </si>
  <si>
    <t>合約編號</t>
  </si>
  <si>
    <t>保養合約</t>
  </si>
  <si>
    <t>FLD-151</t>
  </si>
  <si>
    <t>起止日期</t>
  </si>
  <si>
    <t>有效期</t>
  </si>
  <si>
    <t>FLD-152</t>
  </si>
  <si>
    <t>開單頻率</t>
  </si>
  <si>
    <t>月/季/年</t>
  </si>
  <si>
    <t>FLD-153</t>
  </si>
  <si>
    <t>固定金額</t>
  </si>
  <si>
    <t>自動生成金額</t>
  </si>
  <si>
    <t>FLD-154</t>
  </si>
  <si>
    <t>連接</t>
  </si>
  <si>
    <t>系統版本/地址</t>
  </si>
  <si>
    <t>接口能力待確認</t>
  </si>
  <si>
    <t>FLD-155</t>
  </si>
  <si>
    <t>鑑權方式</t>
  </si>
  <si>
    <t>憑據不在清單存儲</t>
  </si>
  <si>
    <t>FLD-156</t>
  </si>
  <si>
    <t>同步</t>
  </si>
  <si>
    <t>數據對象</t>
  </si>
  <si>
    <t>多選</t>
  </si>
  <si>
    <t>客戶/發票/收款</t>
  </si>
  <si>
    <t>FLD-157</t>
  </si>
  <si>
    <t>同步方向</t>
  </si>
  <si>
    <t>導入/導出/雙向</t>
  </si>
  <si>
    <t>FLD-158</t>
  </si>
  <si>
    <t>最後同步時間</t>
  </si>
  <si>
    <t>FLD-159</t>
  </si>
  <si>
    <t>結果/錯誤日誌</t>
  </si>
  <si>
    <t>可追蹤</t>
  </si>
  <si>
    <t>FLD-160</t>
  </si>
  <si>
    <t>姓名/工號</t>
  </si>
  <si>
    <t>人員標識</t>
  </si>
  <si>
    <t>FLD-161</t>
  </si>
  <si>
    <t>電話/郵箱</t>
  </si>
  <si>
    <t>登錄與通知</t>
  </si>
  <si>
    <t>FLD-162</t>
  </si>
  <si>
    <t>權限</t>
  </si>
  <si>
    <t>角色</t>
  </si>
  <si>
    <t>10類角色</t>
  </si>
  <si>
    <t>FLD-163</t>
  </si>
  <si>
    <t>所屬區域/主管</t>
  </si>
  <si>
    <t>數據範圍</t>
  </si>
  <si>
    <t>FLD-164</t>
  </si>
  <si>
    <t>能力</t>
  </si>
  <si>
    <t>技能</t>
  </si>
  <si>
    <t>多選字典</t>
  </si>
  <si>
    <t>師傅人工篩選</t>
  </si>
  <si>
    <t>FLD-165</t>
  </si>
  <si>
    <t>啟用/禁用/離職</t>
  </si>
  <si>
    <t>賬號狀態</t>
  </si>
  <si>
    <t>FLD-166</t>
  </si>
  <si>
    <t>賬號</t>
  </si>
  <si>
    <t>最後登錄</t>
  </si>
  <si>
    <t>審計信息</t>
  </si>
  <si>
    <t>FLD-167</t>
  </si>
  <si>
    <t>客戶編號/中英文名稱</t>
  </si>
  <si>
    <t>客戶主鍵</t>
  </si>
  <si>
    <t>FLD-168</t>
  </si>
  <si>
    <t>客戶類型/等級/狀態</t>
  </si>
  <si>
    <t>政府/私人等</t>
  </si>
  <si>
    <t>FLD-169</t>
  </si>
  <si>
    <t>外部</t>
  </si>
  <si>
    <t>Peachtree ID</t>
  </si>
  <si>
    <t>財務關聯</t>
  </si>
  <si>
    <t>FLD-170</t>
  </si>
  <si>
    <t>聯繫人</t>
  </si>
  <si>
    <t>姓名/職位/電話/WhatsApp/郵箱</t>
  </si>
  <si>
    <t>可多條</t>
  </si>
  <si>
    <t>FLD-171</t>
  </si>
  <si>
    <t>區域/中英文地址</t>
  </si>
  <si>
    <t>可多地點</t>
  </si>
  <si>
    <t>FLD-172</t>
  </si>
  <si>
    <t>默認TL</t>
  </si>
  <si>
    <t>區域負責人</t>
  </si>
  <si>
    <t>FLD-173</t>
  </si>
  <si>
    <t>規則</t>
  </si>
  <si>
    <t>不可拍照/原因</t>
  </si>
  <si>
    <t>布爾/文本</t>
  </si>
  <si>
    <t>現場校驗</t>
  </si>
  <si>
    <t>FLD-174</t>
  </si>
  <si>
    <t>項目/合約編號與週期</t>
  </si>
  <si>
    <t>文本/日期</t>
  </si>
  <si>
    <t>服務關係</t>
  </si>
  <si>
    <t>FLD-175</t>
  </si>
  <si>
    <t>字典類別</t>
  </si>
  <si>
    <t>CALL類型/區域/狀態等</t>
  </si>
  <si>
    <t>F068、F069</t>
  </si>
  <si>
    <t>FLD-176</t>
  </si>
  <si>
    <t>代碼</t>
  </si>
  <si>
    <t>唯一代碼</t>
  </si>
  <si>
    <t>FLD-177</t>
  </si>
  <si>
    <t>名稱/說明</t>
  </si>
  <si>
    <t>顯示內容</t>
  </si>
  <si>
    <t>FLD-178</t>
  </si>
  <si>
    <t>排序</t>
  </si>
  <si>
    <t>顯示順序</t>
  </si>
  <si>
    <t>FLD-179</t>
  </si>
  <si>
    <t>啟用狀態</t>
  </si>
  <si>
    <t>歷史兼容</t>
  </si>
  <si>
    <t>FLD-180</t>
  </si>
  <si>
    <t>關聯通知/負責人</t>
  </si>
  <si>
    <t>配置</t>
  </si>
  <si>
    <t>按類別使用</t>
  </si>
  <si>
    <t>FLD-181</t>
  </si>
  <si>
    <t>導入</t>
  </si>
  <si>
    <t>數據類型</t>
  </si>
  <si>
    <t>客戶/CALL/報價/發票/收款</t>
  </si>
  <si>
    <t>FLD-182</t>
  </si>
  <si>
    <t>文件</t>
  </si>
  <si>
    <t>Excel文件</t>
  </si>
  <si>
    <t>模板格式</t>
  </si>
  <si>
    <t>FLD-183</t>
  </si>
  <si>
    <t>重複處理</t>
  </si>
  <si>
    <t>跳過/更新/報錯</t>
  </si>
  <si>
    <t>FLD-184</t>
  </si>
  <si>
    <t>結果</t>
  </si>
  <si>
    <t>總數/成功/失敗</t>
  </si>
  <si>
    <t>校驗結果</t>
  </si>
  <si>
    <t>FLD-185</t>
  </si>
  <si>
    <t>錯誤行/原因</t>
  </si>
  <si>
    <t>可下載錯誤明細</t>
  </si>
  <si>
    <t>FLD-186</t>
  </si>
  <si>
    <t>存儲</t>
  </si>
  <si>
    <t>存儲方式/供應商</t>
  </si>
  <si>
    <t>待技術選型</t>
  </si>
  <si>
    <t>FLD-187</t>
  </si>
  <si>
    <t>允許類型</t>
  </si>
  <si>
    <t>圖片/PDF/文檔</t>
  </si>
  <si>
    <t>FLD-188</t>
  </si>
  <si>
    <t>單文件大小</t>
  </si>
  <si>
    <t>MB</t>
  </si>
  <si>
    <t>FLD-189</t>
  </si>
  <si>
    <t>容量</t>
  </si>
  <si>
    <t>總容量/已用容量</t>
  </si>
  <si>
    <t>GB</t>
  </si>
  <si>
    <t>FLD-190</t>
  </si>
  <si>
    <t>保留</t>
  </si>
  <si>
    <t>在線保留期</t>
  </si>
  <si>
    <t>天/月</t>
  </si>
  <si>
    <t>FLD-191</t>
  </si>
  <si>
    <t>備份</t>
  </si>
  <si>
    <t>備份週期/位置</t>
  </si>
  <si>
    <t>需可恢復</t>
  </si>
  <si>
    <t>FLD-192</t>
  </si>
  <si>
    <t>清理</t>
  </si>
  <si>
    <t>清理策略</t>
  </si>
  <si>
    <t>到期歸檔/刪除</t>
  </si>
  <si>
    <t>FLD-193</t>
  </si>
  <si>
    <t>範圍</t>
  </si>
  <si>
    <t>統計日期範圍</t>
  </si>
  <si>
    <t>日期範圍</t>
  </si>
  <si>
    <t>默認當前週期</t>
  </si>
  <si>
    <t>F063、F064、F065</t>
  </si>
  <si>
    <t>FLD-194</t>
  </si>
  <si>
    <t>維度</t>
  </si>
  <si>
    <t>狀態/類型/區域/師傅/客戶</t>
  </si>
  <si>
    <t>切換維度</t>
  </si>
  <si>
    <t>FLD-195</t>
  </si>
  <si>
    <t>指標</t>
  </si>
  <si>
    <t>CALL數量</t>
  </si>
  <si>
    <t>按權限口徑</t>
  </si>
  <si>
    <t>FLD-196</t>
  </si>
  <si>
    <t>最近7天趨勢</t>
  </si>
  <si>
    <t>日維度</t>
  </si>
  <si>
    <t>FLD-197</t>
  </si>
  <si>
    <t>提醒</t>
  </si>
  <si>
    <t>未完成/SR待簽名/資料缺失</t>
  </si>
  <si>
    <t>Outstanding規則</t>
  </si>
  <si>
    <t>FLD-198</t>
  </si>
  <si>
    <t>報價總數/中單數/中單率</t>
  </si>
  <si>
    <t>擴展模組指標</t>
  </si>
  <si>
    <t>FLD-199</t>
  </si>
  <si>
    <t>登錄</t>
  </si>
  <si>
    <t>賬號/人員</t>
  </si>
  <si>
    <t>原型按人員選擇</t>
  </si>
  <si>
    <t>FLD-200</t>
  </si>
  <si>
    <t>密碼</t>
  </si>
  <si>
    <t>生產必填</t>
  </si>
  <si>
    <t>原型不代表正式鑑權</t>
  </si>
  <si>
    <t>FLD-201</t>
  </si>
  <si>
    <t>身份</t>
  </si>
  <si>
    <t>當前角色</t>
  </si>
  <si>
    <t>FLD-202</t>
  </si>
  <si>
    <t>允許頁面</t>
  </si>
  <si>
    <t>按角色菜單</t>
  </si>
  <si>
    <t>FLD-203</t>
  </si>
  <si>
    <t>本人/團隊/區域/全局</t>
  </si>
  <si>
    <t>FLD-204</t>
  </si>
  <si>
    <t>編號對象</t>
  </si>
  <si>
    <t>CALL/任務/項目/外部Reference</t>
  </si>
  <si>
    <t>FLD-205</t>
  </si>
  <si>
    <t>客戶類別</t>
  </si>
  <si>
    <t>普通/政府</t>
  </si>
  <si>
    <t>FLD-206</t>
  </si>
  <si>
    <t>前綴/日期格式</t>
  </si>
  <si>
    <t>如WO-YYYYMMDD</t>
  </si>
  <si>
    <t>FLD-207</t>
  </si>
  <si>
    <t>流水位數</t>
  </si>
  <si>
    <t>每日或全局流水</t>
  </si>
  <si>
    <t>FLD-208</t>
  </si>
  <si>
    <t>歷史規則保留</t>
  </si>
  <si>
    <t>FLD-209</t>
  </si>
  <si>
    <t>客戶/地點</t>
  </si>
  <si>
    <t>豁免對象</t>
  </si>
  <si>
    <t>FLD-210</t>
  </si>
  <si>
    <t>不可拍照</t>
  </si>
  <si>
    <t>啟用豁免</t>
  </si>
  <si>
    <t>FLD-211</t>
  </si>
  <si>
    <t>原因</t>
  </si>
  <si>
    <t>合規依據</t>
  </si>
  <si>
    <t>FLD-212</t>
  </si>
  <si>
    <t>替代證明</t>
  </si>
  <si>
    <t>枚舉/附件</t>
  </si>
  <si>
    <t>文字/文件</t>
  </si>
  <si>
    <t>FLD-213</t>
  </si>
  <si>
    <t>到期複核</t>
  </si>
  <si>
    <t>FLD-214</t>
  </si>
  <si>
    <t>業務事件</t>
  </si>
  <si>
    <t>未接單/未到場/超時/採購停滯</t>
  </si>
  <si>
    <t>FLD-215</t>
  </si>
  <si>
    <t>閾值</t>
  </si>
  <si>
    <t>數字+單位</t>
  </si>
  <si>
    <t>分鐘/小時/天</t>
  </si>
  <si>
    <t>FLD-216</t>
  </si>
  <si>
    <t>接收</t>
  </si>
  <si>
    <t>負責人及升級對象</t>
  </si>
  <si>
    <t>FLD-217</t>
  </si>
  <si>
    <t>渠道</t>
  </si>
  <si>
    <t>通知渠道</t>
  </si>
  <si>
    <t>系統內/釘釘/郵件</t>
  </si>
  <si>
    <t>FLD-218</t>
  </si>
  <si>
    <t>規則開關</t>
  </si>
  <si>
    <t>FLD-219</t>
  </si>
  <si>
    <t>任務編號/區域/類型</t>
  </si>
  <si>
    <t>開放任務</t>
  </si>
  <si>
    <t>FLD-220</t>
  </si>
  <si>
    <t>資格</t>
  </si>
  <si>
    <t>可申請範圍</t>
  </si>
  <si>
    <t>區域/角色/狀態</t>
  </si>
  <si>
    <t>FLD-221</t>
  </si>
  <si>
    <t>申請師傅/時間</t>
  </si>
  <si>
    <t>人員/日期時間</t>
  </si>
  <si>
    <t>申請記錄</t>
  </si>
  <si>
    <t>FLD-222</t>
  </si>
  <si>
    <t>申請說明</t>
  </si>
  <si>
    <t>接單說明</t>
  </si>
  <si>
    <t>FLD-223</t>
  </si>
  <si>
    <t>結果/意見</t>
  </si>
  <si>
    <t>枚舉/文本</t>
  </si>
  <si>
    <t>主管確認</t>
  </si>
  <si>
    <t>FLD-224</t>
  </si>
  <si>
    <t>報銷</t>
  </si>
  <si>
    <t>報銷編號</t>
  </si>
  <si>
    <t>記錄標識</t>
  </si>
  <si>
    <t>FLD-225</t>
  </si>
  <si>
    <t>報銷人</t>
  </si>
  <si>
    <t>當前用戶</t>
  </si>
  <si>
    <t>FLD-226</t>
  </si>
  <si>
    <t>已完成CALL</t>
  </si>
  <si>
    <t>多選關聯</t>
  </si>
  <si>
    <t>可多張</t>
  </si>
  <si>
    <t>FLD-227</t>
  </si>
  <si>
    <t>費用類型/金額</t>
  </si>
  <si>
    <t>枚舉/數字</t>
  </si>
  <si>
    <t>金額合計</t>
  </si>
  <si>
    <t>FLD-228</t>
  </si>
  <si>
    <t>票據附件</t>
  </si>
  <si>
    <t>不含OCR</t>
  </si>
  <si>
    <t>FLD-229</t>
  </si>
  <si>
    <t>說明</t>
  </si>
  <si>
    <t>補充說明</t>
  </si>
  <si>
    <t>FLD-230</t>
  </si>
  <si>
    <t>原分類</t>
  </si>
  <si>
    <t>PM/CM分類</t>
  </si>
  <si>
    <t>歷史口徑</t>
  </si>
  <si>
    <t>FLD-231</t>
  </si>
  <si>
    <t>新分類</t>
  </si>
  <si>
    <t>當前五類</t>
  </si>
  <si>
    <t>FLD-232</t>
  </si>
  <si>
    <t>映射說明</t>
  </si>
  <si>
    <t>邊界與示例</t>
  </si>
  <si>
    <t>FLD-233</t>
  </si>
  <si>
    <t>啟用日期</t>
  </si>
  <si>
    <t>版本生效</t>
  </si>
  <si>
    <t>FLD-234</t>
  </si>
  <si>
    <t>保留歷史</t>
  </si>
  <si>
    <t>FLD-235</t>
  </si>
  <si>
    <t>項目編號</t>
  </si>
  <si>
    <t>項目維度</t>
  </si>
  <si>
    <t>FLD-236</t>
  </si>
  <si>
    <t>主業務編號</t>
  </si>
  <si>
    <t>FLD-237</t>
  </si>
  <si>
    <t>分派流水</t>
  </si>
  <si>
    <t>FLD-238</t>
  </si>
  <si>
    <t>外部Reference</t>
  </si>
  <si>
    <t>客戶/外部系統編號</t>
  </si>
  <si>
    <t>FLD-239</t>
  </si>
  <si>
    <t>關係</t>
  </si>
  <si>
    <t>關聯類型</t>
  </si>
  <si>
    <t>一對一/一對多</t>
  </si>
  <si>
    <t>FLD-240</t>
  </si>
  <si>
    <t>歸檔對象</t>
  </si>
  <si>
    <t>CALL/報告/附件</t>
  </si>
  <si>
    <t>FLD-241</t>
  </si>
  <si>
    <t>狀態/時間條件</t>
  </si>
  <si>
    <t>完成/取消後N天</t>
  </si>
  <si>
    <t>FLD-242</t>
  </si>
  <si>
    <t>在線/歸檔保留期</t>
  </si>
  <si>
    <t>需合規確認</t>
  </si>
  <si>
    <t>FLD-243</t>
  </si>
  <si>
    <t>備份位置/週期</t>
  </si>
  <si>
    <t>災備要求</t>
  </si>
  <si>
    <t>FLD-244</t>
  </si>
  <si>
    <t>恢復</t>
  </si>
  <si>
    <t>恢復申請/結果</t>
  </si>
  <si>
    <t>審計日誌</t>
  </si>
  <si>
    <t>EC工單系統｜角色權限矩陣</t>
  </si>
  <si>
    <t xml:space="preserve">本表是客戶權限定稿入口。當前原型只提供頁面級參考，不作為生產權限結論。 </t>
  </si>
  <si>
    <t>權限編號</t>
  </si>
  <si>
    <t>模組/頁面</t>
  </si>
  <si>
    <t>允許動作</t>
  </si>
  <si>
    <t>地區範圍</t>
  </si>
  <si>
    <t>當前原型表現</t>
  </si>
  <si>
    <t>PERM-001</t>
  </si>
  <si>
    <t>查看本人可見指標、待辦和通知</t>
  </si>
  <si>
    <t>按角色及所屬範圍</t>
  </si>
  <si>
    <t>按角色展示入口和模擬數據</t>
  </si>
  <si>
    <t>PERM-002</t>
  </si>
  <si>
    <t>登記來電、答疑、新建CALL</t>
  </si>
  <si>
    <t>客戶服務範圍</t>
  </si>
  <si>
    <t>PERM-003</t>
  </si>
  <si>
    <t>CALL詳情</t>
  </si>
  <si>
    <t>查看、補充、催單、按規則取消</t>
  </si>
  <si>
    <t>本人或服務範圍</t>
  </si>
  <si>
    <t>PERM-004</t>
  </si>
  <si>
    <t>報告管理</t>
  </si>
  <si>
    <t>查看併發起報告發送</t>
  </si>
  <si>
    <t>本人服務範圍</t>
  </si>
  <si>
    <t>頁面可演示；外發為流程演示</t>
  </si>
  <si>
    <t>PERM-005</t>
  </si>
  <si>
    <t>CR</t>
  </si>
  <si>
    <t>CALL管理</t>
  </si>
  <si>
    <t>查看、編輯、協調客戶及正式時間</t>
  </si>
  <si>
    <t>負責客戶或區域</t>
  </si>
  <si>
    <t>PERM-006</t>
  </si>
  <si>
    <t>分派中心</t>
  </si>
  <si>
    <t>篩選候選、分派、改派</t>
  </si>
  <si>
    <t>負責區域</t>
  </si>
  <si>
    <t>可演示；生產範圍待定</t>
  </si>
  <si>
    <t>PERM-007</t>
  </si>
  <si>
    <t>MR狀態</t>
  </si>
  <si>
    <t>查看倉庫狀態、確認客戶時間</t>
  </si>
  <si>
    <t>負責客戶或項目</t>
  </si>
  <si>
    <t>PERM-008</t>
  </si>
  <si>
    <t>確認或退回師傅提交資料</t>
  </si>
  <si>
    <t>負責CALL</t>
  </si>
  <si>
    <t>PERM-009</t>
  </si>
  <si>
    <t>分派、改派、處理申請</t>
  </si>
  <si>
    <t>主管負責團隊</t>
  </si>
  <si>
    <t>主管區域</t>
  </si>
  <si>
    <t>PERM-010</t>
  </si>
  <si>
    <t>確認或退回SR/完工資料</t>
  </si>
  <si>
    <t>PERM-011</t>
  </si>
  <si>
    <t>維保/CM</t>
  </si>
  <si>
    <t>CM直接分派、PM計劃查看</t>
  </si>
  <si>
    <t>PERM-012</t>
  </si>
  <si>
    <t>我的工單</t>
  </si>
  <si>
    <t>查看、接受、拒絕任務</t>
  </si>
  <si>
    <t>本人任務</t>
  </si>
  <si>
    <t>本人所屬區域</t>
  </si>
  <si>
    <t>PERM-013</t>
  </si>
  <si>
    <t>現場處理</t>
  </si>
  <si>
    <t>簽到、記錄處理、照片、材料和費用</t>
  </si>
  <si>
    <t>本人已接受任務</t>
  </si>
  <si>
    <t>任務地點</t>
  </si>
  <si>
    <t>PERM-014</t>
  </si>
  <si>
    <t>暫存、提交，不可自行正式完工</t>
  </si>
  <si>
    <t>PERM-015</t>
  </si>
  <si>
    <t>新增、編輯、修訂、發出報價</t>
  </si>
  <si>
    <t>報價組範圍</t>
  </si>
  <si>
    <t>PERM-016</t>
  </si>
  <si>
    <t>報價中單</t>
  </si>
  <si>
    <t>登記客戶接受證據並確認中單</t>
  </si>
  <si>
    <t>PERM-017</t>
  </si>
  <si>
    <t>新建、導入、維護、回標</t>
  </si>
  <si>
    <t>Tender Team範圍</t>
  </si>
  <si>
    <t>PERM-018</t>
  </si>
  <si>
    <t>標書中標</t>
  </si>
  <si>
    <t>登記中標並創建/關聯報價</t>
  </si>
  <si>
    <t>PERM-019</t>
  </si>
  <si>
    <t>倉庫通/接口</t>
  </si>
  <si>
    <t>MR協同</t>
  </si>
  <si>
    <t>接收MR並返回倉庫狀態</t>
  </si>
  <si>
    <t>外部系統接口範圍</t>
  </si>
  <si>
    <t>不適用</t>
  </si>
  <si>
    <t>未接入</t>
  </si>
  <si>
    <t>PERM-020</t>
  </si>
  <si>
    <t>PUR</t>
  </si>
  <si>
    <t>查看同步狀態和異常，不在EC執行採購入庫</t>
  </si>
  <si>
    <t>原型舊頁面待重新定界</t>
  </si>
  <si>
    <t>PERM-021</t>
  </si>
  <si>
    <t>待開票/發票</t>
  </si>
  <si>
    <t>查看待開票、開票、打印</t>
  </si>
  <si>
    <t>財務範圍</t>
  </si>
  <si>
    <t>PERM-022</t>
  </si>
  <si>
    <t>登記收款、打印收據</t>
  </si>
  <si>
    <t>PERM-023</t>
  </si>
  <si>
    <t>用戶與角色</t>
  </si>
  <si>
    <t>新增、編輯、啟停、配置角色</t>
  </si>
  <si>
    <t>全局</t>
  </si>
  <si>
    <t>PERM-024</t>
  </si>
  <si>
    <t>客戶/地點/字典</t>
  </si>
  <si>
    <t>維護主數據、導入和停用</t>
  </si>
  <si>
    <t>可演示/流程演示</t>
  </si>
  <si>
    <t>PERM-025</t>
  </si>
  <si>
    <t>BOSS</t>
  </si>
  <si>
    <t>查看經營和業務統計</t>
  </si>
  <si>
    <t>管理範圍</t>
  </si>
  <si>
    <t>PERM-026</t>
  </si>
  <si>
    <t>IT</t>
  </si>
  <si>
    <t>接口與存儲配置</t>
  </si>
  <si>
    <t>配置接口、查看日誌、備份恢復</t>
  </si>
  <si>
    <t>系統管理範圍</t>
  </si>
  <si>
    <t>EC工單系統｜項目進度</t>
  </si>
  <si>
    <t xml:space="preserve">交付團隊維護頁。只有“需求狀態=已批准”且“範圍階段=本期擬納入”的需求進入項目總覽實施完成率。 </t>
  </si>
  <si>
    <t>功能</t>
  </si>
  <si>
    <t>責任人</t>
  </si>
  <si>
    <t>開發狀態</t>
  </si>
  <si>
    <t>測試狀態</t>
  </si>
  <si>
    <t>驗收狀態</t>
  </si>
  <si>
    <t>完成率</t>
  </si>
  <si>
    <t>計劃開始</t>
  </si>
  <si>
    <t>計劃結束</t>
  </si>
  <si>
    <t>實際完成</t>
  </si>
  <si>
    <t>依賴/風險</t>
  </si>
  <si>
    <t>需確認渠道</t>
  </si>
  <si>
    <t>需確認編號規則</t>
  </si>
  <si>
    <t>需 POC 驗證</t>
  </si>
  <si>
    <t>需確認技能主數據</t>
  </si>
  <si>
    <t>需確認閾值</t>
  </si>
  <si>
    <t>需客戶確認權限矩陣</t>
  </si>
  <si>
    <t>需確認判定規則</t>
  </si>
  <si>
    <t>需確認是否保留審批節點</t>
  </si>
  <si>
    <t>需真機 POC</t>
  </si>
  <si>
    <t>需確認 OCR/人工錄入方案</t>
  </si>
  <si>
    <t>需確認容量和保留期</t>
  </si>
  <si>
    <t>需確認簽名規則</t>
  </si>
  <si>
    <t>需弱網 POC</t>
  </si>
  <si>
    <t>需確認模板和渠道</t>
  </si>
  <si>
    <t>需接口確認</t>
  </si>
  <si>
    <t>需確認觸發條件</t>
  </si>
  <si>
    <t>需確認業務邊界</t>
  </si>
  <si>
    <t>需確認聯動範圍</t>
  </si>
  <si>
    <t>需確認是否啟用</t>
  </si>
  <si>
    <t>需確認編號格式</t>
  </si>
  <si>
    <t>必須做接口 POC</t>
  </si>
  <si>
    <t>原需求 P0；正式編號、時區、併發防重待確認</t>
  </si>
  <si>
    <t>原需求 P0；現場提交校驗須驗證</t>
  </si>
  <si>
    <t>工單超時為原需求 P1；採購預警屬擴展，閾值/渠道待確認</t>
  </si>
  <si>
    <t>原需求 P1；與直接派單規則統一後啟用</t>
  </si>
  <si>
    <t>原需求 P1；本次未核實有獨立報銷模組，不含完整審批/OCR</t>
  </si>
  <si>
    <t>原需求 P0；分類映射待確認，不擅自替換原型類型</t>
  </si>
  <si>
    <t>原需求編號關係待確認；需核對欄位覆蓋和遷移</t>
  </si>
  <si>
    <t>原需求歸檔要求；主狀態是否新增“已歸檔”待確認</t>
  </si>
  <si>
    <t>EC工單系統｜待確認事項</t>
  </si>
  <si>
    <t xml:space="preserve">所有流程爭議集中記錄，不隱藏在備註中。C01-C10沿用原編號，新問題從C11繼續。 </t>
  </si>
  <si>
    <t>優先級</t>
  </si>
  <si>
    <t>確認主題</t>
  </si>
  <si>
    <t>需要客戶確認</t>
  </si>
  <si>
    <t>影響範圍</t>
  </si>
  <si>
    <t>建議參與人</t>
  </si>
  <si>
    <t>期望確認日期</t>
  </si>
  <si>
    <t>客戶結論</t>
  </si>
  <si>
    <t>關聯流程/需求</t>
  </si>
  <si>
    <t>C01</t>
  </si>
  <si>
    <t>P0</t>
  </si>
  <si>
    <t>階段範圍</t>
  </si>
  <si>
    <t>一期是否包含報價、標書、備貨和會計模組</t>
  </si>
  <si>
    <t>範圍、預算、排期</t>
  </si>
  <si>
    <t>客戶負責人、項目經理</t>
  </si>
  <si>
    <t>全項目</t>
  </si>
  <si>
    <t>C02</t>
  </si>
  <si>
    <t>狀態口徑</t>
  </si>
  <si>
    <t>7個CALL主狀態與原有狀態、報價/採購/標書狀態如何映射</t>
  </si>
  <si>
    <t>流程、報表、驗收</t>
  </si>
  <si>
    <t>業務負責人、主管</t>
  </si>
  <si>
    <t>FLOW-001-FLOW-011</t>
  </si>
  <si>
    <t>C03</t>
  </si>
  <si>
    <t>編號規則</t>
  </si>
  <si>
    <t>CALL、任務、項目、採購和外部Reference編號規則</t>
  </si>
  <si>
    <t>查詢、遷移、唯一性</t>
  </si>
  <si>
    <t>業務負責人、IT</t>
  </si>
  <si>
    <t>F013、F073、F079</t>
  </si>
  <si>
    <t>C04</t>
  </si>
  <si>
    <t>分派權限</t>
  </si>
  <si>
    <t>各區域TL、CR與管理員的數據範圍和操作權限</t>
  </si>
  <si>
    <t>權限矩陣、責任邊界</t>
  </si>
  <si>
    <t>業務負責人、區域主管</t>
  </si>
  <si>
    <t>FLOW-003、FLOW-012</t>
  </si>
  <si>
    <t>C05</t>
  </si>
  <si>
    <t>P1</t>
  </si>
  <si>
    <t>分派推薦</t>
  </si>
  <si>
    <t>師傅技能、請假、負載閾值和推薦優先級</t>
  </si>
  <si>
    <t>分派POC</t>
  </si>
  <si>
    <t>區域主管、HR</t>
  </si>
  <si>
    <t>C06</t>
  </si>
  <si>
    <t>單據判定</t>
  </si>
  <si>
    <t>何時生成服務報告或完工單，是否允許人工調整</t>
  </si>
  <si>
    <t>移動端、報告模板</t>
  </si>
  <si>
    <t>業務負責人、師傅代表</t>
  </si>
  <si>
    <t>FLOW-004-FLOW-005</t>
  </si>
  <si>
    <t>C07</t>
  </si>
  <si>
    <t>現場規則</t>
  </si>
  <si>
    <t>照片、簽名、不可拍照、離線和附件保留規則</t>
  </si>
  <si>
    <t>移動端、存儲、合規</t>
  </si>
  <si>
    <t>客戶負責人、IT</t>
  </si>
  <si>
    <t>C08</t>
  </si>
  <si>
    <t>報告採用系統內、釘釘、Email或WhatsApp發送</t>
  </si>
  <si>
    <t>消息接口、客戶溝通</t>
  </si>
  <si>
    <t>C09</t>
  </si>
  <si>
    <t>主數據</t>
  </si>
  <si>
    <t>真實客戶、人員、區域、地點及歷史數據導入範圍</t>
  </si>
  <si>
    <t>數據準備、UAT</t>
  </si>
  <si>
    <t>數據負責人、項目經理</t>
  </si>
  <si>
    <t>C10</t>
  </si>
  <si>
    <t>外部接口</t>
  </si>
  <si>
    <t>Peachtree/倉庫通等接口版本、方向和驗收標準</t>
  </si>
  <si>
    <t>接口POC、二期排期</t>
  </si>
  <si>
    <t>IT、財務、採購</t>
  </si>
  <si>
    <t>FLOW-007、FLOW-011</t>
  </si>
  <si>
    <t>C11</t>
  </si>
  <si>
    <t>MR生成規則</t>
  </si>
  <si>
    <t>MR由哪個動作觸發、使用報價哪個版本、哪些物料行和數量</t>
  </si>
  <si>
    <t>報價中單、MR、倉庫通</t>
  </si>
  <si>
    <t>QUO、CR、TL、IT</t>
  </si>
  <si>
    <t>FLOW-006/FLOW-007；F041、F044、F051</t>
  </si>
  <si>
    <t>C12</t>
  </si>
  <si>
    <t>倉庫通數據主責</t>
  </si>
  <si>
    <t>庫存、供應商、採購、入庫及備貨狀態分別由哪個系統主責</t>
  </si>
  <si>
    <t>接口邊界、數據一致性</t>
  </si>
  <si>
    <t>倉庫負責人、採購、IT</t>
  </si>
  <si>
    <t>FLOW-007；F052-F054</t>
  </si>
  <si>
    <t>C13</t>
  </si>
  <si>
    <t>同步機制與匹配編號</t>
  </si>
  <si>
    <t>EC與倉庫通同步方向、觸發、頻率、接口欄位和唯一匹配編號</t>
  </si>
  <si>
    <t>接口設計、異常處理</t>
  </si>
  <si>
    <t>IT、倉庫負責人</t>
  </si>
  <si>
    <t>FLOW-007；F052、F054</t>
  </si>
  <si>
    <t>C14</t>
  </si>
  <si>
    <t>倉庫狀態與異常重試</t>
  </si>
  <si>
    <t>倉庫狀態字典、EC映射、失敗重試、人工補償和通知對象</t>
  </si>
  <si>
    <t>狀態、通知、接口運維</t>
  </si>
  <si>
    <t>IT、倉庫負責人、CR</t>
  </si>
  <si>
    <t>FLOW-007；F052、F075</t>
  </si>
  <si>
    <t>C15</t>
  </si>
  <si>
    <t>哪個倉庫狀態加上何種客戶時間確認後允許正式派工</t>
  </si>
  <si>
    <t>MR、客戶溝通、派工</t>
  </si>
  <si>
    <t>CR、TL、倉庫負責人</t>
  </si>
  <si>
    <t>FLOW-001/FLOW-007；F055</t>
  </si>
  <si>
    <t>C16</t>
  </si>
  <si>
    <t>後續任務關係</t>
  </si>
  <si>
    <t>物料就緒後複用原CALL還是創建關聯CALL，編號和時間線如何關聯</t>
  </si>
  <si>
    <t>編號、派工、報表</t>
  </si>
  <si>
    <t>CS、CR、TL、IT</t>
  </si>
  <si>
    <t>FLOW-007/FLOW-003；F056、F079</t>
  </si>
  <si>
    <t>C17</t>
  </si>
  <si>
    <t>跨對象狀態關聯</t>
  </si>
  <si>
    <t>報價、MR/倉庫、CALL三套狀態是否互相驅動，允許哪些回退</t>
  </si>
  <si>
    <t>全鏈路狀態和報表</t>
  </si>
  <si>
    <t>FLOW-001；F044、F052、F055</t>
  </si>
  <si>
    <t>C18</t>
  </si>
  <si>
    <t>完工、退回與返工</t>
  </si>
  <si>
    <t>SR/CP映射、主管退回、多份SR、返工和客戶不在場如何處理</t>
  </si>
  <si>
    <t>現場、報告、完工</t>
  </si>
  <si>
    <t>CR、TL、師傅代表</t>
  </si>
  <si>
    <t>FLOW-004/FLOW-005；F031-F033</t>
  </si>
  <si>
    <t>C19</t>
  </si>
  <si>
    <t>Tender內部流程</t>
  </si>
  <si>
    <t>Tender內部審批、OCR/導入、報價填寫、導出回標和中標後銜接</t>
  </si>
  <si>
    <t>投標、報價</t>
  </si>
  <si>
    <t>Tender Team、QUO、IT</t>
  </si>
  <si>
    <t>FLOW-010；F046-F050</t>
  </si>
  <si>
    <t>C20</t>
  </si>
  <si>
    <t>財務業務邊界</t>
  </si>
  <si>
    <t>完工到待開票的觸發、開票條件、收款、Peachtree同步和驗收邊界</t>
  </si>
  <si>
    <t>財務接口、統計</t>
  </si>
  <si>
    <t>FIN、業務負責人、IT</t>
  </si>
  <si>
    <t>FLOW-011；F057-F062</t>
  </si>
  <si>
    <t>C21</t>
  </si>
  <si>
    <t>完整角色權限矩陣</t>
  </si>
  <si>
    <t>角色×頁面×動作×數據範圍×地區範圍的最終授權</t>
  </si>
  <si>
    <t>全部模組、生產安全</t>
  </si>
  <si>
    <t>業務負責人、各部門主管、IT</t>
  </si>
  <si>
    <t>角色權限；F020、F066、F072</t>
  </si>
  <si>
    <t>EC工單系統｜需求變更記錄</t>
  </si>
  <si>
    <t xml:space="preserve">已批准需求發生變化時必須登記CHG編號，不直接覆蓋原結論。 </t>
  </si>
  <si>
    <t>變更編號</t>
  </si>
  <si>
    <t>關聯需求/欄位/流程</t>
  </si>
  <si>
    <t>變更前</t>
  </si>
  <si>
    <t>變更後</t>
  </si>
  <si>
    <t>變更原因</t>
  </si>
  <si>
    <t>提出方</t>
  </si>
  <si>
    <t>決策結果</t>
  </si>
  <si>
    <t>生效版本</t>
  </si>
  <si>
    <t>CHG-001</t>
  </si>
  <si>
    <t>2026-09-27</t>
  </si>
  <si>
    <t>M08、F051-F056、FLOW-007</t>
  </si>
  <si>
    <t>EC內部建立備貨單、採購單並執行採購/到貨驗收</t>
  </si>
  <si>
    <t>EC按中單版本生成MR，與外部倉庫通同步備貨狀態；EC不執行採購、入庫和揀貨</t>
  </si>
  <si>
    <t>用戶明確倉庫通為外部倉儲系統</t>
  </si>
  <si>
    <t>項目需求討論</t>
  </si>
  <si>
    <t>模組邊界、接口、狀態、派工門檻</t>
  </si>
  <si>
    <t>待客戶確認</t>
  </si>
  <si>
    <t>客戶對齊版-v2</t>
  </si>
  <si>
    <t>CHG-002</t>
  </si>
  <si>
    <t>F033、FLOW-005</t>
  </si>
  <si>
    <t>師傅提交後直接視為完成或僅表述待確認</t>
  </si>
  <si>
    <t>提交後進入待完工確認，由CR/TL確認或退回補充</t>
  </si>
  <si>
    <t>原型流程修訂結果</t>
  </si>
  <si>
    <t>工單狀態、報告、驗收</t>
  </si>
  <si>
    <t>CHG-003</t>
  </si>
  <si>
    <t>F041、F043-F044、FLOW-006</t>
  </si>
  <si>
    <t>報價狀態和中單關係表述較粗</t>
  </si>
  <si>
    <t>保留修訂版本、客戶接受版本；QUO據此確認中單；Tender中標僅創建/關聯報價</t>
  </si>
  <si>
    <t>報價、Tender、MR</t>
  </si>
  <si>
    <t>EC工單系統｜說明與依據</t>
  </si>
  <si>
    <t xml:space="preserve">用於解釋本工作簿採用的資料、證據等級、狀態口徑和使用方式。 </t>
  </si>
  <si>
    <t>資料/依據</t>
  </si>
  <si>
    <t>版本/日期</t>
  </si>
  <si>
    <t>用途</t>
  </si>
  <si>
    <t>採用方式</t>
  </si>
  <si>
    <t>證據等級</t>
  </si>
  <si>
    <t>重要邊界</t>
  </si>
  <si>
    <t>當前UI原型 prototype/（2.0）</t>
  </si>
  <si>
    <t>2026-09-27修訂</t>
  </si>
  <si>
    <t>確認頁面、角色、操作入口及可演示交互</t>
  </si>
  <si>
    <t>作為原型對應依據</t>
  </si>
  <si>
    <t>原型暫行表現</t>
  </si>
  <si>
    <t>靜態原型和localStorage模擬不代表後臺、接口、生產權限或真實通知已完成</t>
  </si>
  <si>
    <t>EC工單系統客戶需求清單及進度跟蹤表</t>
  </si>
  <si>
    <t>原始版本</t>
  </si>
  <si>
    <t>提供F001-F080及244條欄位底稿</t>
  </si>
  <si>
    <t>保留穩定編號並重新組織</t>
  </si>
  <si>
    <t>歷史需求底稿</t>
  </si>
  <si>
    <t>原表狀態不代表客戶批准</t>
  </si>
  <si>
    <t>真實業務流程討論</t>
  </si>
  <si>
    <t>確認報價版本、中單、M/P/M+P、完工確認、Tender及財務邊界</t>
  </si>
  <si>
    <t>更新關鍵規則和主鏈路</t>
  </si>
  <si>
    <t>項目討論已記錄</t>
  </si>
  <si>
    <t>仍需客戶逐條批准</t>
  </si>
  <si>
    <t>業務流程全景草案</t>
  </si>
  <si>
    <t>2026-09-26</t>
  </si>
  <si>
    <t>整理FLOW-001-FLOW-012及爭議點</t>
  </si>
  <si>
    <t>用於業務全景和待確認事項</t>
  </si>
  <si>
    <t>需求討論底稿</t>
  </si>
  <si>
    <t>用戶明確主鏈路仍可能調整</t>
  </si>
  <si>
    <t>倉庫通說明</t>
  </si>
  <si>
    <t>2026-09-26至2026-09-27</t>
  </si>
  <si>
    <t>明確倉庫通是外部系統並向EC同步狀態</t>
  </si>
  <si>
    <t>修正M08與F051-F056</t>
  </si>
  <si>
    <t>方向已明確</t>
  </si>
  <si>
    <t>接口主責、欄位、狀態、頻率、匹配編號和異常處理仍待客戶確認</t>
  </si>
  <si>
    <t>SOP.jam及流程效果圖</t>
  </si>
  <si>
    <t>客戶提供材料</t>
  </si>
  <si>
    <t>驗證角色、階段及跨部門銜接</t>
  </si>
  <si>
    <t>作為流程參考，不替代客戶確認</t>
  </si>
  <si>
    <t>客戶材料</t>
  </si>
  <si>
    <t>SOP與當前原型衝突時進入待確認事項</t>
  </si>
  <si>
    <t>類型</t>
  </si>
  <si>
    <t>允許值</t>
  </si>
  <si>
    <t>維護人</t>
  </si>
  <si>
    <t>影響</t>
  </si>
  <si>
    <t>處理規則</t>
  </si>
  <si>
    <t>需求生命週期</t>
  </si>
  <si>
    <t>草案、評審中、待確認、已批准、已廢棄</t>
  </si>
  <si>
    <t>項目經理</t>
  </si>
  <si>
    <t>決定是否進入交付基線</t>
  </si>
  <si>
    <t>有條件同意的需求仍保持待確認，條件關閉後才改為已批准</t>
  </si>
  <si>
    <t>符合項目文件狀態規則</t>
  </si>
  <si>
    <t>未決定、同意、有條件同意、需調整、不納入</t>
  </si>
  <si>
    <t>客戶代表</t>
  </si>
  <si>
    <t>記錄客戶意見</t>
  </si>
  <si>
    <t>客戶決策和需求生命週期分開維護</t>
  </si>
  <si>
    <t>同意後仍需形成會議或書面證據</t>
  </si>
  <si>
    <t>本期擬納入、後續階段、待確認、不納入</t>
  </si>
  <si>
    <t>項目經理與客戶</t>
  </si>
  <si>
    <t>決定排期與報價</t>
  </si>
  <si>
    <t>僅已批准且本期擬納入需求進入實施進度</t>
  </si>
  <si>
    <t>擬納入不等於已批准</t>
  </si>
  <si>
    <t>可演示、流程演示、部分覆蓋、未覆蓋/未接入</t>
  </si>
  <si>
    <t>產品/需求</t>
  </si>
  <si>
    <t>說明當前討論基礎</t>
  </si>
  <si>
    <t>原型可演示不等於生產實現</t>
  </si>
  <si>
    <t>外部接口必須另做POC</t>
  </si>
  <si>
    <t>項目進度</t>
  </si>
  <si>
    <t>開發、測試、驗收分別維護</t>
  </si>
  <si>
    <t>交付團隊</t>
  </si>
  <si>
    <t>計算實施完成率</t>
  </si>
  <si>
    <t>需求未批准時不納入總覽實施完成率</t>
  </si>
  <si>
    <t>避免把原型覆蓋率當成項目進度</t>
  </si>
  <si>
    <t>客戶評審建議順序：項目總覽 → 業務全景 → 模組功能 → 需求確認主表 → 表單欄位 → 角色權限 → 待確認事項 → 項目進度。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</si>
</sst>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name val="Carlito"/>
      <charset val="134"/>
    </font>
    <font>
      <b/>
      <sz val="20"/>
      <color rgb="FFFFFFFF"/>
      <name val="Microsoft YaHei"/>
      <charset val="134"/>
    </font>
    <font>
      <sz val="10"/>
      <color rgb="FF244A68"/>
      <name val="Microsoft YaHei"/>
      <charset val="134"/>
    </font>
    <font>
      <b/>
      <sz val="10"/>
      <color rgb="FFFFFFFF"/>
      <name val="Microsoft YaHei"/>
      <charset val="134"/>
    </font>
    <font>
      <sz val="9"/>
      <color rgb="FF1F2937"/>
      <name val="Microsoft YaHei"/>
      <charset val="134"/>
    </font>
    <font>
      <b/>
      <sz val="11"/>
      <color rgb="FF15803D"/>
      <name val="Microsoft YaHei"/>
      <charset val="134"/>
    </font>
    <font>
      <b/>
      <sz val="9"/>
      <color rgb="FF1F2937"/>
      <name val="Microsoft YaHei"/>
      <charset val="134"/>
    </font>
    <font>
      <b/>
      <sz val="18"/>
      <color rgb="FF7C3AED"/>
      <name val="Microsoft YaHei"/>
      <charset val="134"/>
    </font>
    <font>
      <b/>
      <sz val="18"/>
      <color rgb="FFEA580C"/>
      <name val="Microsoft YaHei"/>
      <charset val="134"/>
    </font>
    <font>
      <b/>
      <sz val="18"/>
      <color rgb="FF2563EB"/>
      <name val="Microsoft YaHei"/>
      <charset val="134"/>
    </font>
    <font>
      <b/>
      <sz val="18"/>
      <color rgb="FF15803D"/>
      <name val="Microsoft YaHei"/>
      <charset val="134"/>
    </font>
    <font>
      <b/>
      <sz val="22"/>
      <color rgb="FF17324D"/>
      <name val="Microsoft YaHei"/>
      <charset val="134"/>
    </font>
    <font>
      <b/>
      <sz val="11"/>
      <color rgb="FF1F2937"/>
      <name val="Microsoft YaHei"/>
      <charset val="134"/>
    </font>
    <font>
      <i/>
      <sz val="9"/>
      <color rgb="FF64748B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EAF2FF"/>
        <bgColor indexed="64"/>
      </patternFill>
    </fill>
    <fill>
      <patternFill patternType="solid">
        <fgColor rgb="FF244A6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EAF7EF"/>
        <bgColor indexed="64"/>
      </patternFill>
    </fill>
    <fill>
      <patternFill patternType="solid">
        <fgColor rgb="FFEA580C"/>
        <bgColor indexed="64"/>
      </patternFill>
    </fill>
    <fill>
      <patternFill patternType="solid">
        <fgColor rgb="FFB91C1C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15803D"/>
        <bgColor indexed="64"/>
      </patternFill>
    </fill>
    <fill>
      <patternFill patternType="solid">
        <fgColor rgb="FFF3F6FA"/>
        <bgColor indexed="64"/>
      </patternFill>
    </fill>
    <fill>
      <patternFill patternType="solid">
        <fgColor rgb="FFFFF1E7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F2ECFF"/>
        <bgColor indexed="64"/>
      </patternFill>
    </fill>
    <fill>
      <patternFill patternType="solid">
        <fgColor rgb="FFF7F4FF"/>
        <bgColor indexed="64"/>
      </patternFill>
    </fill>
    <fill>
      <patternFill patternType="solid">
        <fgColor rgb="FFFAF8FF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E7F7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15803D"/>
      </left>
      <right/>
      <top style="medium">
        <color rgb="FF15803D"/>
      </top>
      <bottom style="medium">
        <color rgb="FF15803D"/>
      </bottom>
      <diagonal/>
    </border>
    <border>
      <left/>
      <right/>
      <top style="medium">
        <color rgb="FF15803D"/>
      </top>
      <bottom style="medium">
        <color rgb="FF15803D"/>
      </bottom>
      <diagonal/>
    </border>
    <border>
      <left/>
      <right style="medium">
        <color rgb="FF15803D"/>
      </right>
      <top style="medium">
        <color rgb="FF15803D"/>
      </top>
      <bottom style="medium">
        <color rgb="FF15803D"/>
      </bottom>
      <diagonal/>
    </border>
    <border>
      <left style="medium">
        <color rgb="FF7C3AED"/>
      </left>
      <right/>
      <top style="medium">
        <color rgb="FF7C3AED"/>
      </top>
      <bottom/>
      <diagonal/>
    </border>
    <border>
      <left/>
      <right/>
      <top style="medium">
        <color rgb="FF7C3AED"/>
      </top>
      <bottom/>
      <diagonal/>
    </border>
    <border>
      <left/>
      <right style="medium">
        <color rgb="FF7C3AED"/>
      </right>
      <top style="medium">
        <color rgb="FF7C3AED"/>
      </top>
      <bottom/>
      <diagonal/>
    </border>
    <border>
      <left style="medium">
        <color rgb="FF7C3AED"/>
      </left>
      <right/>
      <top/>
      <bottom style="medium">
        <color rgb="FF7C3AED"/>
      </bottom>
      <diagonal/>
    </border>
    <border>
      <left/>
      <right/>
      <top/>
      <bottom style="medium">
        <color rgb="FF7C3AED"/>
      </bottom>
      <diagonal/>
    </border>
    <border>
      <left/>
      <right style="medium">
        <color rgb="FF7C3AED"/>
      </right>
      <top/>
      <bottom style="medium">
        <color rgb="FF7C3AED"/>
      </bottom>
      <diagonal/>
    </border>
    <border>
      <left style="medium">
        <color rgb="FFEA580C"/>
      </left>
      <right/>
      <top style="medium">
        <color rgb="FFEA580C"/>
      </top>
      <bottom/>
      <diagonal/>
    </border>
    <border>
      <left/>
      <right/>
      <top style="medium">
        <color rgb="FFEA580C"/>
      </top>
      <bottom/>
      <diagonal/>
    </border>
    <border>
      <left/>
      <right style="medium">
        <color rgb="FFEA580C"/>
      </right>
      <top style="medium">
        <color rgb="FFEA580C"/>
      </top>
      <bottom/>
      <diagonal/>
    </border>
    <border>
      <left style="medium">
        <color rgb="FFEA580C"/>
      </left>
      <right/>
      <top/>
      <bottom style="medium">
        <color rgb="FFEA580C"/>
      </bottom>
      <diagonal/>
    </border>
    <border>
      <left/>
      <right/>
      <top/>
      <bottom style="medium">
        <color rgb="FFEA580C"/>
      </bottom>
      <diagonal/>
    </border>
    <border>
      <left/>
      <right style="medium">
        <color rgb="FFEA580C"/>
      </right>
      <top/>
      <bottom style="medium">
        <color rgb="FFEA580C"/>
      </bottom>
      <diagonal/>
    </border>
    <border>
      <left style="medium">
        <color rgb="FF2563EB"/>
      </left>
      <right/>
      <top style="medium">
        <color rgb="FF2563EB"/>
      </top>
      <bottom/>
      <diagonal/>
    </border>
    <border>
      <left/>
      <right/>
      <top style="medium">
        <color rgb="FF2563EB"/>
      </top>
      <bottom/>
      <diagonal/>
    </border>
    <border>
      <left/>
      <right style="medium">
        <color rgb="FF2563EB"/>
      </right>
      <top style="medium">
        <color rgb="FF2563EB"/>
      </top>
      <bottom/>
      <diagonal/>
    </border>
    <border>
      <left style="medium">
        <color rgb="FF2563EB"/>
      </left>
      <right/>
      <top/>
      <bottom style="medium">
        <color rgb="FF2563EB"/>
      </bottom>
      <diagonal/>
    </border>
    <border>
      <left/>
      <right/>
      <top/>
      <bottom style="medium">
        <color rgb="FF2563EB"/>
      </bottom>
      <diagonal/>
    </border>
    <border>
      <left/>
      <right style="medium">
        <color rgb="FF2563EB"/>
      </right>
      <top/>
      <bottom style="medium">
        <color rgb="FF2563EB"/>
      </bottom>
      <diagonal/>
    </border>
    <border>
      <left style="medium">
        <color rgb="FF15803D"/>
      </left>
      <right/>
      <top style="medium">
        <color rgb="FF15803D"/>
      </top>
      <bottom/>
      <diagonal/>
    </border>
    <border>
      <left/>
      <right/>
      <top style="medium">
        <color rgb="FF15803D"/>
      </top>
      <bottom/>
      <diagonal/>
    </border>
    <border>
      <left/>
      <right style="medium">
        <color rgb="FF15803D"/>
      </right>
      <top style="medium">
        <color rgb="FF15803D"/>
      </top>
      <bottom/>
      <diagonal/>
    </border>
    <border>
      <left style="medium">
        <color rgb="FF15803D"/>
      </left>
      <right/>
      <top/>
      <bottom style="medium">
        <color rgb="FF15803D"/>
      </bottom>
      <diagonal/>
    </border>
    <border>
      <left/>
      <right/>
      <top/>
      <bottom style="medium">
        <color rgb="FF15803D"/>
      </bottom>
      <diagonal/>
    </border>
    <border>
      <left/>
      <right style="medium">
        <color rgb="FF15803D"/>
      </right>
      <top/>
      <bottom style="medium">
        <color rgb="FF15803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20" borderId="29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0" applyNumberFormat="0" applyFill="0" applyAlignment="0" applyProtection="0">
      <alignment vertical="center"/>
    </xf>
    <xf numFmtId="0" fontId="21" fillId="0" borderId="30" applyNumberFormat="0" applyFill="0" applyAlignment="0" applyProtection="0">
      <alignment vertical="center"/>
    </xf>
    <xf numFmtId="0" fontId="22" fillId="0" borderId="31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1" borderId="32" applyNumberFormat="0" applyAlignment="0" applyProtection="0">
      <alignment vertical="center"/>
    </xf>
    <xf numFmtId="0" fontId="24" fillId="22" borderId="33" applyNumberFormat="0" applyAlignment="0" applyProtection="0">
      <alignment vertical="center"/>
    </xf>
    <xf numFmtId="0" fontId="25" fillId="22" borderId="32" applyNumberFormat="0" applyAlignment="0" applyProtection="0">
      <alignment vertical="center"/>
    </xf>
    <xf numFmtId="0" fontId="26" fillId="23" borderId="34" applyNumberFormat="0" applyAlignment="0" applyProtection="0">
      <alignment vertical="center"/>
    </xf>
    <xf numFmtId="0" fontId="27" fillId="0" borderId="35" applyNumberFormat="0" applyFill="0" applyAlignment="0" applyProtection="0">
      <alignment vertical="center"/>
    </xf>
    <xf numFmtId="0" fontId="28" fillId="0" borderId="36" applyNumberFormat="0" applyFill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0" fillId="0" borderId="0"/>
  </cellStyleXfs>
  <cellXfs count="63">
    <xf numFmtId="0" fontId="0" fillId="0" borderId="0" xfId="49"/>
    <xf numFmtId="0" fontId="1" fillId="2" borderId="0" xfId="49" applyNumberFormat="1" applyFont="1" applyFill="1" applyBorder="1" applyAlignment="1">
      <alignment horizontal="left" vertical="center"/>
    </xf>
    <xf numFmtId="0" fontId="2" fillId="3" borderId="0" xfId="49" applyNumberFormat="1" applyFont="1" applyFill="1" applyBorder="1" applyAlignment="1">
      <alignment horizontal="left" vertical="center" wrapText="1"/>
    </xf>
    <xf numFmtId="0" fontId="0" fillId="0" borderId="0" xfId="49" applyNumberFormat="1" applyFont="1" applyFill="1" applyBorder="1" applyAlignment="1">
      <alignment vertical="center"/>
    </xf>
    <xf numFmtId="0" fontId="3" fillId="4" borderId="1" xfId="49" applyNumberFormat="1" applyFont="1" applyFill="1" applyBorder="1" applyAlignment="1">
      <alignment horizontal="center" vertical="center" wrapText="1"/>
    </xf>
    <xf numFmtId="0" fontId="4" fillId="5" borderId="1" xfId="49" applyNumberFormat="1" applyFont="1" applyFill="1" applyBorder="1" applyAlignment="1">
      <alignment horizontal="left" vertical="center" wrapText="1"/>
    </xf>
    <xf numFmtId="0" fontId="3" fillId="6" borderId="1" xfId="49" applyNumberFormat="1" applyFont="1" applyFill="1" applyBorder="1" applyAlignment="1">
      <alignment horizontal="center" vertical="center" wrapText="1"/>
    </xf>
    <xf numFmtId="0" fontId="5" fillId="7" borderId="2" xfId="49" applyNumberFormat="1" applyFont="1" applyFill="1" applyBorder="1" applyAlignment="1">
      <alignment vertical="center" wrapText="1"/>
    </xf>
    <xf numFmtId="0" fontId="5" fillId="7" borderId="3" xfId="49" applyNumberFormat="1" applyFont="1" applyFill="1" applyBorder="1" applyAlignment="1">
      <alignment vertical="center" wrapText="1"/>
    </xf>
    <xf numFmtId="0" fontId="5" fillId="7" borderId="4" xfId="49" applyNumberFormat="1" applyFont="1" applyFill="1" applyBorder="1" applyAlignment="1">
      <alignment vertical="center" wrapText="1"/>
    </xf>
    <xf numFmtId="0" fontId="3" fillId="8" borderId="1" xfId="49" applyNumberFormat="1" applyFont="1" applyFill="1" applyBorder="1" applyAlignment="1">
      <alignment horizontal="center" vertical="center" wrapText="1"/>
    </xf>
    <xf numFmtId="0" fontId="3" fillId="9" borderId="1" xfId="49" applyNumberFormat="1" applyFont="1" applyFill="1" applyBorder="1" applyAlignment="1">
      <alignment horizontal="center" vertical="center" wrapText="1"/>
    </xf>
    <xf numFmtId="0" fontId="4" fillId="10" borderId="1" xfId="49" applyNumberFormat="1" applyFont="1" applyFill="1" applyBorder="1" applyAlignment="1">
      <alignment horizontal="left" vertical="center" wrapText="1"/>
    </xf>
    <xf numFmtId="0" fontId="3" fillId="11" borderId="1" xfId="49" applyNumberFormat="1" applyFont="1" applyFill="1" applyBorder="1" applyAlignment="1">
      <alignment horizontal="center" vertical="center" wrapText="1"/>
    </xf>
    <xf numFmtId="9" fontId="4" fillId="12" borderId="1" xfId="49" applyNumberFormat="1" applyFont="1" applyFill="1" applyBorder="1" applyAlignment="1">
      <alignment horizontal="left" vertical="center" wrapText="1"/>
    </xf>
    <xf numFmtId="0" fontId="4" fillId="13" borderId="1" xfId="49" applyNumberFormat="1" applyFont="1" applyFill="1" applyBorder="1" applyAlignment="1">
      <alignment horizontal="center" vertical="center" wrapText="1"/>
    </xf>
    <xf numFmtId="0" fontId="3" fillId="14" borderId="1" xfId="49" applyNumberFormat="1" applyFont="1" applyFill="1" applyBorder="1" applyAlignment="1">
      <alignment horizontal="center" vertical="center" wrapText="1"/>
    </xf>
    <xf numFmtId="0" fontId="4" fillId="15" borderId="1" xfId="49" applyNumberFormat="1" applyFont="1" applyFill="1" applyBorder="1" applyAlignment="1">
      <alignment horizontal="center" vertical="center" wrapText="1"/>
    </xf>
    <xf numFmtId="0" fontId="4" fillId="16" borderId="1" xfId="49" applyNumberFormat="1" applyFont="1" applyFill="1" applyBorder="1" applyAlignment="1">
      <alignment horizontal="center" vertical="center" wrapText="1"/>
    </xf>
    <xf numFmtId="0" fontId="4" fillId="17" borderId="1" xfId="49" applyNumberFormat="1" applyFont="1" applyFill="1" applyBorder="1" applyAlignment="1">
      <alignment horizontal="center" vertical="center" wrapText="1"/>
    </xf>
    <xf numFmtId="0" fontId="3" fillId="18" borderId="1" xfId="49" applyNumberFormat="1" applyFont="1" applyFill="1" applyBorder="1" applyAlignment="1">
      <alignment horizontal="center" vertical="center" wrapText="1"/>
    </xf>
    <xf numFmtId="0" fontId="4" fillId="5" borderId="1" xfId="49" applyNumberFormat="1" applyFont="1" applyFill="1" applyBorder="1" applyAlignment="1">
      <alignment horizontal="center" vertical="center" wrapText="1"/>
    </xf>
    <xf numFmtId="0" fontId="3" fillId="14" borderId="0" xfId="49" applyNumberFormat="1" applyFont="1" applyFill="1" applyBorder="1" applyAlignment="1">
      <alignment horizontal="center" vertical="center" wrapText="1"/>
    </xf>
    <xf numFmtId="0" fontId="6" fillId="15" borderId="5" xfId="49" applyNumberFormat="1" applyFont="1" applyFill="1" applyBorder="1" applyAlignment="1">
      <alignment horizontal="center" vertical="center" wrapText="1"/>
    </xf>
    <xf numFmtId="0" fontId="6" fillId="15" borderId="6" xfId="49" applyNumberFormat="1" applyFont="1" applyFill="1" applyBorder="1" applyAlignment="1">
      <alignment horizontal="center" vertical="center" wrapText="1"/>
    </xf>
    <xf numFmtId="0" fontId="6" fillId="15" borderId="7" xfId="49" applyNumberFormat="1" applyFont="1" applyFill="1" applyBorder="1" applyAlignment="1">
      <alignment horizontal="center" vertical="center" wrapText="1"/>
    </xf>
    <xf numFmtId="0" fontId="6" fillId="15" borderId="8" xfId="49" applyNumberFormat="1" applyFont="1" applyFill="1" applyBorder="1" applyAlignment="1">
      <alignment horizontal="center" vertical="center" wrapText="1"/>
    </xf>
    <xf numFmtId="0" fontId="6" fillId="15" borderId="9" xfId="49" applyNumberFormat="1" applyFont="1" applyFill="1" applyBorder="1" applyAlignment="1">
      <alignment horizontal="center" vertical="center" wrapText="1"/>
    </xf>
    <xf numFmtId="0" fontId="6" fillId="15" borderId="10" xfId="49" applyNumberFormat="1" applyFont="1" applyFill="1" applyBorder="1" applyAlignment="1">
      <alignment horizontal="center" vertical="center" wrapText="1"/>
    </xf>
    <xf numFmtId="0" fontId="3" fillId="8" borderId="0" xfId="49" applyNumberFormat="1" applyFont="1" applyFill="1" applyBorder="1" applyAlignment="1">
      <alignment horizontal="center" vertical="center" wrapText="1"/>
    </xf>
    <xf numFmtId="0" fontId="6" fillId="13" borderId="11" xfId="49" applyNumberFormat="1" applyFont="1" applyFill="1" applyBorder="1" applyAlignment="1">
      <alignment horizontal="center" vertical="center" wrapText="1"/>
    </xf>
    <xf numFmtId="0" fontId="6" fillId="13" borderId="12" xfId="49" applyNumberFormat="1" applyFont="1" applyFill="1" applyBorder="1" applyAlignment="1">
      <alignment horizontal="center" vertical="center" wrapText="1"/>
    </xf>
    <xf numFmtId="0" fontId="6" fillId="13" borderId="13" xfId="49" applyNumberFormat="1" applyFont="1" applyFill="1" applyBorder="1" applyAlignment="1">
      <alignment horizontal="center" vertical="center" wrapText="1"/>
    </xf>
    <xf numFmtId="0" fontId="6" fillId="13" borderId="14" xfId="49" applyNumberFormat="1" applyFont="1" applyFill="1" applyBorder="1" applyAlignment="1">
      <alignment horizontal="center" vertical="center" wrapText="1"/>
    </xf>
    <xf numFmtId="0" fontId="6" fillId="13" borderId="15" xfId="49" applyNumberFormat="1" applyFont="1" applyFill="1" applyBorder="1" applyAlignment="1">
      <alignment horizontal="center" vertical="center" wrapText="1"/>
    </xf>
    <xf numFmtId="0" fontId="6" fillId="13" borderId="16" xfId="49" applyNumberFormat="1" applyFont="1" applyFill="1" applyBorder="1" applyAlignment="1">
      <alignment horizontal="center" vertical="center" wrapText="1"/>
    </xf>
    <xf numFmtId="0" fontId="3" fillId="18" borderId="0" xfId="49" applyNumberFormat="1" applyFont="1" applyFill="1" applyBorder="1" applyAlignment="1">
      <alignment horizontal="center" vertical="center" wrapText="1"/>
    </xf>
    <xf numFmtId="0" fontId="6" fillId="3" borderId="17" xfId="49" applyNumberFormat="1" applyFont="1" applyFill="1" applyBorder="1" applyAlignment="1">
      <alignment horizontal="center" vertical="center" wrapText="1"/>
    </xf>
    <xf numFmtId="0" fontId="6" fillId="3" borderId="18" xfId="49" applyNumberFormat="1" applyFont="1" applyFill="1" applyBorder="1" applyAlignment="1">
      <alignment horizontal="center" vertical="center" wrapText="1"/>
    </xf>
    <xf numFmtId="0" fontId="6" fillId="3" borderId="19" xfId="49" applyNumberFormat="1" applyFont="1" applyFill="1" applyBorder="1" applyAlignment="1">
      <alignment horizontal="center" vertical="center" wrapText="1"/>
    </xf>
    <xf numFmtId="0" fontId="6" fillId="3" borderId="20" xfId="49" applyNumberFormat="1" applyFont="1" applyFill="1" applyBorder="1" applyAlignment="1">
      <alignment horizontal="center" vertical="center" wrapText="1"/>
    </xf>
    <xf numFmtId="0" fontId="6" fillId="3" borderId="21" xfId="49" applyNumberFormat="1" applyFont="1" applyFill="1" applyBorder="1" applyAlignment="1">
      <alignment horizontal="center" vertical="center" wrapText="1"/>
    </xf>
    <xf numFmtId="0" fontId="6" fillId="3" borderId="22" xfId="49" applyNumberFormat="1" applyFont="1" applyFill="1" applyBorder="1" applyAlignment="1">
      <alignment horizontal="center" vertical="center" wrapText="1"/>
    </xf>
    <xf numFmtId="0" fontId="3" fillId="11" borderId="0" xfId="49" applyNumberFormat="1" applyFont="1" applyFill="1" applyBorder="1" applyAlignment="1">
      <alignment horizontal="center" vertical="center" wrapText="1"/>
    </xf>
    <xf numFmtId="0" fontId="6" fillId="7" borderId="23" xfId="49" applyNumberFormat="1" applyFont="1" applyFill="1" applyBorder="1" applyAlignment="1">
      <alignment horizontal="center" vertical="center" wrapText="1"/>
    </xf>
    <xf numFmtId="0" fontId="6" fillId="7" borderId="24" xfId="49" applyNumberFormat="1" applyFont="1" applyFill="1" applyBorder="1" applyAlignment="1">
      <alignment horizontal="center" vertical="center" wrapText="1"/>
    </xf>
    <xf numFmtId="0" fontId="6" fillId="7" borderId="25" xfId="49" applyNumberFormat="1" applyFont="1" applyFill="1" applyBorder="1" applyAlignment="1">
      <alignment horizontal="center" vertical="center" wrapText="1"/>
    </xf>
    <xf numFmtId="0" fontId="6" fillId="7" borderId="26" xfId="49" applyNumberFormat="1" applyFont="1" applyFill="1" applyBorder="1" applyAlignment="1">
      <alignment horizontal="center" vertical="center" wrapText="1"/>
    </xf>
    <xf numFmtId="0" fontId="6" fillId="7" borderId="27" xfId="49" applyNumberFormat="1" applyFont="1" applyFill="1" applyBorder="1" applyAlignment="1">
      <alignment horizontal="center" vertical="center" wrapText="1"/>
    </xf>
    <xf numFmtId="0" fontId="6" fillId="7" borderId="28" xfId="49" applyNumberFormat="1" applyFont="1" applyFill="1" applyBorder="1" applyAlignment="1">
      <alignment horizontal="center" vertical="center" wrapText="1"/>
    </xf>
    <xf numFmtId="0" fontId="7" fillId="0" borderId="0" xfId="49" applyNumberFormat="1" applyFont="1" applyFill="1" applyBorder="1" applyAlignment="1">
      <alignment horizontal="center" vertical="center"/>
    </xf>
    <xf numFmtId="0" fontId="8" fillId="0" borderId="0" xfId="49" applyNumberFormat="1" applyFont="1" applyFill="1" applyBorder="1" applyAlignment="1">
      <alignment horizontal="center" vertical="center"/>
    </xf>
    <xf numFmtId="0" fontId="9" fillId="0" borderId="0" xfId="49" applyNumberFormat="1" applyFont="1" applyFill="1" applyBorder="1" applyAlignment="1">
      <alignment horizontal="center" vertical="center"/>
    </xf>
    <xf numFmtId="0" fontId="10" fillId="0" borderId="0" xfId="49" applyNumberFormat="1" applyFont="1" applyFill="1" applyBorder="1" applyAlignment="1">
      <alignment horizontal="center" vertical="center"/>
    </xf>
    <xf numFmtId="0" fontId="11" fillId="3" borderId="1" xfId="49" applyNumberFormat="1" applyFont="1" applyFill="1" applyBorder="1" applyAlignment="1">
      <alignment horizontal="center" vertical="center"/>
    </xf>
    <xf numFmtId="0" fontId="11" fillId="7" borderId="1" xfId="49" applyNumberFormat="1" applyFont="1" applyFill="1" applyBorder="1" applyAlignment="1">
      <alignment horizontal="center" vertical="center"/>
    </xf>
    <xf numFmtId="0" fontId="12" fillId="10" borderId="1" xfId="49" applyNumberFormat="1" applyFont="1" applyFill="1" applyBorder="1" applyAlignment="1">
      <alignment horizontal="center" vertical="center" wrapText="1"/>
    </xf>
    <xf numFmtId="0" fontId="13" fillId="12" borderId="0" xfId="49" applyNumberFormat="1" applyFont="1" applyFill="1" applyBorder="1" applyAlignment="1">
      <alignment vertical="center" wrapText="1"/>
    </xf>
    <xf numFmtId="9" fontId="11" fillId="19" borderId="1" xfId="49" applyNumberFormat="1" applyFont="1" applyFill="1" applyBorder="1" applyAlignment="1">
      <alignment horizontal="center" vertical="center"/>
    </xf>
    <xf numFmtId="0" fontId="4" fillId="13" borderId="1" xfId="49" applyNumberFormat="1" applyFont="1" applyFill="1" applyBorder="1" applyAlignment="1">
      <alignment horizontal="left" vertical="center" wrapText="1"/>
    </xf>
    <xf numFmtId="9" fontId="11" fillId="15" borderId="1" xfId="49" applyNumberFormat="1" applyFont="1" applyFill="1" applyBorder="1" applyAlignment="1">
      <alignment horizontal="center" vertical="center"/>
    </xf>
    <xf numFmtId="9" fontId="11" fillId="13" borderId="1" xfId="49" applyNumberFormat="1" applyFont="1" applyFill="1" applyBorder="1" applyAlignment="1">
      <alignment horizontal="center" vertical="center"/>
    </xf>
    <xf numFmtId="0" fontId="4" fillId="3" borderId="1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BusinessFlowTable" displayName="BusinessFlowTable" ref="A21:J33" totalsRowShown="0">
  <autoFilter ref="A21:J33"/>
  <tableColumns count="10">
    <tableColumn id="1" name="流程编号"/>
    <tableColumn id="2" name="流程名称"/>
    <tableColumn id="3" name="触发输入"/>
    <tableColumn id="4" name="核心步骤"/>
    <tableColumn id="5" name="主要角色"/>
    <tableColumn id="6" name="前置状态"/>
    <tableColumn id="7" name="后置结果"/>
    <tableColumn id="8" name="关联需求"/>
    <tableColumn id="9" name="原型对应"/>
    <tableColumn id="10" name="需求状态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ModuleFunctionTable" displayName="ModuleFunctionTable" ref="A4:L15" totalsRowShown="0">
  <autoFilter ref="A4:L15"/>
  <tableColumns count="12">
    <tableColumn id="1" name="模块编号"/>
    <tableColumn id="2" name="模块名称"/>
    <tableColumn id="3" name="业务目标"/>
    <tableColumn id="4" name="核心功能"/>
    <tableColumn id="5" name="主要角色"/>
    <tableColumn id="6" name="关联流程"/>
    <tableColumn id="7" name="主要表单/页面"/>
    <tableColumn id="8" name="范围阶段"/>
    <tableColumn id="9" name="原型对应"/>
    <tableColumn id="10" name="需求状态"/>
    <tableColumn id="11" name="客户确认重点"/>
    <tableColumn id="12" name="客户意见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6" name="ProjectProgressTable" displayName="ProjectProgressTable" ref="A4:L84" totalsRowShown="0">
  <autoFilter ref="A4:L84"/>
  <tableColumns count="12">
    <tableColumn id="1" name="需求编号"/>
    <tableColumn id="2" name="模块"/>
    <tableColumn id="3" name="功能"/>
    <tableColumn id="4" name="责任人"/>
    <tableColumn id="5" name="开发状态"/>
    <tableColumn id="6" name="测试状态"/>
    <tableColumn id="7" name="验收状态"/>
    <tableColumn id="8" name="完成率"/>
    <tableColumn id="9" name="计划开始"/>
    <tableColumn id="10" name="计划结束"/>
    <tableColumn id="11" name="实际完成"/>
    <tableColumn id="12" name="依赖/风险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7" name="OpenQuestionTable" displayName="OpenQuestionTable" ref="A4:L25" totalsRowShown="0">
  <autoFilter ref="A4:L25"/>
  <tableColumns count="12">
    <tableColumn id="1" name="编号"/>
    <tableColumn id="2" name="优先级"/>
    <tableColumn id="3" name="确认主题"/>
    <tableColumn id="4" name="需要客户确认"/>
    <tableColumn id="5" name="影响范围"/>
    <tableColumn id="6" name="建议参与人"/>
    <tableColumn id="7" name="责任人"/>
    <tableColumn id="8" name="期望确认日期"/>
    <tableColumn id="9" name="状态"/>
    <tableColumn id="10" name="客户结论"/>
    <tableColumn id="11" name="关联流程/需求"/>
    <tableColumn id="12" name="备注"/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id="8" name="RequirementChangeLogTable" displayName="RequirementChangeLogTable" ref="A4:J7" totalsRowShown="0">
  <autoFilter ref="A4:J7"/>
  <tableColumns count="10">
    <tableColumn id="1" name="变更编号"/>
    <tableColumn id="2" name="日期"/>
    <tableColumn id="3" name="关联需求/字段/流程"/>
    <tableColumn id="4" name="变更前"/>
    <tableColumn id="5" name="变更后"/>
    <tableColumn id="6" name="变更原因"/>
    <tableColumn id="7" name="提出方"/>
    <tableColumn id="8" name="影响范围"/>
    <tableColumn id="9" name="决策结果"/>
    <tableColumn id="10" name="生效版本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9" name="BasisTable" displayName="BasisTable" ref="A4:F10" totalsRowShown="0">
  <autoFilter ref="A4:F10"/>
  <tableColumns count="6">
    <tableColumn id="1" name="资料/依据"/>
    <tableColumn id="2" name="版本/日期"/>
    <tableColumn id="3" name="用途"/>
    <tableColumn id="4" name="采用方式"/>
    <tableColumn id="5" name="证据等级"/>
    <tableColumn id="6" name="重要边界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7324D"/>
  </sheetPr>
  <dimension ref="A1:P18"/>
  <sheetViews>
    <sheetView showGridLines="0" workbookViewId="0">
      <pane ySplit="2" topLeftCell="A3" activePane="bottomLeft" state="frozen"/>
      <selection/>
      <selection pane="bottomLeft" activeCell="A1" sqref="A1:P1"/>
    </sheetView>
  </sheetViews>
  <sheetFormatPr defaultColWidth="9" defaultRowHeight="16.8"/>
  <cols>
    <col min="1" max="1" width="12" customWidth="1"/>
    <col min="2" max="2" width="19" customWidth="1"/>
    <col min="3" max="4" width="14" customWidth="1"/>
    <col min="5" max="5" width="22" customWidth="1"/>
    <col min="6" max="6" width="18" customWidth="1"/>
    <col min="7" max="7" width="3" customWidth="1"/>
    <col min="8" max="8" width="5" customWidth="1"/>
    <col min="9" max="10" width="18" customWidth="1"/>
    <col min="11" max="15" width="12" customWidth="1"/>
    <col min="16" max="16" width="18" customWidth="1"/>
  </cols>
  <sheetData>
    <row r="1" ht="38" customHeight="1" spans="1:16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</row>
    <row r="2" ht="28" customHeight="1" spans="1:16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</row>
    <row r="3" spans="1:1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30" customHeight="1" spans="1:16">
      <c r="A4" s="4" t="s">
        <v>2</v>
      </c>
      <c r="B4" s="4"/>
      <c r="C4" s="4"/>
      <c r="D4" s="4" t="s">
        <v>3</v>
      </c>
      <c r="E4" s="4"/>
      <c r="F4" s="4"/>
      <c r="G4" s="4" t="s">
        <v>4</v>
      </c>
      <c r="H4" s="4"/>
      <c r="I4" s="4"/>
      <c r="J4" s="4" t="s">
        <v>5</v>
      </c>
      <c r="K4" s="4"/>
      <c r="L4" s="4"/>
      <c r="M4" s="4" t="s">
        <v>6</v>
      </c>
      <c r="N4" s="4"/>
      <c r="O4" s="4"/>
      <c r="P4" s="4"/>
    </row>
    <row r="5" spans="1:16">
      <c r="A5" s="54">
        <f>COUNTA(需求確認主表!$A$5:$A$84)</f>
        <v>80</v>
      </c>
      <c r="B5" s="54"/>
      <c r="C5" s="54"/>
      <c r="D5" s="55">
        <f>COUNTIF(需求確認主表!$L$5:$L$84,"已批准")</f>
        <v>0</v>
      </c>
      <c r="E5" s="55"/>
      <c r="F5" s="55"/>
      <c r="G5" s="58">
        <f>IF(A5=0,0,D5/A5)</f>
        <v>0</v>
      </c>
      <c r="H5" s="58"/>
      <c r="I5" s="58"/>
      <c r="J5" s="60">
        <f>IF(A5=0,0,(A5-COUNTIF(需求確認主表!$J$5:$J$84,"未覆蓋"))/A5)</f>
        <v>0.9875</v>
      </c>
      <c r="K5" s="60"/>
      <c r="L5" s="60"/>
      <c r="M5" s="61">
        <f>IFERROR(SUMPRODUCT((需求確認主表!$L$5:$L$84="已批准")*(需求確認主表!$K$5:$K$84="本期擬納入")*(項目進度!$H$5:$H$84))/COUNTIFS(需求確認主表!$L$5:$L$84,"已批准",需求確認主表!$K$5:$K$84,"本期擬納入"),0)</f>
        <v>0</v>
      </c>
      <c r="N5" s="61"/>
      <c r="O5" s="61"/>
      <c r="P5" s="61"/>
    </row>
    <row r="6" spans="1:16">
      <c r="A6" s="54"/>
      <c r="B6" s="54"/>
      <c r="C6" s="54"/>
      <c r="D6" s="55"/>
      <c r="E6" s="55"/>
      <c r="F6" s="55"/>
      <c r="G6" s="58"/>
      <c r="H6" s="58"/>
      <c r="I6" s="58"/>
      <c r="J6" s="60"/>
      <c r="K6" s="60"/>
      <c r="L6" s="60"/>
      <c r="M6" s="61"/>
      <c r="N6" s="61"/>
      <c r="O6" s="61"/>
      <c r="P6" s="61"/>
    </row>
    <row r="7" spans="1:16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ht="30" customHeight="1" spans="1:16">
      <c r="A8" s="4" t="s">
        <v>7</v>
      </c>
      <c r="B8" s="4"/>
      <c r="C8" s="4"/>
      <c r="D8" s="56" t="s">
        <v>8</v>
      </c>
      <c r="E8" s="56"/>
      <c r="F8" s="56"/>
      <c r="G8" s="4" t="s">
        <v>9</v>
      </c>
      <c r="H8" s="4"/>
      <c r="I8" s="4"/>
      <c r="J8" s="56" t="s">
        <v>10</v>
      </c>
      <c r="K8" s="56"/>
      <c r="L8" s="56"/>
      <c r="M8" s="4" t="s">
        <v>11</v>
      </c>
      <c r="N8" s="4"/>
      <c r="O8" s="62" t="s">
        <v>12</v>
      </c>
      <c r="P8" s="62"/>
    </row>
    <row r="9" spans="1:1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30" customHeight="1" spans="1:16">
      <c r="A10" s="6" t="s">
        <v>13</v>
      </c>
      <c r="B10" s="6" t="s">
        <v>14</v>
      </c>
      <c r="C10" s="6" t="s">
        <v>15</v>
      </c>
      <c r="D10" s="6" t="s">
        <v>16</v>
      </c>
      <c r="E10" s="6" t="s">
        <v>17</v>
      </c>
      <c r="F10" s="6" t="s">
        <v>18</v>
      </c>
      <c r="G10" s="3"/>
      <c r="H10" s="10" t="s">
        <v>19</v>
      </c>
      <c r="I10" s="10" t="s">
        <v>19</v>
      </c>
      <c r="J10" s="10" t="s">
        <v>19</v>
      </c>
      <c r="K10" s="10" t="s">
        <v>19</v>
      </c>
      <c r="L10" s="10" t="s">
        <v>19</v>
      </c>
      <c r="M10" s="10" t="s">
        <v>19</v>
      </c>
      <c r="N10" s="10" t="s">
        <v>19</v>
      </c>
      <c r="O10" s="10" t="s">
        <v>19</v>
      </c>
      <c r="P10" s="10" t="s">
        <v>19</v>
      </c>
    </row>
    <row r="11" ht="28" spans="1:16">
      <c r="A11" s="5" t="s">
        <v>20</v>
      </c>
      <c r="B11" s="5" t="s">
        <v>21</v>
      </c>
      <c r="C11" s="12" t="s">
        <v>10</v>
      </c>
      <c r="D11" s="5" t="s">
        <v>22</v>
      </c>
      <c r="E11" s="5" t="s">
        <v>23</v>
      </c>
      <c r="F11" s="5" t="s">
        <v>24</v>
      </c>
      <c r="G11" s="3"/>
      <c r="H11" s="59" t="s">
        <v>25</v>
      </c>
      <c r="I11" s="59" t="s">
        <v>26</v>
      </c>
      <c r="J11" s="59" t="s">
        <v>27</v>
      </c>
      <c r="K11" s="59" t="s">
        <v>27</v>
      </c>
      <c r="L11" s="59" t="s">
        <v>27</v>
      </c>
      <c r="M11" s="59" t="s">
        <v>27</v>
      </c>
      <c r="N11" s="59" t="s">
        <v>27</v>
      </c>
      <c r="O11" s="59" t="s">
        <v>27</v>
      </c>
      <c r="P11" s="59" t="s">
        <v>27</v>
      </c>
    </row>
    <row r="12" ht="28" spans="1:16">
      <c r="A12" s="5" t="s">
        <v>28</v>
      </c>
      <c r="B12" s="5" t="s">
        <v>29</v>
      </c>
      <c r="C12" s="12" t="s">
        <v>10</v>
      </c>
      <c r="D12" s="5" t="s">
        <v>22</v>
      </c>
      <c r="E12" s="5" t="s">
        <v>30</v>
      </c>
      <c r="F12" s="5" t="s">
        <v>31</v>
      </c>
      <c r="G12" s="3"/>
      <c r="H12" s="59" t="s">
        <v>32</v>
      </c>
      <c r="I12" s="59" t="s">
        <v>33</v>
      </c>
      <c r="J12" s="59" t="s">
        <v>34</v>
      </c>
      <c r="K12" s="59" t="s">
        <v>34</v>
      </c>
      <c r="L12" s="59" t="s">
        <v>34</v>
      </c>
      <c r="M12" s="59" t="s">
        <v>34</v>
      </c>
      <c r="N12" s="59" t="s">
        <v>34</v>
      </c>
      <c r="O12" s="59" t="s">
        <v>34</v>
      </c>
      <c r="P12" s="59" t="s">
        <v>34</v>
      </c>
    </row>
    <row r="13" ht="28" spans="1:16">
      <c r="A13" s="5" t="s">
        <v>35</v>
      </c>
      <c r="B13" s="5" t="s">
        <v>36</v>
      </c>
      <c r="C13" s="12" t="s">
        <v>10</v>
      </c>
      <c r="D13" s="5" t="s">
        <v>37</v>
      </c>
      <c r="E13" s="5" t="s">
        <v>38</v>
      </c>
      <c r="F13" s="5" t="s">
        <v>39</v>
      </c>
      <c r="G13" s="3"/>
      <c r="H13" s="59" t="s">
        <v>40</v>
      </c>
      <c r="I13" s="59" t="s">
        <v>41</v>
      </c>
      <c r="J13" s="59" t="s">
        <v>42</v>
      </c>
      <c r="K13" s="59" t="s">
        <v>42</v>
      </c>
      <c r="L13" s="59" t="s">
        <v>42</v>
      </c>
      <c r="M13" s="59" t="s">
        <v>42</v>
      </c>
      <c r="N13" s="59" t="s">
        <v>42</v>
      </c>
      <c r="O13" s="59" t="s">
        <v>42</v>
      </c>
      <c r="P13" s="59" t="s">
        <v>42</v>
      </c>
    </row>
    <row r="14" spans="1:16">
      <c r="A14" s="5" t="s">
        <v>43</v>
      </c>
      <c r="B14" s="5" t="s">
        <v>44</v>
      </c>
      <c r="C14" s="12" t="s">
        <v>10</v>
      </c>
      <c r="D14" s="5" t="s">
        <v>37</v>
      </c>
      <c r="E14" s="5" t="s">
        <v>45</v>
      </c>
      <c r="F14" s="5" t="s">
        <v>46</v>
      </c>
      <c r="G14" s="3"/>
      <c r="H14" s="59" t="s">
        <v>47</v>
      </c>
      <c r="I14" s="59" t="s">
        <v>48</v>
      </c>
      <c r="J14" s="59" t="s">
        <v>49</v>
      </c>
      <c r="K14" s="59" t="s">
        <v>49</v>
      </c>
      <c r="L14" s="59" t="s">
        <v>49</v>
      </c>
      <c r="M14" s="59" t="s">
        <v>49</v>
      </c>
      <c r="N14" s="59" t="s">
        <v>49</v>
      </c>
      <c r="O14" s="59" t="s">
        <v>49</v>
      </c>
      <c r="P14" s="59" t="s">
        <v>49</v>
      </c>
    </row>
    <row r="15" spans="1:16">
      <c r="A15" s="5" t="s">
        <v>50</v>
      </c>
      <c r="B15" s="5" t="s">
        <v>51</v>
      </c>
      <c r="C15" s="12" t="s">
        <v>10</v>
      </c>
      <c r="D15" s="5" t="s">
        <v>37</v>
      </c>
      <c r="E15" s="5" t="s">
        <v>52</v>
      </c>
      <c r="F15" s="5" t="s">
        <v>53</v>
      </c>
      <c r="G15" s="3"/>
      <c r="H15" s="59" t="s">
        <v>54</v>
      </c>
      <c r="I15" s="59" t="s">
        <v>55</v>
      </c>
      <c r="J15" s="59" t="s">
        <v>56</v>
      </c>
      <c r="K15" s="59" t="s">
        <v>56</v>
      </c>
      <c r="L15" s="59" t="s">
        <v>56</v>
      </c>
      <c r="M15" s="59" t="s">
        <v>56</v>
      </c>
      <c r="N15" s="59" t="s">
        <v>56</v>
      </c>
      <c r="O15" s="59" t="s">
        <v>56</v>
      </c>
      <c r="P15" s="59" t="s">
        <v>56</v>
      </c>
    </row>
    <row r="16" ht="28" spans="1:16">
      <c r="A16" s="5" t="s">
        <v>57</v>
      </c>
      <c r="B16" s="5" t="s">
        <v>58</v>
      </c>
      <c r="C16" s="12" t="s">
        <v>10</v>
      </c>
      <c r="D16" s="5" t="s">
        <v>37</v>
      </c>
      <c r="E16" s="5" t="s">
        <v>59</v>
      </c>
      <c r="F16" s="5" t="s">
        <v>60</v>
      </c>
      <c r="G16" s="3"/>
      <c r="H16" s="59" t="s">
        <v>61</v>
      </c>
      <c r="I16" s="59" t="s">
        <v>62</v>
      </c>
      <c r="J16" s="59" t="s">
        <v>63</v>
      </c>
      <c r="K16" s="59" t="s">
        <v>63</v>
      </c>
      <c r="L16" s="59" t="s">
        <v>63</v>
      </c>
      <c r="M16" s="59" t="s">
        <v>63</v>
      </c>
      <c r="N16" s="59" t="s">
        <v>63</v>
      </c>
      <c r="O16" s="59" t="s">
        <v>63</v>
      </c>
      <c r="P16" s="59" t="s">
        <v>63</v>
      </c>
    </row>
    <row r="17" spans="1:1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57" t="s">
        <v>64</v>
      </c>
      <c r="B18" s="57" t="s">
        <v>64</v>
      </c>
      <c r="C18" s="57" t="s">
        <v>64</v>
      </c>
      <c r="D18" s="57" t="s">
        <v>64</v>
      </c>
      <c r="E18" s="57" t="s">
        <v>64</v>
      </c>
      <c r="F18" s="57" t="s">
        <v>64</v>
      </c>
      <c r="G18" s="57" t="s">
        <v>64</v>
      </c>
      <c r="H18" s="57" t="s">
        <v>64</v>
      </c>
      <c r="I18" s="57" t="s">
        <v>64</v>
      </c>
      <c r="J18" s="57" t="s">
        <v>64</v>
      </c>
      <c r="K18" s="57" t="s">
        <v>64</v>
      </c>
      <c r="L18" s="57" t="s">
        <v>64</v>
      </c>
      <c r="M18" s="57" t="s">
        <v>64</v>
      </c>
      <c r="N18" s="57" t="s">
        <v>64</v>
      </c>
      <c r="O18" s="57" t="s">
        <v>64</v>
      </c>
      <c r="P18" s="57" t="s">
        <v>64</v>
      </c>
    </row>
  </sheetData>
  <mergeCells count="26">
    <mergeCell ref="A1:P1"/>
    <mergeCell ref="A2:P2"/>
    <mergeCell ref="A4:C4"/>
    <mergeCell ref="D4:F4"/>
    <mergeCell ref="G4:I4"/>
    <mergeCell ref="J4:L4"/>
    <mergeCell ref="M4:P4"/>
    <mergeCell ref="A8:C8"/>
    <mergeCell ref="D8:F8"/>
    <mergeCell ref="G8:I8"/>
    <mergeCell ref="J8:L8"/>
    <mergeCell ref="M8:N8"/>
    <mergeCell ref="O8:P8"/>
    <mergeCell ref="H10:P10"/>
    <mergeCell ref="J11:P11"/>
    <mergeCell ref="J12:P12"/>
    <mergeCell ref="J13:P13"/>
    <mergeCell ref="J14:P14"/>
    <mergeCell ref="J15:P15"/>
    <mergeCell ref="J16:P16"/>
    <mergeCell ref="A18:P18"/>
    <mergeCell ref="A5:C6"/>
    <mergeCell ref="D5:F6"/>
    <mergeCell ref="G5:I6"/>
    <mergeCell ref="J5:L6"/>
    <mergeCell ref="M5:P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C3AED"/>
  </sheetPr>
  <dimension ref="A1:P33"/>
  <sheetViews>
    <sheetView showGridLines="0" workbookViewId="0">
      <pane ySplit="4" topLeftCell="A5" activePane="bottomLeft" state="frozen"/>
      <selection/>
      <selection pane="bottomLeft" activeCell="A1" sqref="A1:P1"/>
    </sheetView>
  </sheetViews>
  <sheetFormatPr defaultColWidth="9" defaultRowHeight="16.8"/>
  <cols>
    <col min="1" max="1" width="15" customWidth="1"/>
    <col min="2" max="2" width="19" customWidth="1"/>
    <col min="3" max="3" width="24" customWidth="1"/>
    <col min="4" max="4" width="43" customWidth="1"/>
    <col min="5" max="5" width="25" customWidth="1"/>
    <col min="6" max="6" width="17" customWidth="1"/>
    <col min="7" max="7" width="23" customWidth="1"/>
    <col min="8" max="9" width="24" customWidth="1"/>
    <col min="10" max="12" width="13" customWidth="1"/>
    <col min="13" max="13" width="5" customWidth="1"/>
    <col min="14" max="16" width="13" customWidth="1"/>
  </cols>
  <sheetData>
    <row r="1" ht="38" customHeight="1" spans="1:16">
      <c r="A1" s="1" t="s">
        <v>65</v>
      </c>
      <c r="B1" s="1" t="s">
        <v>65</v>
      </c>
      <c r="C1" s="1" t="s">
        <v>65</v>
      </c>
      <c r="D1" s="1" t="s">
        <v>65</v>
      </c>
      <c r="E1" s="1" t="s">
        <v>65</v>
      </c>
      <c r="F1" s="1" t="s">
        <v>65</v>
      </c>
      <c r="G1" s="1" t="s">
        <v>65</v>
      </c>
      <c r="H1" s="1" t="s">
        <v>65</v>
      </c>
      <c r="I1" s="1" t="s">
        <v>65</v>
      </c>
      <c r="J1" s="1" t="s">
        <v>65</v>
      </c>
      <c r="K1" s="1" t="s">
        <v>65</v>
      </c>
      <c r="L1" s="1" t="s">
        <v>65</v>
      </c>
      <c r="M1" s="1" t="s">
        <v>65</v>
      </c>
      <c r="N1" s="1" t="s">
        <v>65</v>
      </c>
      <c r="O1" s="1" t="s">
        <v>65</v>
      </c>
      <c r="P1" s="1" t="s">
        <v>65</v>
      </c>
    </row>
    <row r="2" ht="28" customHeight="1" spans="1:16">
      <c r="A2" s="2" t="s">
        <v>66</v>
      </c>
      <c r="B2" s="2" t="s">
        <v>66</v>
      </c>
      <c r="C2" s="2" t="s">
        <v>66</v>
      </c>
      <c r="D2" s="2" t="s">
        <v>66</v>
      </c>
      <c r="E2" s="2" t="s">
        <v>66</v>
      </c>
      <c r="F2" s="2" t="s">
        <v>66</v>
      </c>
      <c r="G2" s="2" t="s">
        <v>66</v>
      </c>
      <c r="H2" s="2" t="s">
        <v>66</v>
      </c>
      <c r="I2" s="2" t="s">
        <v>66</v>
      </c>
      <c r="J2" s="2" t="s">
        <v>66</v>
      </c>
      <c r="K2" s="2" t="s">
        <v>66</v>
      </c>
      <c r="L2" s="2" t="s">
        <v>66</v>
      </c>
      <c r="M2" s="2" t="s">
        <v>66</v>
      </c>
      <c r="N2" s="2" t="s">
        <v>66</v>
      </c>
      <c r="O2" s="2" t="s">
        <v>66</v>
      </c>
      <c r="P2" s="2" t="s">
        <v>66</v>
      </c>
    </row>
    <row r="3" spans="1:1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30" customHeight="1" spans="1:16">
      <c r="A4" s="16" t="s">
        <v>67</v>
      </c>
      <c r="B4" s="16" t="s">
        <v>67</v>
      </c>
      <c r="C4" s="16" t="s">
        <v>67</v>
      </c>
      <c r="D4" s="16" t="s">
        <v>67</v>
      </c>
      <c r="E4" s="16" t="s">
        <v>67</v>
      </c>
      <c r="F4" s="16" t="s">
        <v>67</v>
      </c>
      <c r="G4" s="16" t="s">
        <v>67</v>
      </c>
      <c r="H4" s="16" t="s">
        <v>67</v>
      </c>
      <c r="I4" s="16" t="s">
        <v>67</v>
      </c>
      <c r="J4" s="16" t="s">
        <v>67</v>
      </c>
      <c r="K4" s="16" t="s">
        <v>67</v>
      </c>
      <c r="L4" s="16" t="s">
        <v>67</v>
      </c>
      <c r="M4" s="16" t="s">
        <v>67</v>
      </c>
      <c r="N4" s="16" t="s">
        <v>67</v>
      </c>
      <c r="O4" s="16" t="s">
        <v>67</v>
      </c>
      <c r="P4" s="16" t="s">
        <v>67</v>
      </c>
    </row>
    <row r="5" ht="17.55" spans="1:16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ht="28" customHeight="1" spans="1:16">
      <c r="A6" s="22" t="s">
        <v>62</v>
      </c>
      <c r="B6" s="23" t="s">
        <v>68</v>
      </c>
      <c r="C6" s="24"/>
      <c r="D6" s="25"/>
      <c r="E6" s="50" t="s">
        <v>69</v>
      </c>
      <c r="F6" s="23" t="s">
        <v>70</v>
      </c>
      <c r="G6" s="24"/>
      <c r="H6" s="25"/>
      <c r="I6" s="50" t="s">
        <v>69</v>
      </c>
      <c r="J6" s="23" t="s">
        <v>71</v>
      </c>
      <c r="K6" s="24"/>
      <c r="L6" s="25"/>
      <c r="M6" s="50" t="s">
        <v>69</v>
      </c>
      <c r="N6" s="23" t="s">
        <v>72</v>
      </c>
      <c r="O6" s="24"/>
      <c r="P6" s="25"/>
    </row>
    <row r="7" ht="28" customHeight="1" spans="1:16">
      <c r="A7" s="22"/>
      <c r="B7" s="26"/>
      <c r="C7" s="27"/>
      <c r="D7" s="28"/>
      <c r="E7" s="50"/>
      <c r="F7" s="26"/>
      <c r="G7" s="27"/>
      <c r="H7" s="28"/>
      <c r="I7" s="50"/>
      <c r="J7" s="26"/>
      <c r="K7" s="27"/>
      <c r="L7" s="28"/>
      <c r="M7" s="50"/>
      <c r="N7" s="26"/>
      <c r="O7" s="27"/>
      <c r="P7" s="28"/>
    </row>
    <row r="8" spans="1:16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17.55" spans="1:1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28" customHeight="1" spans="1:16">
      <c r="A10" s="29" t="s">
        <v>73</v>
      </c>
      <c r="B10" s="30" t="s">
        <v>74</v>
      </c>
      <c r="C10" s="31"/>
      <c r="D10" s="32"/>
      <c r="E10" s="51" t="s">
        <v>69</v>
      </c>
      <c r="F10" s="30" t="s">
        <v>75</v>
      </c>
      <c r="G10" s="31"/>
      <c r="H10" s="32"/>
      <c r="I10" s="51" t="s">
        <v>69</v>
      </c>
      <c r="J10" s="30" t="s">
        <v>76</v>
      </c>
      <c r="K10" s="31"/>
      <c r="L10" s="32"/>
      <c r="M10" s="51" t="s">
        <v>69</v>
      </c>
      <c r="N10" s="30" t="s">
        <v>77</v>
      </c>
      <c r="O10" s="31"/>
      <c r="P10" s="32"/>
    </row>
    <row r="11" ht="28" customHeight="1" spans="1:16">
      <c r="A11" s="29"/>
      <c r="B11" s="33"/>
      <c r="C11" s="34"/>
      <c r="D11" s="35"/>
      <c r="E11" s="51"/>
      <c r="F11" s="33"/>
      <c r="G11" s="34"/>
      <c r="H11" s="35"/>
      <c r="I11" s="51"/>
      <c r="J11" s="33"/>
      <c r="K11" s="34"/>
      <c r="L11" s="35"/>
      <c r="M11" s="51"/>
      <c r="N11" s="33"/>
      <c r="O11" s="34"/>
      <c r="P11" s="35"/>
    </row>
    <row r="12" spans="1:1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ht="17.55" spans="1:1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ht="28" customHeight="1" spans="1:16">
      <c r="A14" s="36" t="s">
        <v>78</v>
      </c>
      <c r="B14" s="37" t="s">
        <v>79</v>
      </c>
      <c r="C14" s="38"/>
      <c r="D14" s="39"/>
      <c r="E14" s="52" t="s">
        <v>69</v>
      </c>
      <c r="F14" s="37" t="s">
        <v>80</v>
      </c>
      <c r="G14" s="38"/>
      <c r="H14" s="39"/>
      <c r="I14" s="52" t="s">
        <v>69</v>
      </c>
      <c r="J14" s="37" t="s">
        <v>81</v>
      </c>
      <c r="K14" s="38"/>
      <c r="L14" s="39"/>
      <c r="M14" s="52" t="s">
        <v>69</v>
      </c>
      <c r="N14" s="37" t="s">
        <v>82</v>
      </c>
      <c r="O14" s="38"/>
      <c r="P14" s="39"/>
    </row>
    <row r="15" ht="28" customHeight="1" spans="1:16">
      <c r="A15" s="36"/>
      <c r="B15" s="40"/>
      <c r="C15" s="41"/>
      <c r="D15" s="42"/>
      <c r="E15" s="52"/>
      <c r="F15" s="40"/>
      <c r="G15" s="41"/>
      <c r="H15" s="42"/>
      <c r="I15" s="52"/>
      <c r="J15" s="40"/>
      <c r="K15" s="41"/>
      <c r="L15" s="42"/>
      <c r="M15" s="52"/>
      <c r="N15" s="40"/>
      <c r="O15" s="41"/>
      <c r="P15" s="42"/>
    </row>
    <row r="16" spans="1: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ht="17.55" spans="1:1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ht="28" customHeight="1" spans="1:16">
      <c r="A18" s="43" t="s">
        <v>83</v>
      </c>
      <c r="B18" s="44" t="s">
        <v>84</v>
      </c>
      <c r="C18" s="45"/>
      <c r="D18" s="46"/>
      <c r="E18" s="53" t="s">
        <v>69</v>
      </c>
      <c r="F18" s="44" t="s">
        <v>85</v>
      </c>
      <c r="G18" s="45"/>
      <c r="H18" s="46"/>
      <c r="I18" s="53" t="s">
        <v>69</v>
      </c>
      <c r="J18" s="44" t="s">
        <v>86</v>
      </c>
      <c r="K18" s="45"/>
      <c r="L18" s="46"/>
      <c r="M18" s="53" t="s">
        <v>69</v>
      </c>
      <c r="N18" s="44" t="s">
        <v>87</v>
      </c>
      <c r="O18" s="45"/>
      <c r="P18" s="46"/>
    </row>
    <row r="19" ht="28" customHeight="1" spans="1:16">
      <c r="A19" s="43"/>
      <c r="B19" s="47"/>
      <c r="C19" s="48"/>
      <c r="D19" s="49"/>
      <c r="E19" s="53"/>
      <c r="F19" s="47"/>
      <c r="G19" s="48"/>
      <c r="H19" s="49"/>
      <c r="I19" s="53"/>
      <c r="J19" s="47"/>
      <c r="K19" s="48"/>
      <c r="L19" s="49"/>
      <c r="M19" s="53"/>
      <c r="N19" s="47"/>
      <c r="O19" s="48"/>
      <c r="P19" s="49"/>
    </row>
    <row r="20" spans="1:1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ht="30" customHeight="1" spans="1:16">
      <c r="A21" s="6" t="s">
        <v>88</v>
      </c>
      <c r="B21" s="6" t="s">
        <v>89</v>
      </c>
      <c r="C21" s="6" t="s">
        <v>90</v>
      </c>
      <c r="D21" s="6" t="s">
        <v>91</v>
      </c>
      <c r="E21" s="6" t="s">
        <v>92</v>
      </c>
      <c r="F21" s="6" t="s">
        <v>93</v>
      </c>
      <c r="G21" s="6" t="s">
        <v>94</v>
      </c>
      <c r="H21" s="6" t="s">
        <v>95</v>
      </c>
      <c r="I21" s="6" t="s">
        <v>96</v>
      </c>
      <c r="J21" s="6" t="s">
        <v>97</v>
      </c>
      <c r="K21" s="3"/>
      <c r="L21" s="3"/>
      <c r="M21" s="3"/>
      <c r="N21" s="3"/>
      <c r="O21" s="3"/>
      <c r="P21" s="3"/>
    </row>
    <row r="22" ht="52" customHeight="1" spans="1:16">
      <c r="A22" s="5" t="s">
        <v>98</v>
      </c>
      <c r="B22" s="5" t="s">
        <v>99</v>
      </c>
      <c r="C22" s="5" t="s">
        <v>100</v>
      </c>
      <c r="D22" s="5" t="s">
        <v>101</v>
      </c>
      <c r="E22" s="5" t="s">
        <v>102</v>
      </c>
      <c r="F22" s="5" t="s">
        <v>103</v>
      </c>
      <c r="G22" s="5" t="s">
        <v>104</v>
      </c>
      <c r="H22" s="5" t="s">
        <v>105</v>
      </c>
      <c r="I22" s="5" t="s">
        <v>106</v>
      </c>
      <c r="J22" s="12" t="s">
        <v>10</v>
      </c>
      <c r="K22" s="3"/>
      <c r="L22" s="3"/>
      <c r="M22" s="3"/>
      <c r="N22" s="3"/>
      <c r="O22" s="3"/>
      <c r="P22" s="3"/>
    </row>
    <row r="23" ht="52" customHeight="1" spans="1:16">
      <c r="A23" s="5" t="s">
        <v>107</v>
      </c>
      <c r="B23" s="5" t="s">
        <v>108</v>
      </c>
      <c r="C23" s="5" t="s">
        <v>109</v>
      </c>
      <c r="D23" s="5" t="s">
        <v>110</v>
      </c>
      <c r="E23" s="5" t="s">
        <v>111</v>
      </c>
      <c r="F23" s="5" t="s">
        <v>112</v>
      </c>
      <c r="G23" s="5" t="s">
        <v>113</v>
      </c>
      <c r="H23" s="5" t="s">
        <v>114</v>
      </c>
      <c r="I23" s="5" t="s">
        <v>115</v>
      </c>
      <c r="J23" s="12" t="s">
        <v>10</v>
      </c>
      <c r="K23" s="3"/>
      <c r="L23" s="3"/>
      <c r="M23" s="3"/>
      <c r="N23" s="3"/>
      <c r="O23" s="3"/>
      <c r="P23" s="3"/>
    </row>
    <row r="24" ht="52" customHeight="1" spans="1:16">
      <c r="A24" s="5" t="s">
        <v>116</v>
      </c>
      <c r="B24" s="5" t="s">
        <v>117</v>
      </c>
      <c r="C24" s="5" t="s">
        <v>118</v>
      </c>
      <c r="D24" s="5" t="s">
        <v>119</v>
      </c>
      <c r="E24" s="5" t="s">
        <v>120</v>
      </c>
      <c r="F24" s="5" t="s">
        <v>121</v>
      </c>
      <c r="G24" s="5" t="s">
        <v>122</v>
      </c>
      <c r="H24" s="5" t="s">
        <v>123</v>
      </c>
      <c r="I24" s="5" t="s">
        <v>124</v>
      </c>
      <c r="J24" s="12" t="s">
        <v>10</v>
      </c>
      <c r="K24" s="3"/>
      <c r="L24" s="3"/>
      <c r="M24" s="3"/>
      <c r="N24" s="3"/>
      <c r="O24" s="3"/>
      <c r="P24" s="3"/>
    </row>
    <row r="25" ht="52" customHeight="1" spans="1:16">
      <c r="A25" s="5" t="s">
        <v>125</v>
      </c>
      <c r="B25" s="5" t="s">
        <v>126</v>
      </c>
      <c r="C25" s="5" t="s">
        <v>127</v>
      </c>
      <c r="D25" s="5" t="s">
        <v>128</v>
      </c>
      <c r="E25" s="5" t="s">
        <v>129</v>
      </c>
      <c r="F25" s="5" t="s">
        <v>130</v>
      </c>
      <c r="G25" s="5" t="s">
        <v>131</v>
      </c>
      <c r="H25" s="5" t="s">
        <v>132</v>
      </c>
      <c r="I25" s="5" t="s">
        <v>133</v>
      </c>
      <c r="J25" s="12" t="s">
        <v>10</v>
      </c>
      <c r="K25" s="3"/>
      <c r="L25" s="3"/>
      <c r="M25" s="3"/>
      <c r="N25" s="3"/>
      <c r="O25" s="3"/>
      <c r="P25" s="3"/>
    </row>
    <row r="26" ht="52" customHeight="1" spans="1:16">
      <c r="A26" s="5" t="s">
        <v>134</v>
      </c>
      <c r="B26" s="5" t="s">
        <v>48</v>
      </c>
      <c r="C26" s="5" t="s">
        <v>135</v>
      </c>
      <c r="D26" s="5" t="s">
        <v>136</v>
      </c>
      <c r="E26" s="5" t="s">
        <v>137</v>
      </c>
      <c r="F26" s="5" t="s">
        <v>138</v>
      </c>
      <c r="G26" s="5" t="s">
        <v>139</v>
      </c>
      <c r="H26" s="5" t="s">
        <v>140</v>
      </c>
      <c r="I26" s="5" t="s">
        <v>141</v>
      </c>
      <c r="J26" s="12" t="s">
        <v>10</v>
      </c>
      <c r="K26" s="3"/>
      <c r="L26" s="3"/>
      <c r="M26" s="3"/>
      <c r="N26" s="3"/>
      <c r="O26" s="3"/>
      <c r="P26" s="3"/>
    </row>
    <row r="27" ht="52" customHeight="1" spans="1:16">
      <c r="A27" s="5" t="s">
        <v>142</v>
      </c>
      <c r="B27" s="5" t="s">
        <v>143</v>
      </c>
      <c r="C27" s="5" t="s">
        <v>144</v>
      </c>
      <c r="D27" s="5" t="s">
        <v>145</v>
      </c>
      <c r="E27" s="5" t="s">
        <v>146</v>
      </c>
      <c r="F27" s="5" t="s">
        <v>147</v>
      </c>
      <c r="G27" s="5" t="s">
        <v>148</v>
      </c>
      <c r="H27" s="5" t="s">
        <v>149</v>
      </c>
      <c r="I27" s="5" t="s">
        <v>141</v>
      </c>
      <c r="J27" s="12" t="s">
        <v>10</v>
      </c>
      <c r="K27" s="3"/>
      <c r="L27" s="3"/>
      <c r="M27" s="3"/>
      <c r="N27" s="3"/>
      <c r="O27" s="3"/>
      <c r="P27" s="3"/>
    </row>
    <row r="28" ht="52" customHeight="1" spans="1:16">
      <c r="A28" s="5" t="s">
        <v>150</v>
      </c>
      <c r="B28" s="5" t="s">
        <v>151</v>
      </c>
      <c r="C28" s="5" t="s">
        <v>152</v>
      </c>
      <c r="D28" s="5" t="s">
        <v>153</v>
      </c>
      <c r="E28" s="5" t="s">
        <v>154</v>
      </c>
      <c r="F28" s="5" t="s">
        <v>155</v>
      </c>
      <c r="G28" s="5" t="s">
        <v>156</v>
      </c>
      <c r="H28" s="5" t="s">
        <v>157</v>
      </c>
      <c r="I28" s="5" t="s">
        <v>158</v>
      </c>
      <c r="J28" s="12" t="s">
        <v>10</v>
      </c>
      <c r="K28" s="3"/>
      <c r="L28" s="3"/>
      <c r="M28" s="3"/>
      <c r="N28" s="3"/>
      <c r="O28" s="3"/>
      <c r="P28" s="3"/>
    </row>
    <row r="29" ht="52" customHeight="1" spans="1:16">
      <c r="A29" s="5" t="s">
        <v>159</v>
      </c>
      <c r="B29" s="5" t="s">
        <v>160</v>
      </c>
      <c r="C29" s="5" t="s">
        <v>161</v>
      </c>
      <c r="D29" s="5" t="s">
        <v>162</v>
      </c>
      <c r="E29" s="5" t="s">
        <v>163</v>
      </c>
      <c r="F29" s="5" t="s">
        <v>164</v>
      </c>
      <c r="G29" s="5" t="s">
        <v>165</v>
      </c>
      <c r="H29" s="5" t="s">
        <v>166</v>
      </c>
      <c r="I29" s="5" t="s">
        <v>167</v>
      </c>
      <c r="J29" s="12" t="s">
        <v>10</v>
      </c>
      <c r="K29" s="3"/>
      <c r="L29" s="3"/>
      <c r="M29" s="3"/>
      <c r="N29" s="3"/>
      <c r="O29" s="3"/>
      <c r="P29" s="3"/>
    </row>
    <row r="30" ht="52" customHeight="1" spans="1:16">
      <c r="A30" s="5" t="s">
        <v>168</v>
      </c>
      <c r="B30" s="5" t="s">
        <v>169</v>
      </c>
      <c r="C30" s="5" t="s">
        <v>170</v>
      </c>
      <c r="D30" s="5" t="s">
        <v>171</v>
      </c>
      <c r="E30" s="5" t="s">
        <v>172</v>
      </c>
      <c r="F30" s="5" t="s">
        <v>173</v>
      </c>
      <c r="G30" s="5" t="s">
        <v>174</v>
      </c>
      <c r="H30" s="5" t="s">
        <v>175</v>
      </c>
      <c r="I30" s="5" t="s">
        <v>176</v>
      </c>
      <c r="J30" s="12" t="s">
        <v>10</v>
      </c>
      <c r="K30" s="3"/>
      <c r="L30" s="3"/>
      <c r="M30" s="3"/>
      <c r="N30" s="3"/>
      <c r="O30" s="3"/>
      <c r="P30" s="3"/>
    </row>
    <row r="31" ht="52" customHeight="1" spans="1:16">
      <c r="A31" s="5" t="s">
        <v>177</v>
      </c>
      <c r="B31" s="5" t="s">
        <v>178</v>
      </c>
      <c r="C31" s="5" t="s">
        <v>179</v>
      </c>
      <c r="D31" s="5" t="s">
        <v>180</v>
      </c>
      <c r="E31" s="5" t="s">
        <v>181</v>
      </c>
      <c r="F31" s="5" t="s">
        <v>182</v>
      </c>
      <c r="G31" s="5" t="s">
        <v>183</v>
      </c>
      <c r="H31" s="5" t="s">
        <v>184</v>
      </c>
      <c r="I31" s="5" t="s">
        <v>185</v>
      </c>
      <c r="J31" s="12" t="s">
        <v>10</v>
      </c>
      <c r="K31" s="3"/>
      <c r="L31" s="3"/>
      <c r="M31" s="3"/>
      <c r="N31" s="3"/>
      <c r="O31" s="3"/>
      <c r="P31" s="3"/>
    </row>
    <row r="32" ht="52" customHeight="1" spans="1:16">
      <c r="A32" s="5" t="s">
        <v>186</v>
      </c>
      <c r="B32" s="5" t="s">
        <v>187</v>
      </c>
      <c r="C32" s="5" t="s">
        <v>188</v>
      </c>
      <c r="D32" s="5" t="s">
        <v>189</v>
      </c>
      <c r="E32" s="5" t="s">
        <v>190</v>
      </c>
      <c r="F32" s="5" t="s">
        <v>191</v>
      </c>
      <c r="G32" s="5" t="s">
        <v>192</v>
      </c>
      <c r="H32" s="5" t="s">
        <v>193</v>
      </c>
      <c r="I32" s="5" t="s">
        <v>194</v>
      </c>
      <c r="J32" s="12" t="s">
        <v>10</v>
      </c>
      <c r="K32" s="3"/>
      <c r="L32" s="3"/>
      <c r="M32" s="3"/>
      <c r="N32" s="3"/>
      <c r="O32" s="3"/>
      <c r="P32" s="3"/>
    </row>
    <row r="33" ht="52" customHeight="1" spans="1:16">
      <c r="A33" s="5" t="s">
        <v>195</v>
      </c>
      <c r="B33" s="5" t="s">
        <v>196</v>
      </c>
      <c r="C33" s="5" t="s">
        <v>197</v>
      </c>
      <c r="D33" s="5" t="s">
        <v>198</v>
      </c>
      <c r="E33" s="5" t="s">
        <v>199</v>
      </c>
      <c r="F33" s="5" t="s">
        <v>200</v>
      </c>
      <c r="G33" s="5" t="s">
        <v>201</v>
      </c>
      <c r="H33" s="5" t="s">
        <v>202</v>
      </c>
      <c r="I33" s="5" t="s">
        <v>203</v>
      </c>
      <c r="J33" s="12" t="s">
        <v>10</v>
      </c>
      <c r="K33" s="3"/>
      <c r="L33" s="3"/>
      <c r="M33" s="3"/>
      <c r="N33" s="3"/>
      <c r="O33" s="3"/>
      <c r="P33" s="3"/>
    </row>
  </sheetData>
  <mergeCells count="35">
    <mergeCell ref="A1:P1"/>
    <mergeCell ref="A2:P2"/>
    <mergeCell ref="A4:P4"/>
    <mergeCell ref="A6:A7"/>
    <mergeCell ref="A10:A11"/>
    <mergeCell ref="A14:A15"/>
    <mergeCell ref="A18:A19"/>
    <mergeCell ref="E6:E7"/>
    <mergeCell ref="E10:E11"/>
    <mergeCell ref="E14:E15"/>
    <mergeCell ref="E18:E19"/>
    <mergeCell ref="I6:I7"/>
    <mergeCell ref="I10:I11"/>
    <mergeCell ref="I14:I15"/>
    <mergeCell ref="I18:I19"/>
    <mergeCell ref="M6:M7"/>
    <mergeCell ref="M10:M11"/>
    <mergeCell ref="M14:M15"/>
    <mergeCell ref="M18:M19"/>
    <mergeCell ref="B6:D7"/>
    <mergeCell ref="N6:P7"/>
    <mergeCell ref="F6:H7"/>
    <mergeCell ref="J6:L7"/>
    <mergeCell ref="B10:D11"/>
    <mergeCell ref="N10:P11"/>
    <mergeCell ref="F10:H11"/>
    <mergeCell ref="J10:L11"/>
    <mergeCell ref="B14:D15"/>
    <mergeCell ref="N14:P15"/>
    <mergeCell ref="F14:H15"/>
    <mergeCell ref="J14:L15"/>
    <mergeCell ref="B18:D19"/>
    <mergeCell ref="N18:P19"/>
    <mergeCell ref="F18:H19"/>
    <mergeCell ref="J18:L19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F766E"/>
  </sheetPr>
  <dimension ref="A1:L15"/>
  <sheetViews>
    <sheetView showGridLines="0" tabSelected="1" zoomScale="109" zoomScaleNormal="109" workbookViewId="0">
      <pane xSplit="2" ySplit="4" topLeftCell="C5" activePane="bottomRight" state="frozen"/>
      <selection/>
      <selection pane="topRight"/>
      <selection pane="bottomLeft"/>
      <selection pane="bottomRight" activeCell="A1" sqref="A1:L1"/>
    </sheetView>
  </sheetViews>
  <sheetFormatPr defaultColWidth="9" defaultRowHeight="16.8"/>
  <cols>
    <col min="1" max="1" width="12" customWidth="1"/>
    <col min="2" max="2" width="24" customWidth="1"/>
    <col min="3" max="3" width="34" customWidth="1"/>
    <col min="4" max="4" width="42" customWidth="1"/>
    <col min="5" max="5" width="25" customWidth="1"/>
    <col min="6" max="6" width="23" customWidth="1"/>
    <col min="7" max="7" width="32" customWidth="1"/>
    <col min="8" max="8" width="15" customWidth="1"/>
    <col min="9" max="9" width="24" customWidth="1"/>
    <col min="10" max="10" width="13" customWidth="1"/>
    <col min="11" max="11" width="35" customWidth="1"/>
    <col min="12" max="12" width="28" customWidth="1"/>
  </cols>
  <sheetData>
    <row r="1" ht="38" customHeight="1" spans="1:12">
      <c r="A1" s="1" t="s">
        <v>204</v>
      </c>
      <c r="B1" s="1" t="s">
        <v>204</v>
      </c>
      <c r="C1" s="1" t="s">
        <v>204</v>
      </c>
      <c r="D1" s="1" t="s">
        <v>204</v>
      </c>
      <c r="E1" s="1" t="s">
        <v>204</v>
      </c>
      <c r="F1" s="1" t="s">
        <v>204</v>
      </c>
      <c r="G1" s="1" t="s">
        <v>204</v>
      </c>
      <c r="H1" s="1" t="s">
        <v>204</v>
      </c>
      <c r="I1" s="1" t="s">
        <v>204</v>
      </c>
      <c r="J1" s="1" t="s">
        <v>204</v>
      </c>
      <c r="K1" s="1" t="s">
        <v>204</v>
      </c>
      <c r="L1" s="1" t="s">
        <v>204</v>
      </c>
    </row>
    <row r="2" ht="28" customHeight="1" spans="1:12">
      <c r="A2" s="2" t="s">
        <v>205</v>
      </c>
      <c r="B2" s="2" t="s">
        <v>205</v>
      </c>
      <c r="C2" s="2" t="s">
        <v>205</v>
      </c>
      <c r="D2" s="2" t="s">
        <v>205</v>
      </c>
      <c r="E2" s="2" t="s">
        <v>205</v>
      </c>
      <c r="F2" s="2" t="s">
        <v>205</v>
      </c>
      <c r="G2" s="2" t="s">
        <v>205</v>
      </c>
      <c r="H2" s="2" t="s">
        <v>205</v>
      </c>
      <c r="I2" s="2" t="s">
        <v>205</v>
      </c>
      <c r="J2" s="2" t="s">
        <v>205</v>
      </c>
      <c r="K2" s="2" t="s">
        <v>205</v>
      </c>
      <c r="L2" s="2" t="s">
        <v>205</v>
      </c>
    </row>
    <row r="3" spans="1:1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30" customHeight="1" spans="1:12">
      <c r="A4" s="6" t="s">
        <v>206</v>
      </c>
      <c r="B4" s="6" t="s">
        <v>207</v>
      </c>
      <c r="C4" s="6" t="s">
        <v>208</v>
      </c>
      <c r="D4" s="6" t="s">
        <v>209</v>
      </c>
      <c r="E4" s="6" t="s">
        <v>92</v>
      </c>
      <c r="F4" s="6" t="s">
        <v>210</v>
      </c>
      <c r="G4" s="6" t="s">
        <v>211</v>
      </c>
      <c r="H4" s="6" t="s">
        <v>212</v>
      </c>
      <c r="I4" s="6" t="s">
        <v>96</v>
      </c>
      <c r="J4" s="6" t="s">
        <v>97</v>
      </c>
      <c r="K4" s="6" t="s">
        <v>213</v>
      </c>
      <c r="L4" s="6" t="s">
        <v>214</v>
      </c>
    </row>
    <row r="5" ht="58" customHeight="1" spans="1:12">
      <c r="A5" s="5" t="s">
        <v>215</v>
      </c>
      <c r="B5" s="5" t="s">
        <v>216</v>
      </c>
      <c r="C5" s="5" t="s">
        <v>217</v>
      </c>
      <c r="D5" s="5" t="s">
        <v>218</v>
      </c>
      <c r="E5" s="5" t="s">
        <v>219</v>
      </c>
      <c r="F5" s="5" t="s">
        <v>195</v>
      </c>
      <c r="G5" s="5" t="s">
        <v>220</v>
      </c>
      <c r="H5" s="12" t="s">
        <v>221</v>
      </c>
      <c r="I5" s="5" t="s">
        <v>115</v>
      </c>
      <c r="J5" s="12" t="s">
        <v>10</v>
      </c>
      <c r="K5" s="12" t="s">
        <v>222</v>
      </c>
      <c r="L5" s="12"/>
    </row>
    <row r="6" ht="58" customHeight="1" spans="1:12">
      <c r="A6" s="5" t="s">
        <v>223</v>
      </c>
      <c r="B6" s="5" t="s">
        <v>224</v>
      </c>
      <c r="C6" s="5" t="s">
        <v>225</v>
      </c>
      <c r="D6" s="5" t="s">
        <v>226</v>
      </c>
      <c r="E6" s="5" t="s">
        <v>227</v>
      </c>
      <c r="F6" s="5" t="s">
        <v>107</v>
      </c>
      <c r="G6" s="5" t="s">
        <v>228</v>
      </c>
      <c r="H6" s="12" t="s">
        <v>221</v>
      </c>
      <c r="I6" s="5" t="s">
        <v>115</v>
      </c>
      <c r="J6" s="12" t="s">
        <v>10</v>
      </c>
      <c r="K6" s="12" t="s">
        <v>229</v>
      </c>
      <c r="L6" s="12"/>
    </row>
    <row r="7" ht="58" customHeight="1" spans="1:12">
      <c r="A7" s="5" t="s">
        <v>230</v>
      </c>
      <c r="B7" s="5" t="s">
        <v>231</v>
      </c>
      <c r="C7" s="5" t="s">
        <v>232</v>
      </c>
      <c r="D7" s="5" t="s">
        <v>233</v>
      </c>
      <c r="E7" s="5" t="s">
        <v>234</v>
      </c>
      <c r="F7" s="5" t="s">
        <v>116</v>
      </c>
      <c r="G7" s="5" t="s">
        <v>235</v>
      </c>
      <c r="H7" s="12" t="s">
        <v>221</v>
      </c>
      <c r="I7" s="5" t="s">
        <v>115</v>
      </c>
      <c r="J7" s="12" t="s">
        <v>10</v>
      </c>
      <c r="K7" s="12" t="s">
        <v>236</v>
      </c>
      <c r="L7" s="12"/>
    </row>
    <row r="8" ht="58" customHeight="1" spans="1:12">
      <c r="A8" s="5" t="s">
        <v>237</v>
      </c>
      <c r="B8" s="5" t="s">
        <v>238</v>
      </c>
      <c r="C8" s="5" t="s">
        <v>239</v>
      </c>
      <c r="D8" s="5" t="s">
        <v>240</v>
      </c>
      <c r="E8" s="5" t="s">
        <v>241</v>
      </c>
      <c r="F8" s="5" t="s">
        <v>242</v>
      </c>
      <c r="G8" s="5" t="s">
        <v>243</v>
      </c>
      <c r="H8" s="12" t="s">
        <v>221</v>
      </c>
      <c r="I8" s="5" t="s">
        <v>244</v>
      </c>
      <c r="J8" s="12" t="s">
        <v>10</v>
      </c>
      <c r="K8" s="12" t="s">
        <v>245</v>
      </c>
      <c r="L8" s="12"/>
    </row>
    <row r="9" ht="58" customHeight="1" spans="1:12">
      <c r="A9" s="5" t="s">
        <v>246</v>
      </c>
      <c r="B9" s="5" t="s">
        <v>247</v>
      </c>
      <c r="C9" s="5" t="s">
        <v>248</v>
      </c>
      <c r="D9" s="5" t="s">
        <v>249</v>
      </c>
      <c r="E9" s="5" t="s">
        <v>163</v>
      </c>
      <c r="F9" s="5" t="s">
        <v>159</v>
      </c>
      <c r="G9" s="5" t="s">
        <v>250</v>
      </c>
      <c r="H9" s="12" t="s">
        <v>221</v>
      </c>
      <c r="I9" s="5" t="s">
        <v>251</v>
      </c>
      <c r="J9" s="12" t="s">
        <v>10</v>
      </c>
      <c r="K9" s="12" t="s">
        <v>252</v>
      </c>
      <c r="L9" s="12"/>
    </row>
    <row r="10" ht="58" customHeight="1" spans="1:12">
      <c r="A10" s="5" t="s">
        <v>253</v>
      </c>
      <c r="B10" s="5" t="s">
        <v>254</v>
      </c>
      <c r="C10" s="5" t="s">
        <v>255</v>
      </c>
      <c r="D10" s="5" t="s">
        <v>256</v>
      </c>
      <c r="E10" s="5" t="s">
        <v>257</v>
      </c>
      <c r="F10" s="5" t="s">
        <v>258</v>
      </c>
      <c r="G10" s="5" t="s">
        <v>259</v>
      </c>
      <c r="H10" s="12" t="s">
        <v>221</v>
      </c>
      <c r="I10" s="5" t="s">
        <v>115</v>
      </c>
      <c r="J10" s="12" t="s">
        <v>10</v>
      </c>
      <c r="K10" s="12" t="s">
        <v>260</v>
      </c>
      <c r="L10" s="12"/>
    </row>
    <row r="11" ht="58" customHeight="1" spans="1:12">
      <c r="A11" s="5" t="s">
        <v>261</v>
      </c>
      <c r="B11" s="5" t="s">
        <v>262</v>
      </c>
      <c r="C11" s="5" t="s">
        <v>263</v>
      </c>
      <c r="D11" s="5" t="s">
        <v>264</v>
      </c>
      <c r="E11" s="5" t="s">
        <v>265</v>
      </c>
      <c r="F11" s="5" t="s">
        <v>177</v>
      </c>
      <c r="G11" s="5" t="s">
        <v>266</v>
      </c>
      <c r="H11" s="12" t="s">
        <v>267</v>
      </c>
      <c r="I11" s="5" t="s">
        <v>115</v>
      </c>
      <c r="J11" s="12" t="s">
        <v>10</v>
      </c>
      <c r="K11" s="12" t="s">
        <v>268</v>
      </c>
      <c r="L11" s="12"/>
    </row>
    <row r="12" ht="58" customHeight="1" spans="1:12">
      <c r="A12" s="5" t="s">
        <v>269</v>
      </c>
      <c r="B12" s="5" t="s">
        <v>270</v>
      </c>
      <c r="C12" s="5" t="s">
        <v>271</v>
      </c>
      <c r="D12" s="5" t="s">
        <v>272</v>
      </c>
      <c r="E12" s="5" t="s">
        <v>273</v>
      </c>
      <c r="F12" s="5" t="s">
        <v>274</v>
      </c>
      <c r="G12" s="5" t="s">
        <v>275</v>
      </c>
      <c r="H12" s="12" t="s">
        <v>221</v>
      </c>
      <c r="I12" s="5" t="s">
        <v>276</v>
      </c>
      <c r="J12" s="12" t="s">
        <v>10</v>
      </c>
      <c r="K12" s="12" t="s">
        <v>277</v>
      </c>
      <c r="L12" s="12"/>
    </row>
    <row r="13" ht="58" customHeight="1" spans="1:12">
      <c r="A13" s="5" t="s">
        <v>278</v>
      </c>
      <c r="B13" s="5" t="s">
        <v>279</v>
      </c>
      <c r="C13" s="5" t="s">
        <v>280</v>
      </c>
      <c r="D13" s="5" t="s">
        <v>281</v>
      </c>
      <c r="E13" s="5" t="s">
        <v>282</v>
      </c>
      <c r="F13" s="5" t="s">
        <v>186</v>
      </c>
      <c r="G13" s="5" t="s">
        <v>283</v>
      </c>
      <c r="H13" s="12" t="s">
        <v>267</v>
      </c>
      <c r="I13" s="5" t="s">
        <v>194</v>
      </c>
      <c r="J13" s="12" t="s">
        <v>10</v>
      </c>
      <c r="K13" s="12" t="s">
        <v>284</v>
      </c>
      <c r="L13" s="12"/>
    </row>
    <row r="14" ht="58" customHeight="1" spans="1:12">
      <c r="A14" s="5" t="s">
        <v>285</v>
      </c>
      <c r="B14" s="5" t="s">
        <v>286</v>
      </c>
      <c r="C14" s="5" t="s">
        <v>287</v>
      </c>
      <c r="D14" s="5" t="s">
        <v>288</v>
      </c>
      <c r="E14" s="5" t="s">
        <v>289</v>
      </c>
      <c r="F14" s="5" t="s">
        <v>195</v>
      </c>
      <c r="G14" s="5" t="s">
        <v>290</v>
      </c>
      <c r="H14" s="12" t="s">
        <v>221</v>
      </c>
      <c r="I14" s="5" t="s">
        <v>291</v>
      </c>
      <c r="J14" s="12" t="s">
        <v>10</v>
      </c>
      <c r="K14" s="12" t="s">
        <v>292</v>
      </c>
      <c r="L14" s="12"/>
    </row>
    <row r="15" ht="58" customHeight="1" spans="1:12">
      <c r="A15" s="5" t="s">
        <v>293</v>
      </c>
      <c r="B15" s="5" t="s">
        <v>294</v>
      </c>
      <c r="C15" s="5" t="s">
        <v>295</v>
      </c>
      <c r="D15" s="5" t="s">
        <v>296</v>
      </c>
      <c r="E15" s="5" t="s">
        <v>297</v>
      </c>
      <c r="F15" s="5" t="s">
        <v>298</v>
      </c>
      <c r="G15" s="5" t="s">
        <v>299</v>
      </c>
      <c r="H15" s="12" t="s">
        <v>10</v>
      </c>
      <c r="I15" s="5" t="s">
        <v>300</v>
      </c>
      <c r="J15" s="12" t="s">
        <v>10</v>
      </c>
      <c r="K15" s="12" t="s">
        <v>301</v>
      </c>
      <c r="L15" s="12"/>
    </row>
  </sheetData>
  <mergeCells count="2">
    <mergeCell ref="A1:L1"/>
    <mergeCell ref="A2:L2"/>
  </mergeCells>
  <dataValidations count="2">
    <dataValidation type="list" sqref="H5:H15">
      <formula1>"本期擬納入,後續階段,待確認,不納入"</formula1>
    </dataValidation>
    <dataValidation type="list" sqref="J5:J15">
      <formula1>"草案,評審中,待確認,已批准,已廢棄"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563EB"/>
  </sheetPr>
  <dimension ref="A1:P84"/>
  <sheetViews>
    <sheetView showGridLines="0" workbookViewId="0">
      <pane xSplit="4" ySplit="4" topLeftCell="E5" activePane="bottomRight" state="frozen"/>
      <selection/>
      <selection pane="topRight"/>
      <selection pane="bottomLeft"/>
      <selection pane="bottomRight" activeCell="A1" sqref="A1:P1"/>
    </sheetView>
  </sheetViews>
  <sheetFormatPr defaultColWidth="9" defaultRowHeight="16.8"/>
  <cols>
    <col min="1" max="1" width="12" customWidth="1"/>
    <col min="2" max="2" width="22" customWidth="1"/>
    <col min="3" max="3" width="24" customWidth="1"/>
    <col min="4" max="4" width="38" customWidth="1"/>
    <col min="5" max="5" width="48" customWidth="1"/>
    <col min="6" max="6" width="25" customWidth="1"/>
    <col min="7" max="7" width="48" customWidth="1"/>
    <col min="8" max="8" width="30" customWidth="1"/>
    <col min="9" max="9" width="44" customWidth="1"/>
    <col min="10" max="10" width="23" customWidth="1"/>
    <col min="11" max="11" width="15" customWidth="1"/>
    <col min="12" max="12" width="13" customWidth="1"/>
    <col min="13" max="13" width="15" customWidth="1"/>
    <col min="14" max="14" width="32" customWidth="1"/>
    <col min="15" max="15" width="44" customWidth="1"/>
    <col min="16" max="16" width="30" customWidth="1"/>
  </cols>
  <sheetData>
    <row r="1" ht="38" customHeight="1" spans="1:16">
      <c r="A1" s="1" t="s">
        <v>302</v>
      </c>
      <c r="B1" s="1" t="s">
        <v>302</v>
      </c>
      <c r="C1" s="1" t="s">
        <v>302</v>
      </c>
      <c r="D1" s="1" t="s">
        <v>302</v>
      </c>
      <c r="E1" s="1" t="s">
        <v>302</v>
      </c>
      <c r="F1" s="1" t="s">
        <v>302</v>
      </c>
      <c r="G1" s="1" t="s">
        <v>302</v>
      </c>
      <c r="H1" s="1" t="s">
        <v>302</v>
      </c>
      <c r="I1" s="1" t="s">
        <v>302</v>
      </c>
      <c r="J1" s="1" t="s">
        <v>302</v>
      </c>
      <c r="K1" s="1" t="s">
        <v>302</v>
      </c>
      <c r="L1" s="1" t="s">
        <v>302</v>
      </c>
      <c r="M1" s="1" t="s">
        <v>302</v>
      </c>
      <c r="N1" s="1" t="s">
        <v>302</v>
      </c>
      <c r="O1" s="1" t="s">
        <v>302</v>
      </c>
      <c r="P1" s="1" t="s">
        <v>302</v>
      </c>
    </row>
    <row r="2" ht="28" customHeight="1" spans="1:16">
      <c r="A2" s="2" t="s">
        <v>303</v>
      </c>
      <c r="B2" s="2" t="s">
        <v>303</v>
      </c>
      <c r="C2" s="2" t="s">
        <v>303</v>
      </c>
      <c r="D2" s="2" t="s">
        <v>303</v>
      </c>
      <c r="E2" s="2" t="s">
        <v>303</v>
      </c>
      <c r="F2" s="2" t="s">
        <v>303</v>
      </c>
      <c r="G2" s="2" t="s">
        <v>303</v>
      </c>
      <c r="H2" s="2" t="s">
        <v>303</v>
      </c>
      <c r="I2" s="2" t="s">
        <v>303</v>
      </c>
      <c r="J2" s="2" t="s">
        <v>303</v>
      </c>
      <c r="K2" s="2" t="s">
        <v>303</v>
      </c>
      <c r="L2" s="2" t="s">
        <v>303</v>
      </c>
      <c r="M2" s="2" t="s">
        <v>303</v>
      </c>
      <c r="N2" s="2" t="s">
        <v>303</v>
      </c>
      <c r="O2" s="2" t="s">
        <v>303</v>
      </c>
      <c r="P2" s="2" t="s">
        <v>303</v>
      </c>
    </row>
    <row r="3" spans="1:1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30" customHeight="1" spans="1:16">
      <c r="A4" s="20" t="s">
        <v>304</v>
      </c>
      <c r="B4" s="20" t="s">
        <v>305</v>
      </c>
      <c r="C4" s="20" t="s">
        <v>306</v>
      </c>
      <c r="D4" s="20" t="s">
        <v>307</v>
      </c>
      <c r="E4" s="20" t="s">
        <v>308</v>
      </c>
      <c r="F4" s="20" t="s">
        <v>92</v>
      </c>
      <c r="G4" s="20" t="s">
        <v>309</v>
      </c>
      <c r="H4" s="20" t="s">
        <v>310</v>
      </c>
      <c r="I4" s="20" t="s">
        <v>311</v>
      </c>
      <c r="J4" s="20" t="s">
        <v>96</v>
      </c>
      <c r="K4" s="20" t="s">
        <v>212</v>
      </c>
      <c r="L4" s="20" t="s">
        <v>97</v>
      </c>
      <c r="M4" s="20" t="s">
        <v>312</v>
      </c>
      <c r="N4" s="20" t="s">
        <v>214</v>
      </c>
      <c r="O4" s="20" t="s">
        <v>313</v>
      </c>
      <c r="P4" s="20" t="s">
        <v>314</v>
      </c>
    </row>
    <row r="5" ht="64" customHeight="1" spans="1:16">
      <c r="A5" s="5" t="s">
        <v>315</v>
      </c>
      <c r="B5" s="21" t="s">
        <v>195</v>
      </c>
      <c r="C5" s="21" t="s">
        <v>216</v>
      </c>
      <c r="D5" s="5" t="s">
        <v>316</v>
      </c>
      <c r="E5" s="5" t="s">
        <v>317</v>
      </c>
      <c r="F5" s="5" t="s">
        <v>219</v>
      </c>
      <c r="G5" s="5" t="s">
        <v>318</v>
      </c>
      <c r="H5" s="5" t="s">
        <v>319</v>
      </c>
      <c r="I5" s="5" t="s">
        <v>320</v>
      </c>
      <c r="J5" s="5" t="s">
        <v>115</v>
      </c>
      <c r="K5" s="12" t="s">
        <v>221</v>
      </c>
      <c r="L5" s="12" t="s">
        <v>10</v>
      </c>
      <c r="M5" s="12" t="s">
        <v>321</v>
      </c>
      <c r="N5" s="12"/>
      <c r="O5" s="5" t="s">
        <v>322</v>
      </c>
      <c r="P5" s="5" t="s">
        <v>323</v>
      </c>
    </row>
    <row r="6" ht="64" customHeight="1" spans="1:16">
      <c r="A6" s="5" t="s">
        <v>324</v>
      </c>
      <c r="B6" s="21" t="s">
        <v>195</v>
      </c>
      <c r="C6" s="21" t="s">
        <v>216</v>
      </c>
      <c r="D6" s="5" t="s">
        <v>325</v>
      </c>
      <c r="E6" s="5" t="s">
        <v>326</v>
      </c>
      <c r="F6" s="5" t="s">
        <v>327</v>
      </c>
      <c r="G6" s="5" t="s">
        <v>328</v>
      </c>
      <c r="H6" s="5" t="s">
        <v>319</v>
      </c>
      <c r="I6" s="5" t="s">
        <v>320</v>
      </c>
      <c r="J6" s="5" t="s">
        <v>115</v>
      </c>
      <c r="K6" s="12" t="s">
        <v>221</v>
      </c>
      <c r="L6" s="12" t="s">
        <v>10</v>
      </c>
      <c r="M6" s="12" t="s">
        <v>321</v>
      </c>
      <c r="N6" s="12"/>
      <c r="O6" s="5" t="s">
        <v>329</v>
      </c>
      <c r="P6" s="5" t="s">
        <v>323</v>
      </c>
    </row>
    <row r="7" ht="64" customHeight="1" spans="1:16">
      <c r="A7" s="5" t="s">
        <v>330</v>
      </c>
      <c r="B7" s="21" t="s">
        <v>195</v>
      </c>
      <c r="C7" s="21" t="s">
        <v>216</v>
      </c>
      <c r="D7" s="5" t="s">
        <v>331</v>
      </c>
      <c r="E7" s="5" t="s">
        <v>332</v>
      </c>
      <c r="F7" s="5" t="s">
        <v>333</v>
      </c>
      <c r="G7" s="5" t="s">
        <v>334</v>
      </c>
      <c r="H7" s="5" t="s">
        <v>319</v>
      </c>
      <c r="I7" s="5" t="s">
        <v>320</v>
      </c>
      <c r="J7" s="5" t="s">
        <v>115</v>
      </c>
      <c r="K7" s="12" t="s">
        <v>221</v>
      </c>
      <c r="L7" s="12" t="s">
        <v>10</v>
      </c>
      <c r="M7" s="12" t="s">
        <v>321</v>
      </c>
      <c r="N7" s="12"/>
      <c r="O7" s="5" t="s">
        <v>335</v>
      </c>
      <c r="P7" s="5" t="s">
        <v>323</v>
      </c>
    </row>
    <row r="8" ht="64" customHeight="1" spans="1:16">
      <c r="A8" s="5" t="s">
        <v>336</v>
      </c>
      <c r="B8" s="21" t="s">
        <v>195</v>
      </c>
      <c r="C8" s="21" t="s">
        <v>216</v>
      </c>
      <c r="D8" s="5" t="s">
        <v>337</v>
      </c>
      <c r="E8" s="5" t="s">
        <v>338</v>
      </c>
      <c r="F8" s="5" t="s">
        <v>219</v>
      </c>
      <c r="G8" s="5" t="s">
        <v>339</v>
      </c>
      <c r="H8" s="5" t="s">
        <v>319</v>
      </c>
      <c r="I8" s="5" t="s">
        <v>320</v>
      </c>
      <c r="J8" s="5" t="s">
        <v>115</v>
      </c>
      <c r="K8" s="12" t="s">
        <v>221</v>
      </c>
      <c r="L8" s="12" t="s">
        <v>10</v>
      </c>
      <c r="M8" s="12" t="s">
        <v>321</v>
      </c>
      <c r="N8" s="12"/>
      <c r="O8" s="5" t="s">
        <v>340</v>
      </c>
      <c r="P8" s="5" t="s">
        <v>323</v>
      </c>
    </row>
    <row r="9" ht="64" customHeight="1" spans="1:16">
      <c r="A9" s="5" t="s">
        <v>341</v>
      </c>
      <c r="B9" s="21" t="s">
        <v>195</v>
      </c>
      <c r="C9" s="21" t="s">
        <v>216</v>
      </c>
      <c r="D9" s="5" t="s">
        <v>342</v>
      </c>
      <c r="E9" s="5" t="s">
        <v>343</v>
      </c>
      <c r="F9" s="5" t="s">
        <v>344</v>
      </c>
      <c r="G9" s="5" t="s">
        <v>345</v>
      </c>
      <c r="H9" s="5" t="s">
        <v>346</v>
      </c>
      <c r="I9" s="5" t="s">
        <v>347</v>
      </c>
      <c r="J9" s="5" t="s">
        <v>348</v>
      </c>
      <c r="K9" s="12" t="s">
        <v>221</v>
      </c>
      <c r="L9" s="12" t="s">
        <v>10</v>
      </c>
      <c r="M9" s="12" t="s">
        <v>321</v>
      </c>
      <c r="N9" s="12"/>
      <c r="O9" s="5" t="s">
        <v>349</v>
      </c>
      <c r="P9" s="5" t="s">
        <v>323</v>
      </c>
    </row>
    <row r="10" ht="64" customHeight="1" spans="1:16">
      <c r="A10" s="5" t="s">
        <v>350</v>
      </c>
      <c r="B10" s="21" t="s">
        <v>107</v>
      </c>
      <c r="C10" s="21" t="s">
        <v>351</v>
      </c>
      <c r="D10" s="5" t="s">
        <v>352</v>
      </c>
      <c r="E10" s="5" t="s">
        <v>353</v>
      </c>
      <c r="F10" s="5" t="s">
        <v>354</v>
      </c>
      <c r="G10" s="5" t="s">
        <v>355</v>
      </c>
      <c r="H10" s="5" t="s">
        <v>356</v>
      </c>
      <c r="I10" s="5" t="s">
        <v>357</v>
      </c>
      <c r="J10" s="5" t="s">
        <v>115</v>
      </c>
      <c r="K10" s="12" t="s">
        <v>221</v>
      </c>
      <c r="L10" s="12" t="s">
        <v>10</v>
      </c>
      <c r="M10" s="12" t="s">
        <v>321</v>
      </c>
      <c r="N10" s="12"/>
      <c r="O10" s="5" t="s">
        <v>358</v>
      </c>
      <c r="P10" s="5" t="s">
        <v>323</v>
      </c>
    </row>
    <row r="11" ht="64" customHeight="1" spans="1:16">
      <c r="A11" s="5" t="s">
        <v>359</v>
      </c>
      <c r="B11" s="21" t="s">
        <v>107</v>
      </c>
      <c r="C11" s="21" t="s">
        <v>351</v>
      </c>
      <c r="D11" s="5" t="s">
        <v>360</v>
      </c>
      <c r="E11" s="5" t="s">
        <v>361</v>
      </c>
      <c r="F11" s="5" t="s">
        <v>362</v>
      </c>
      <c r="G11" s="5" t="s">
        <v>363</v>
      </c>
      <c r="H11" s="5" t="s">
        <v>364</v>
      </c>
      <c r="I11" s="5" t="s">
        <v>365</v>
      </c>
      <c r="J11" s="5" t="s">
        <v>115</v>
      </c>
      <c r="K11" s="12" t="s">
        <v>221</v>
      </c>
      <c r="L11" s="12" t="s">
        <v>10</v>
      </c>
      <c r="M11" s="12" t="s">
        <v>321</v>
      </c>
      <c r="N11" s="12"/>
      <c r="O11" s="5" t="s">
        <v>366</v>
      </c>
      <c r="P11" s="5" t="s">
        <v>323</v>
      </c>
    </row>
    <row r="12" ht="64" customHeight="1" spans="1:16">
      <c r="A12" s="5" t="s">
        <v>367</v>
      </c>
      <c r="B12" s="21" t="s">
        <v>107</v>
      </c>
      <c r="C12" s="21" t="s">
        <v>351</v>
      </c>
      <c r="D12" s="5" t="s">
        <v>368</v>
      </c>
      <c r="E12" s="5" t="s">
        <v>369</v>
      </c>
      <c r="F12" s="5" t="s">
        <v>111</v>
      </c>
      <c r="G12" s="5" t="s">
        <v>370</v>
      </c>
      <c r="H12" s="5" t="s">
        <v>364</v>
      </c>
      <c r="I12" s="5" t="s">
        <v>365</v>
      </c>
      <c r="J12" s="5" t="s">
        <v>115</v>
      </c>
      <c r="K12" s="12" t="s">
        <v>221</v>
      </c>
      <c r="L12" s="12" t="s">
        <v>10</v>
      </c>
      <c r="M12" s="12" t="s">
        <v>321</v>
      </c>
      <c r="N12" s="12"/>
      <c r="O12" s="5" t="s">
        <v>371</v>
      </c>
      <c r="P12" s="5" t="s">
        <v>323</v>
      </c>
    </row>
    <row r="13" ht="64" customHeight="1" spans="1:16">
      <c r="A13" s="5" t="s">
        <v>372</v>
      </c>
      <c r="B13" s="21" t="s">
        <v>107</v>
      </c>
      <c r="C13" s="21" t="s">
        <v>351</v>
      </c>
      <c r="D13" s="5" t="s">
        <v>373</v>
      </c>
      <c r="E13" s="5" t="s">
        <v>374</v>
      </c>
      <c r="F13" s="5" t="s">
        <v>375</v>
      </c>
      <c r="G13" s="5" t="s">
        <v>370</v>
      </c>
      <c r="H13" s="5" t="s">
        <v>364</v>
      </c>
      <c r="I13" s="5" t="s">
        <v>365</v>
      </c>
      <c r="J13" s="5" t="s">
        <v>115</v>
      </c>
      <c r="K13" s="12" t="s">
        <v>221</v>
      </c>
      <c r="L13" s="12" t="s">
        <v>10</v>
      </c>
      <c r="M13" s="12" t="s">
        <v>321</v>
      </c>
      <c r="N13" s="12"/>
      <c r="O13" s="5" t="s">
        <v>376</v>
      </c>
      <c r="P13" s="5" t="s">
        <v>323</v>
      </c>
    </row>
    <row r="14" ht="64" customHeight="1" spans="1:16">
      <c r="A14" s="5" t="s">
        <v>377</v>
      </c>
      <c r="B14" s="21" t="s">
        <v>107</v>
      </c>
      <c r="C14" s="21" t="s">
        <v>351</v>
      </c>
      <c r="D14" s="5" t="s">
        <v>378</v>
      </c>
      <c r="E14" s="5" t="s">
        <v>379</v>
      </c>
      <c r="F14" s="5" t="s">
        <v>163</v>
      </c>
      <c r="G14" s="5" t="s">
        <v>380</v>
      </c>
      <c r="H14" s="5" t="s">
        <v>381</v>
      </c>
      <c r="I14" s="5" t="s">
        <v>382</v>
      </c>
      <c r="J14" s="5" t="s">
        <v>115</v>
      </c>
      <c r="K14" s="12" t="s">
        <v>221</v>
      </c>
      <c r="L14" s="12" t="s">
        <v>10</v>
      </c>
      <c r="M14" s="12" t="s">
        <v>321</v>
      </c>
      <c r="N14" s="12"/>
      <c r="O14" s="5" t="s">
        <v>383</v>
      </c>
      <c r="P14" s="5" t="s">
        <v>323</v>
      </c>
    </row>
    <row r="15" ht="64" customHeight="1" spans="1:16">
      <c r="A15" s="5" t="s">
        <v>384</v>
      </c>
      <c r="B15" s="21" t="s">
        <v>107</v>
      </c>
      <c r="C15" s="21" t="s">
        <v>351</v>
      </c>
      <c r="D15" s="5" t="s">
        <v>385</v>
      </c>
      <c r="E15" s="5" t="s">
        <v>386</v>
      </c>
      <c r="F15" s="5" t="s">
        <v>387</v>
      </c>
      <c r="G15" s="5" t="s">
        <v>388</v>
      </c>
      <c r="H15" s="5" t="s">
        <v>389</v>
      </c>
      <c r="I15" s="5" t="s">
        <v>390</v>
      </c>
      <c r="J15" s="5" t="s">
        <v>115</v>
      </c>
      <c r="K15" s="12" t="s">
        <v>221</v>
      </c>
      <c r="L15" s="12" t="s">
        <v>10</v>
      </c>
      <c r="M15" s="12" t="s">
        <v>321</v>
      </c>
      <c r="N15" s="12"/>
      <c r="O15" s="5" t="s">
        <v>391</v>
      </c>
      <c r="P15" s="5" t="s">
        <v>323</v>
      </c>
    </row>
    <row r="16" ht="64" customHeight="1" spans="1:16">
      <c r="A16" s="5" t="s">
        <v>392</v>
      </c>
      <c r="B16" s="21" t="s">
        <v>107</v>
      </c>
      <c r="C16" s="21" t="s">
        <v>351</v>
      </c>
      <c r="D16" s="5" t="s">
        <v>393</v>
      </c>
      <c r="E16" s="5" t="s">
        <v>394</v>
      </c>
      <c r="F16" s="5" t="s">
        <v>163</v>
      </c>
      <c r="G16" s="5" t="s">
        <v>395</v>
      </c>
      <c r="H16" s="5" t="s">
        <v>389</v>
      </c>
      <c r="I16" s="5" t="s">
        <v>390</v>
      </c>
      <c r="J16" s="5" t="s">
        <v>115</v>
      </c>
      <c r="K16" s="12" t="s">
        <v>221</v>
      </c>
      <c r="L16" s="12" t="s">
        <v>10</v>
      </c>
      <c r="M16" s="12" t="s">
        <v>321</v>
      </c>
      <c r="N16" s="12"/>
      <c r="O16" s="5" t="s">
        <v>396</v>
      </c>
      <c r="P16" s="5" t="s">
        <v>323</v>
      </c>
    </row>
    <row r="17" ht="64" customHeight="1" spans="1:16">
      <c r="A17" s="5" t="s">
        <v>397</v>
      </c>
      <c r="B17" s="5" t="s">
        <v>398</v>
      </c>
      <c r="C17" s="21" t="s">
        <v>351</v>
      </c>
      <c r="D17" s="5" t="s">
        <v>399</v>
      </c>
      <c r="E17" s="5" t="s">
        <v>400</v>
      </c>
      <c r="F17" s="5" t="s">
        <v>401</v>
      </c>
      <c r="G17" s="5" t="s">
        <v>402</v>
      </c>
      <c r="H17" s="5" t="s">
        <v>403</v>
      </c>
      <c r="I17" s="5" t="s">
        <v>404</v>
      </c>
      <c r="J17" s="5" t="s">
        <v>115</v>
      </c>
      <c r="K17" s="12" t="s">
        <v>221</v>
      </c>
      <c r="L17" s="12" t="s">
        <v>10</v>
      </c>
      <c r="M17" s="12" t="s">
        <v>321</v>
      </c>
      <c r="N17" s="12"/>
      <c r="O17" s="5" t="s">
        <v>405</v>
      </c>
      <c r="P17" s="5" t="s">
        <v>323</v>
      </c>
    </row>
    <row r="18" ht="64" customHeight="1" spans="1:16">
      <c r="A18" s="5" t="s">
        <v>406</v>
      </c>
      <c r="B18" s="21" t="s">
        <v>407</v>
      </c>
      <c r="C18" s="21" t="s">
        <v>231</v>
      </c>
      <c r="D18" s="5" t="s">
        <v>408</v>
      </c>
      <c r="E18" s="5" t="s">
        <v>409</v>
      </c>
      <c r="F18" s="5" t="s">
        <v>401</v>
      </c>
      <c r="G18" s="5" t="s">
        <v>410</v>
      </c>
      <c r="H18" s="5" t="s">
        <v>403</v>
      </c>
      <c r="I18" s="5" t="s">
        <v>404</v>
      </c>
      <c r="J18" s="5" t="s">
        <v>115</v>
      </c>
      <c r="K18" s="12" t="s">
        <v>221</v>
      </c>
      <c r="L18" s="12" t="s">
        <v>10</v>
      </c>
      <c r="M18" s="12" t="s">
        <v>321</v>
      </c>
      <c r="N18" s="12"/>
      <c r="O18" s="5" t="s">
        <v>411</v>
      </c>
      <c r="P18" s="5" t="s">
        <v>323</v>
      </c>
    </row>
    <row r="19" ht="64" customHeight="1" spans="1:16">
      <c r="A19" s="5" t="s">
        <v>412</v>
      </c>
      <c r="B19" s="21" t="s">
        <v>407</v>
      </c>
      <c r="C19" s="21" t="s">
        <v>231</v>
      </c>
      <c r="D19" s="5" t="s">
        <v>413</v>
      </c>
      <c r="E19" s="5" t="s">
        <v>414</v>
      </c>
      <c r="F19" s="5" t="s">
        <v>415</v>
      </c>
      <c r="G19" s="5" t="s">
        <v>416</v>
      </c>
      <c r="H19" s="5" t="s">
        <v>403</v>
      </c>
      <c r="I19" s="5" t="s">
        <v>404</v>
      </c>
      <c r="J19" s="5" t="s">
        <v>115</v>
      </c>
      <c r="K19" s="12" t="s">
        <v>221</v>
      </c>
      <c r="L19" s="12" t="s">
        <v>10</v>
      </c>
      <c r="M19" s="12" t="s">
        <v>321</v>
      </c>
      <c r="N19" s="12"/>
      <c r="O19" s="5" t="s">
        <v>417</v>
      </c>
      <c r="P19" s="5" t="s">
        <v>323</v>
      </c>
    </row>
    <row r="20" ht="64" customHeight="1" spans="1:16">
      <c r="A20" s="5" t="s">
        <v>418</v>
      </c>
      <c r="B20" s="21" t="s">
        <v>407</v>
      </c>
      <c r="C20" s="21" t="s">
        <v>231</v>
      </c>
      <c r="D20" s="5" t="s">
        <v>419</v>
      </c>
      <c r="E20" s="5" t="s">
        <v>420</v>
      </c>
      <c r="F20" s="5" t="s">
        <v>415</v>
      </c>
      <c r="G20" s="5" t="s">
        <v>402</v>
      </c>
      <c r="H20" s="5" t="s">
        <v>403</v>
      </c>
      <c r="I20" s="5" t="s">
        <v>404</v>
      </c>
      <c r="J20" s="5" t="s">
        <v>115</v>
      </c>
      <c r="K20" s="12" t="s">
        <v>221</v>
      </c>
      <c r="L20" s="12" t="s">
        <v>10</v>
      </c>
      <c r="M20" s="12" t="s">
        <v>321</v>
      </c>
      <c r="N20" s="12"/>
      <c r="O20" s="5" t="s">
        <v>421</v>
      </c>
      <c r="P20" s="5" t="s">
        <v>323</v>
      </c>
    </row>
    <row r="21" ht="64" customHeight="1" spans="1:16">
      <c r="A21" s="5" t="s">
        <v>422</v>
      </c>
      <c r="B21" s="21" t="s">
        <v>407</v>
      </c>
      <c r="C21" s="21" t="s">
        <v>231</v>
      </c>
      <c r="D21" s="5" t="s">
        <v>423</v>
      </c>
      <c r="E21" s="5" t="s">
        <v>424</v>
      </c>
      <c r="F21" s="5" t="s">
        <v>415</v>
      </c>
      <c r="G21" s="5" t="s">
        <v>416</v>
      </c>
      <c r="H21" s="5" t="s">
        <v>403</v>
      </c>
      <c r="I21" s="5" t="s">
        <v>404</v>
      </c>
      <c r="J21" s="5" t="s">
        <v>115</v>
      </c>
      <c r="K21" s="12" t="s">
        <v>221</v>
      </c>
      <c r="L21" s="12" t="s">
        <v>10</v>
      </c>
      <c r="M21" s="12" t="s">
        <v>321</v>
      </c>
      <c r="N21" s="12"/>
      <c r="O21" s="5" t="s">
        <v>425</v>
      </c>
      <c r="P21" s="5" t="s">
        <v>323</v>
      </c>
    </row>
    <row r="22" ht="64" customHeight="1" spans="1:16">
      <c r="A22" s="5" t="s">
        <v>426</v>
      </c>
      <c r="B22" s="21" t="s">
        <v>407</v>
      </c>
      <c r="C22" s="21" t="s">
        <v>231</v>
      </c>
      <c r="D22" s="5" t="s">
        <v>427</v>
      </c>
      <c r="E22" s="5" t="s">
        <v>428</v>
      </c>
      <c r="F22" s="5" t="s">
        <v>401</v>
      </c>
      <c r="G22" s="5" t="s">
        <v>402</v>
      </c>
      <c r="H22" s="5" t="s">
        <v>403</v>
      </c>
      <c r="I22" s="5" t="s">
        <v>404</v>
      </c>
      <c r="J22" s="5" t="s">
        <v>115</v>
      </c>
      <c r="K22" s="12" t="s">
        <v>221</v>
      </c>
      <c r="L22" s="12" t="s">
        <v>10</v>
      </c>
      <c r="M22" s="12" t="s">
        <v>321</v>
      </c>
      <c r="N22" s="12"/>
      <c r="O22" s="5" t="s">
        <v>429</v>
      </c>
      <c r="P22" s="5" t="s">
        <v>323</v>
      </c>
    </row>
    <row r="23" ht="64" customHeight="1" spans="1:16">
      <c r="A23" s="5" t="s">
        <v>430</v>
      </c>
      <c r="B23" s="21" t="s">
        <v>407</v>
      </c>
      <c r="C23" s="21" t="s">
        <v>231</v>
      </c>
      <c r="D23" s="5" t="s">
        <v>431</v>
      </c>
      <c r="E23" s="5" t="s">
        <v>432</v>
      </c>
      <c r="F23" s="5" t="s">
        <v>415</v>
      </c>
      <c r="G23" s="5" t="s">
        <v>433</v>
      </c>
      <c r="H23" s="5" t="s">
        <v>403</v>
      </c>
      <c r="I23" s="5" t="s">
        <v>404</v>
      </c>
      <c r="J23" s="5" t="s">
        <v>115</v>
      </c>
      <c r="K23" s="12" t="s">
        <v>221</v>
      </c>
      <c r="L23" s="12" t="s">
        <v>10</v>
      </c>
      <c r="M23" s="12" t="s">
        <v>321</v>
      </c>
      <c r="N23" s="12"/>
      <c r="O23" s="5" t="s">
        <v>434</v>
      </c>
      <c r="P23" s="5" t="s">
        <v>323</v>
      </c>
    </row>
    <row r="24" ht="64" customHeight="1" spans="1:16">
      <c r="A24" s="5" t="s">
        <v>435</v>
      </c>
      <c r="B24" s="21" t="s">
        <v>407</v>
      </c>
      <c r="C24" s="21" t="s">
        <v>231</v>
      </c>
      <c r="D24" s="5" t="s">
        <v>436</v>
      </c>
      <c r="E24" s="5" t="s">
        <v>437</v>
      </c>
      <c r="F24" s="5" t="s">
        <v>401</v>
      </c>
      <c r="G24" s="5" t="s">
        <v>402</v>
      </c>
      <c r="H24" s="5" t="s">
        <v>403</v>
      </c>
      <c r="I24" s="5" t="s">
        <v>404</v>
      </c>
      <c r="J24" s="5" t="s">
        <v>115</v>
      </c>
      <c r="K24" s="12" t="s">
        <v>221</v>
      </c>
      <c r="L24" s="12" t="s">
        <v>10</v>
      </c>
      <c r="M24" s="12" t="s">
        <v>321</v>
      </c>
      <c r="N24" s="12"/>
      <c r="O24" s="5" t="s">
        <v>438</v>
      </c>
      <c r="P24" s="5" t="s">
        <v>323</v>
      </c>
    </row>
    <row r="25" ht="64" customHeight="1" spans="1:16">
      <c r="A25" s="5" t="s">
        <v>439</v>
      </c>
      <c r="B25" s="21" t="s">
        <v>407</v>
      </c>
      <c r="C25" s="21" t="s">
        <v>231</v>
      </c>
      <c r="D25" s="5" t="s">
        <v>440</v>
      </c>
      <c r="E25" s="5" t="s">
        <v>441</v>
      </c>
      <c r="F25" s="5" t="s">
        <v>415</v>
      </c>
      <c r="G25" s="5" t="s">
        <v>402</v>
      </c>
      <c r="H25" s="5" t="s">
        <v>403</v>
      </c>
      <c r="I25" s="5" t="s">
        <v>404</v>
      </c>
      <c r="J25" s="5" t="s">
        <v>115</v>
      </c>
      <c r="K25" s="12" t="s">
        <v>221</v>
      </c>
      <c r="L25" s="12" t="s">
        <v>10</v>
      </c>
      <c r="M25" s="12" t="s">
        <v>321</v>
      </c>
      <c r="N25" s="12"/>
      <c r="O25" s="5" t="s">
        <v>442</v>
      </c>
      <c r="P25" s="5" t="s">
        <v>323</v>
      </c>
    </row>
    <row r="26" ht="64" customHeight="1" spans="1:16">
      <c r="A26" s="5" t="s">
        <v>443</v>
      </c>
      <c r="B26" s="21" t="s">
        <v>407</v>
      </c>
      <c r="C26" s="21" t="s">
        <v>231</v>
      </c>
      <c r="D26" s="5" t="s">
        <v>444</v>
      </c>
      <c r="E26" s="5" t="s">
        <v>445</v>
      </c>
      <c r="F26" s="5" t="s">
        <v>446</v>
      </c>
      <c r="G26" s="5" t="s">
        <v>447</v>
      </c>
      <c r="H26" s="5" t="s">
        <v>448</v>
      </c>
      <c r="I26" s="5" t="s">
        <v>449</v>
      </c>
      <c r="J26" s="5" t="s">
        <v>115</v>
      </c>
      <c r="K26" s="12" t="s">
        <v>221</v>
      </c>
      <c r="L26" s="12" t="s">
        <v>10</v>
      </c>
      <c r="M26" s="12" t="s">
        <v>321</v>
      </c>
      <c r="N26" s="12"/>
      <c r="O26" s="5" t="s">
        <v>450</v>
      </c>
      <c r="P26" s="5" t="s">
        <v>323</v>
      </c>
    </row>
    <row r="27" ht="64" customHeight="1" spans="1:16">
      <c r="A27" s="5" t="s">
        <v>451</v>
      </c>
      <c r="B27" s="21" t="s">
        <v>407</v>
      </c>
      <c r="C27" s="21" t="s">
        <v>231</v>
      </c>
      <c r="D27" s="5" t="s">
        <v>452</v>
      </c>
      <c r="E27" s="5" t="s">
        <v>453</v>
      </c>
      <c r="F27" s="5" t="s">
        <v>454</v>
      </c>
      <c r="G27" s="5" t="s">
        <v>455</v>
      </c>
      <c r="H27" s="5" t="s">
        <v>456</v>
      </c>
      <c r="I27" s="5" t="s">
        <v>457</v>
      </c>
      <c r="J27" s="5" t="s">
        <v>115</v>
      </c>
      <c r="K27" s="12" t="s">
        <v>267</v>
      </c>
      <c r="L27" s="12" t="s">
        <v>10</v>
      </c>
      <c r="M27" s="12" t="s">
        <v>321</v>
      </c>
      <c r="N27" s="12"/>
      <c r="O27" s="5" t="s">
        <v>458</v>
      </c>
      <c r="P27" s="5" t="s">
        <v>323</v>
      </c>
    </row>
    <row r="28" ht="64" customHeight="1" spans="1:16">
      <c r="A28" s="5" t="s">
        <v>459</v>
      </c>
      <c r="B28" s="21" t="s">
        <v>460</v>
      </c>
      <c r="C28" s="21" t="s">
        <v>238</v>
      </c>
      <c r="D28" s="5" t="s">
        <v>461</v>
      </c>
      <c r="E28" s="5" t="s">
        <v>462</v>
      </c>
      <c r="F28" s="5" t="s">
        <v>446</v>
      </c>
      <c r="G28" s="5" t="s">
        <v>463</v>
      </c>
      <c r="H28" s="5" t="s">
        <v>448</v>
      </c>
      <c r="I28" s="5" t="s">
        <v>449</v>
      </c>
      <c r="J28" s="5" t="s">
        <v>115</v>
      </c>
      <c r="K28" s="12" t="s">
        <v>221</v>
      </c>
      <c r="L28" s="12" t="s">
        <v>10</v>
      </c>
      <c r="M28" s="12" t="s">
        <v>321</v>
      </c>
      <c r="N28" s="12"/>
      <c r="O28" s="5" t="s">
        <v>464</v>
      </c>
      <c r="P28" s="5" t="s">
        <v>323</v>
      </c>
    </row>
    <row r="29" ht="64" customHeight="1" spans="1:16">
      <c r="A29" s="5" t="s">
        <v>465</v>
      </c>
      <c r="B29" s="21" t="s">
        <v>460</v>
      </c>
      <c r="C29" s="21" t="s">
        <v>238</v>
      </c>
      <c r="D29" s="5" t="s">
        <v>466</v>
      </c>
      <c r="E29" s="5" t="s">
        <v>467</v>
      </c>
      <c r="F29" s="5" t="s">
        <v>446</v>
      </c>
      <c r="G29" s="5" t="s">
        <v>468</v>
      </c>
      <c r="H29" s="5" t="s">
        <v>448</v>
      </c>
      <c r="I29" s="5" t="s">
        <v>449</v>
      </c>
      <c r="J29" s="5" t="s">
        <v>115</v>
      </c>
      <c r="K29" s="12" t="s">
        <v>221</v>
      </c>
      <c r="L29" s="12" t="s">
        <v>10</v>
      </c>
      <c r="M29" s="12" t="s">
        <v>321</v>
      </c>
      <c r="N29" s="12"/>
      <c r="O29" s="5" t="s">
        <v>469</v>
      </c>
      <c r="P29" s="5" t="s">
        <v>323</v>
      </c>
    </row>
    <row r="30" ht="64" customHeight="1" spans="1:16">
      <c r="A30" s="5" t="s">
        <v>470</v>
      </c>
      <c r="B30" s="21" t="s">
        <v>460</v>
      </c>
      <c r="C30" s="21" t="s">
        <v>238</v>
      </c>
      <c r="D30" s="5" t="s">
        <v>471</v>
      </c>
      <c r="E30" s="5" t="s">
        <v>472</v>
      </c>
      <c r="F30" s="5" t="s">
        <v>446</v>
      </c>
      <c r="G30" s="5" t="s">
        <v>473</v>
      </c>
      <c r="H30" s="5" t="s">
        <v>448</v>
      </c>
      <c r="I30" s="5" t="s">
        <v>449</v>
      </c>
      <c r="J30" s="5" t="s">
        <v>115</v>
      </c>
      <c r="K30" s="12" t="s">
        <v>221</v>
      </c>
      <c r="L30" s="12" t="s">
        <v>10</v>
      </c>
      <c r="M30" s="12" t="s">
        <v>321</v>
      </c>
      <c r="N30" s="12"/>
      <c r="O30" s="5" t="s">
        <v>474</v>
      </c>
      <c r="P30" s="5" t="s">
        <v>323</v>
      </c>
    </row>
    <row r="31" ht="64" customHeight="1" spans="1:16">
      <c r="A31" s="5" t="s">
        <v>475</v>
      </c>
      <c r="B31" s="21" t="s">
        <v>460</v>
      </c>
      <c r="C31" s="21" t="s">
        <v>238</v>
      </c>
      <c r="D31" s="5" t="s">
        <v>476</v>
      </c>
      <c r="E31" s="5" t="s">
        <v>477</v>
      </c>
      <c r="F31" s="5" t="s">
        <v>446</v>
      </c>
      <c r="G31" s="5" t="s">
        <v>478</v>
      </c>
      <c r="H31" s="5" t="s">
        <v>479</v>
      </c>
      <c r="I31" s="5" t="s">
        <v>480</v>
      </c>
      <c r="J31" s="5" t="s">
        <v>115</v>
      </c>
      <c r="K31" s="12" t="s">
        <v>221</v>
      </c>
      <c r="L31" s="12" t="s">
        <v>10</v>
      </c>
      <c r="M31" s="12" t="s">
        <v>321</v>
      </c>
      <c r="N31" s="12"/>
      <c r="O31" s="5" t="s">
        <v>481</v>
      </c>
      <c r="P31" s="5" t="s">
        <v>323</v>
      </c>
    </row>
    <row r="32" ht="64" customHeight="1" spans="1:16">
      <c r="A32" s="5" t="s">
        <v>482</v>
      </c>
      <c r="B32" s="21" t="s">
        <v>460</v>
      </c>
      <c r="C32" s="21" t="s">
        <v>238</v>
      </c>
      <c r="D32" s="5" t="s">
        <v>483</v>
      </c>
      <c r="E32" s="5" t="s">
        <v>484</v>
      </c>
      <c r="F32" s="5" t="s">
        <v>446</v>
      </c>
      <c r="G32" s="5" t="s">
        <v>485</v>
      </c>
      <c r="H32" s="5" t="s">
        <v>479</v>
      </c>
      <c r="I32" s="5" t="s">
        <v>480</v>
      </c>
      <c r="J32" s="5" t="s">
        <v>348</v>
      </c>
      <c r="K32" s="12" t="s">
        <v>267</v>
      </c>
      <c r="L32" s="12" t="s">
        <v>10</v>
      </c>
      <c r="M32" s="12" t="s">
        <v>321</v>
      </c>
      <c r="N32" s="12"/>
      <c r="O32" s="5" t="s">
        <v>486</v>
      </c>
      <c r="P32" s="5" t="s">
        <v>323</v>
      </c>
    </row>
    <row r="33" ht="64" customHeight="1" spans="1:16">
      <c r="A33" s="5" t="s">
        <v>487</v>
      </c>
      <c r="B33" s="21" t="s">
        <v>460</v>
      </c>
      <c r="C33" s="21" t="s">
        <v>238</v>
      </c>
      <c r="D33" s="5" t="s">
        <v>488</v>
      </c>
      <c r="E33" s="5" t="s">
        <v>489</v>
      </c>
      <c r="F33" s="5" t="s">
        <v>446</v>
      </c>
      <c r="G33" s="5" t="s">
        <v>485</v>
      </c>
      <c r="H33" s="5" t="s">
        <v>479</v>
      </c>
      <c r="I33" s="5" t="s">
        <v>480</v>
      </c>
      <c r="J33" s="5" t="s">
        <v>115</v>
      </c>
      <c r="K33" s="12" t="s">
        <v>221</v>
      </c>
      <c r="L33" s="12" t="s">
        <v>10</v>
      </c>
      <c r="M33" s="12" t="s">
        <v>321</v>
      </c>
      <c r="N33" s="12"/>
      <c r="O33" s="5" t="s">
        <v>490</v>
      </c>
      <c r="P33" s="5" t="s">
        <v>323</v>
      </c>
    </row>
    <row r="34" ht="64" customHeight="1" spans="1:16">
      <c r="A34" s="5" t="s">
        <v>491</v>
      </c>
      <c r="B34" s="21" t="s">
        <v>460</v>
      </c>
      <c r="C34" s="21" t="s">
        <v>238</v>
      </c>
      <c r="D34" s="5" t="s">
        <v>492</v>
      </c>
      <c r="E34" s="5" t="s">
        <v>493</v>
      </c>
      <c r="F34" s="5" t="s">
        <v>494</v>
      </c>
      <c r="G34" s="5" t="s">
        <v>478</v>
      </c>
      <c r="H34" s="5" t="s">
        <v>479</v>
      </c>
      <c r="I34" s="5" t="s">
        <v>480</v>
      </c>
      <c r="J34" s="5" t="s">
        <v>115</v>
      </c>
      <c r="K34" s="12" t="s">
        <v>221</v>
      </c>
      <c r="L34" s="12" t="s">
        <v>10</v>
      </c>
      <c r="M34" s="12" t="s">
        <v>321</v>
      </c>
      <c r="N34" s="12"/>
      <c r="O34" s="5" t="s">
        <v>495</v>
      </c>
      <c r="P34" s="5" t="s">
        <v>323</v>
      </c>
    </row>
    <row r="35" ht="64" customHeight="1" spans="1:16">
      <c r="A35" s="5" t="s">
        <v>496</v>
      </c>
      <c r="B35" s="21" t="s">
        <v>497</v>
      </c>
      <c r="C35" s="21" t="s">
        <v>238</v>
      </c>
      <c r="D35" s="5" t="s">
        <v>498</v>
      </c>
      <c r="E35" s="5" t="s">
        <v>499</v>
      </c>
      <c r="F35" s="5" t="s">
        <v>129</v>
      </c>
      <c r="G35" s="5" t="s">
        <v>500</v>
      </c>
      <c r="H35" s="5" t="s">
        <v>501</v>
      </c>
      <c r="I35" s="5" t="s">
        <v>502</v>
      </c>
      <c r="J35" s="5" t="s">
        <v>115</v>
      </c>
      <c r="K35" s="12" t="s">
        <v>221</v>
      </c>
      <c r="L35" s="12" t="s">
        <v>10</v>
      </c>
      <c r="M35" s="12" t="s">
        <v>321</v>
      </c>
      <c r="N35" s="12"/>
      <c r="O35" s="5" t="s">
        <v>503</v>
      </c>
      <c r="P35" s="5" t="s">
        <v>323</v>
      </c>
    </row>
    <row r="36" ht="64" customHeight="1" spans="1:16">
      <c r="A36" s="5" t="s">
        <v>504</v>
      </c>
      <c r="B36" s="21" t="s">
        <v>497</v>
      </c>
      <c r="C36" s="21" t="s">
        <v>238</v>
      </c>
      <c r="D36" s="5" t="s">
        <v>505</v>
      </c>
      <c r="E36" s="5" t="s">
        <v>506</v>
      </c>
      <c r="F36" s="5" t="s">
        <v>446</v>
      </c>
      <c r="G36" s="5" t="s">
        <v>500</v>
      </c>
      <c r="H36" s="5" t="s">
        <v>501</v>
      </c>
      <c r="I36" s="5" t="s">
        <v>502</v>
      </c>
      <c r="J36" s="5" t="s">
        <v>115</v>
      </c>
      <c r="K36" s="12" t="s">
        <v>221</v>
      </c>
      <c r="L36" s="12" t="s">
        <v>10</v>
      </c>
      <c r="M36" s="12" t="s">
        <v>321</v>
      </c>
      <c r="N36" s="12"/>
      <c r="O36" s="5" t="s">
        <v>507</v>
      </c>
      <c r="P36" s="5" t="s">
        <v>323</v>
      </c>
    </row>
    <row r="37" ht="64" customHeight="1" spans="1:16">
      <c r="A37" s="5" t="s">
        <v>508</v>
      </c>
      <c r="B37" s="21" t="s">
        <v>497</v>
      </c>
      <c r="C37" s="21" t="s">
        <v>238</v>
      </c>
      <c r="D37" s="5" t="s">
        <v>509</v>
      </c>
      <c r="E37" s="5" t="s">
        <v>510</v>
      </c>
      <c r="F37" s="5" t="s">
        <v>446</v>
      </c>
      <c r="G37" s="5" t="s">
        <v>511</v>
      </c>
      <c r="H37" s="5" t="s">
        <v>512</v>
      </c>
      <c r="I37" s="5" t="s">
        <v>502</v>
      </c>
      <c r="J37" s="5" t="s">
        <v>513</v>
      </c>
      <c r="K37" s="12" t="s">
        <v>221</v>
      </c>
      <c r="L37" s="12" t="s">
        <v>10</v>
      </c>
      <c r="M37" s="12" t="s">
        <v>321</v>
      </c>
      <c r="N37" s="12"/>
      <c r="O37" s="5" t="s">
        <v>514</v>
      </c>
      <c r="P37" s="5" t="s">
        <v>515</v>
      </c>
    </row>
    <row r="38" ht="64" customHeight="1" spans="1:16">
      <c r="A38" s="5" t="s">
        <v>516</v>
      </c>
      <c r="B38" s="5" t="s">
        <v>98</v>
      </c>
      <c r="C38" s="21" t="s">
        <v>238</v>
      </c>
      <c r="D38" s="5" t="s">
        <v>517</v>
      </c>
      <c r="E38" s="5" t="s">
        <v>518</v>
      </c>
      <c r="F38" s="5" t="s">
        <v>446</v>
      </c>
      <c r="G38" s="5" t="s">
        <v>519</v>
      </c>
      <c r="H38" s="5" t="s">
        <v>501</v>
      </c>
      <c r="I38" s="5" t="s">
        <v>502</v>
      </c>
      <c r="J38" s="5" t="s">
        <v>348</v>
      </c>
      <c r="K38" s="12" t="s">
        <v>267</v>
      </c>
      <c r="L38" s="12" t="s">
        <v>10</v>
      </c>
      <c r="M38" s="12" t="s">
        <v>321</v>
      </c>
      <c r="N38" s="12"/>
      <c r="O38" s="5" t="s">
        <v>520</v>
      </c>
      <c r="P38" s="5" t="s">
        <v>323</v>
      </c>
    </row>
    <row r="39" ht="64" customHeight="1" spans="1:16">
      <c r="A39" s="5" t="s">
        <v>521</v>
      </c>
      <c r="B39" s="21" t="s">
        <v>522</v>
      </c>
      <c r="C39" s="21" t="s">
        <v>247</v>
      </c>
      <c r="D39" s="5" t="s">
        <v>523</v>
      </c>
      <c r="E39" s="5" t="s">
        <v>524</v>
      </c>
      <c r="F39" s="5" t="s">
        <v>163</v>
      </c>
      <c r="G39" s="5" t="s">
        <v>525</v>
      </c>
      <c r="H39" s="5" t="s">
        <v>526</v>
      </c>
      <c r="I39" s="5" t="s">
        <v>527</v>
      </c>
      <c r="J39" s="5" t="s">
        <v>115</v>
      </c>
      <c r="K39" s="12" t="s">
        <v>221</v>
      </c>
      <c r="L39" s="12" t="s">
        <v>10</v>
      </c>
      <c r="M39" s="12" t="s">
        <v>321</v>
      </c>
      <c r="N39" s="12"/>
      <c r="O39" s="5" t="s">
        <v>528</v>
      </c>
      <c r="P39" s="5" t="s">
        <v>323</v>
      </c>
    </row>
    <row r="40" ht="64" customHeight="1" spans="1:16">
      <c r="A40" s="5" t="s">
        <v>529</v>
      </c>
      <c r="B40" s="21" t="s">
        <v>522</v>
      </c>
      <c r="C40" s="21" t="s">
        <v>247</v>
      </c>
      <c r="D40" s="5" t="s">
        <v>530</v>
      </c>
      <c r="E40" s="5" t="s">
        <v>531</v>
      </c>
      <c r="F40" s="5" t="s">
        <v>163</v>
      </c>
      <c r="G40" s="5" t="s">
        <v>532</v>
      </c>
      <c r="H40" s="5" t="s">
        <v>526</v>
      </c>
      <c r="I40" s="5" t="s">
        <v>527</v>
      </c>
      <c r="J40" s="5" t="s">
        <v>115</v>
      </c>
      <c r="K40" s="12" t="s">
        <v>221</v>
      </c>
      <c r="L40" s="12" t="s">
        <v>10</v>
      </c>
      <c r="M40" s="12" t="s">
        <v>321</v>
      </c>
      <c r="N40" s="12"/>
      <c r="O40" s="5" t="s">
        <v>533</v>
      </c>
      <c r="P40" s="5" t="s">
        <v>323</v>
      </c>
    </row>
    <row r="41" ht="64" customHeight="1" spans="1:16">
      <c r="A41" s="5" t="s">
        <v>534</v>
      </c>
      <c r="B41" s="21" t="s">
        <v>522</v>
      </c>
      <c r="C41" s="21" t="s">
        <v>247</v>
      </c>
      <c r="D41" s="5" t="s">
        <v>535</v>
      </c>
      <c r="E41" s="5" t="s">
        <v>536</v>
      </c>
      <c r="F41" s="5" t="s">
        <v>387</v>
      </c>
      <c r="G41" s="5" t="s">
        <v>537</v>
      </c>
      <c r="H41" s="5" t="s">
        <v>526</v>
      </c>
      <c r="I41" s="5" t="s">
        <v>527</v>
      </c>
      <c r="J41" s="5" t="s">
        <v>115</v>
      </c>
      <c r="K41" s="12" t="s">
        <v>221</v>
      </c>
      <c r="L41" s="12" t="s">
        <v>10</v>
      </c>
      <c r="M41" s="12" t="s">
        <v>321</v>
      </c>
      <c r="N41" s="12"/>
      <c r="O41" s="5" t="s">
        <v>538</v>
      </c>
      <c r="P41" s="5" t="s">
        <v>323</v>
      </c>
    </row>
    <row r="42" ht="64" customHeight="1" spans="1:16">
      <c r="A42" s="5" t="s">
        <v>539</v>
      </c>
      <c r="B42" s="21" t="s">
        <v>522</v>
      </c>
      <c r="C42" s="21" t="s">
        <v>247</v>
      </c>
      <c r="D42" s="5" t="s">
        <v>540</v>
      </c>
      <c r="E42" s="5" t="s">
        <v>541</v>
      </c>
      <c r="F42" s="5" t="s">
        <v>111</v>
      </c>
      <c r="G42" s="5" t="s">
        <v>542</v>
      </c>
      <c r="H42" s="5" t="s">
        <v>526</v>
      </c>
      <c r="I42" s="5" t="s">
        <v>527</v>
      </c>
      <c r="J42" s="5" t="s">
        <v>348</v>
      </c>
      <c r="K42" s="12" t="s">
        <v>267</v>
      </c>
      <c r="L42" s="12" t="s">
        <v>10</v>
      </c>
      <c r="M42" s="12" t="s">
        <v>321</v>
      </c>
      <c r="N42" s="12"/>
      <c r="O42" s="5" t="s">
        <v>543</v>
      </c>
      <c r="P42" s="5" t="s">
        <v>323</v>
      </c>
    </row>
    <row r="43" ht="64" customHeight="1" spans="1:16">
      <c r="A43" s="5" t="s">
        <v>544</v>
      </c>
      <c r="B43" s="21" t="s">
        <v>522</v>
      </c>
      <c r="C43" s="21" t="s">
        <v>247</v>
      </c>
      <c r="D43" s="5" t="s">
        <v>545</v>
      </c>
      <c r="E43" s="5" t="s">
        <v>546</v>
      </c>
      <c r="F43" s="5" t="s">
        <v>362</v>
      </c>
      <c r="G43" s="5" t="s">
        <v>542</v>
      </c>
      <c r="H43" s="5" t="s">
        <v>526</v>
      </c>
      <c r="I43" s="5" t="s">
        <v>527</v>
      </c>
      <c r="J43" s="5" t="s">
        <v>115</v>
      </c>
      <c r="K43" s="12" t="s">
        <v>267</v>
      </c>
      <c r="L43" s="12" t="s">
        <v>10</v>
      </c>
      <c r="M43" s="12" t="s">
        <v>321</v>
      </c>
      <c r="N43" s="12"/>
      <c r="O43" s="5" t="s">
        <v>547</v>
      </c>
      <c r="P43" s="5" t="s">
        <v>323</v>
      </c>
    </row>
    <row r="44" ht="64" customHeight="1" spans="1:16">
      <c r="A44" s="5" t="s">
        <v>548</v>
      </c>
      <c r="B44" s="21" t="s">
        <v>258</v>
      </c>
      <c r="C44" s="21" t="s">
        <v>254</v>
      </c>
      <c r="D44" s="5" t="s">
        <v>549</v>
      </c>
      <c r="E44" s="5" t="s">
        <v>550</v>
      </c>
      <c r="F44" s="5" t="s">
        <v>551</v>
      </c>
      <c r="G44" s="5" t="s">
        <v>552</v>
      </c>
      <c r="H44" s="5" t="s">
        <v>553</v>
      </c>
      <c r="I44" s="5" t="s">
        <v>554</v>
      </c>
      <c r="J44" s="5" t="s">
        <v>115</v>
      </c>
      <c r="K44" s="12" t="s">
        <v>221</v>
      </c>
      <c r="L44" s="12" t="s">
        <v>10</v>
      </c>
      <c r="M44" s="12" t="s">
        <v>321</v>
      </c>
      <c r="N44" s="12"/>
      <c r="O44" s="5" t="s">
        <v>555</v>
      </c>
      <c r="P44" s="5" t="s">
        <v>323</v>
      </c>
    </row>
    <row r="45" ht="64" customHeight="1" spans="1:16">
      <c r="A45" s="5" t="s">
        <v>556</v>
      </c>
      <c r="B45" s="21" t="s">
        <v>258</v>
      </c>
      <c r="C45" s="21" t="s">
        <v>254</v>
      </c>
      <c r="D45" s="5" t="s">
        <v>557</v>
      </c>
      <c r="E45" s="5" t="s">
        <v>558</v>
      </c>
      <c r="F45" s="5" t="s">
        <v>559</v>
      </c>
      <c r="G45" s="5" t="s">
        <v>560</v>
      </c>
      <c r="H45" s="5" t="s">
        <v>553</v>
      </c>
      <c r="I45" s="5" t="s">
        <v>554</v>
      </c>
      <c r="J45" s="5" t="s">
        <v>513</v>
      </c>
      <c r="K45" s="12" t="s">
        <v>221</v>
      </c>
      <c r="L45" s="12" t="s">
        <v>10</v>
      </c>
      <c r="M45" s="12" t="s">
        <v>321</v>
      </c>
      <c r="N45" s="12"/>
      <c r="O45" s="5" t="s">
        <v>561</v>
      </c>
      <c r="P45" s="5" t="s">
        <v>515</v>
      </c>
    </row>
    <row r="46" ht="64" customHeight="1" spans="1:16">
      <c r="A46" s="5" t="s">
        <v>562</v>
      </c>
      <c r="B46" s="21" t="s">
        <v>258</v>
      </c>
      <c r="C46" s="21" t="s">
        <v>254</v>
      </c>
      <c r="D46" s="5" t="s">
        <v>563</v>
      </c>
      <c r="E46" s="5" t="s">
        <v>564</v>
      </c>
      <c r="F46" s="5" t="s">
        <v>559</v>
      </c>
      <c r="G46" s="5" t="s">
        <v>565</v>
      </c>
      <c r="H46" s="5" t="s">
        <v>553</v>
      </c>
      <c r="I46" s="5" t="s">
        <v>554</v>
      </c>
      <c r="J46" s="5" t="s">
        <v>115</v>
      </c>
      <c r="K46" s="12" t="s">
        <v>221</v>
      </c>
      <c r="L46" s="12" t="s">
        <v>10</v>
      </c>
      <c r="M46" s="12" t="s">
        <v>321</v>
      </c>
      <c r="N46" s="12"/>
      <c r="O46" s="5" t="s">
        <v>566</v>
      </c>
      <c r="P46" s="5" t="s">
        <v>323</v>
      </c>
    </row>
    <row r="47" ht="64" customHeight="1" spans="1:16">
      <c r="A47" s="5" t="s">
        <v>567</v>
      </c>
      <c r="B47" s="21" t="s">
        <v>258</v>
      </c>
      <c r="C47" s="21" t="s">
        <v>254</v>
      </c>
      <c r="D47" s="5" t="s">
        <v>568</v>
      </c>
      <c r="E47" s="5" t="s">
        <v>569</v>
      </c>
      <c r="F47" s="5" t="s">
        <v>570</v>
      </c>
      <c r="G47" s="5" t="s">
        <v>571</v>
      </c>
      <c r="H47" s="5" t="s">
        <v>553</v>
      </c>
      <c r="I47" s="5" t="s">
        <v>554</v>
      </c>
      <c r="J47" s="5" t="s">
        <v>513</v>
      </c>
      <c r="K47" s="12" t="s">
        <v>221</v>
      </c>
      <c r="L47" s="12" t="s">
        <v>10</v>
      </c>
      <c r="M47" s="12" t="s">
        <v>321</v>
      </c>
      <c r="N47" s="12"/>
      <c r="O47" s="5" t="s">
        <v>572</v>
      </c>
      <c r="P47" s="5" t="s">
        <v>515</v>
      </c>
    </row>
    <row r="48" ht="64" customHeight="1" spans="1:16">
      <c r="A48" s="5" t="s">
        <v>573</v>
      </c>
      <c r="B48" s="21" t="s">
        <v>258</v>
      </c>
      <c r="C48" s="21" t="s">
        <v>254</v>
      </c>
      <c r="D48" s="5" t="s">
        <v>574</v>
      </c>
      <c r="E48" s="5" t="s">
        <v>575</v>
      </c>
      <c r="F48" s="5" t="s">
        <v>576</v>
      </c>
      <c r="G48" s="5" t="s">
        <v>577</v>
      </c>
      <c r="H48" s="5" t="s">
        <v>553</v>
      </c>
      <c r="I48" s="5" t="s">
        <v>554</v>
      </c>
      <c r="J48" s="5" t="s">
        <v>513</v>
      </c>
      <c r="K48" s="12" t="s">
        <v>221</v>
      </c>
      <c r="L48" s="12" t="s">
        <v>10</v>
      </c>
      <c r="M48" s="12" t="s">
        <v>321</v>
      </c>
      <c r="N48" s="12"/>
      <c r="O48" s="5" t="s">
        <v>578</v>
      </c>
      <c r="P48" s="5" t="s">
        <v>515</v>
      </c>
    </row>
    <row r="49" ht="64" customHeight="1" spans="1:16">
      <c r="A49" s="5" t="s">
        <v>579</v>
      </c>
      <c r="B49" s="21" t="s">
        <v>258</v>
      </c>
      <c r="C49" s="21" t="s">
        <v>254</v>
      </c>
      <c r="D49" s="5" t="s">
        <v>580</v>
      </c>
      <c r="E49" s="5" t="s">
        <v>581</v>
      </c>
      <c r="F49" s="5" t="s">
        <v>582</v>
      </c>
      <c r="G49" s="5" t="s">
        <v>583</v>
      </c>
      <c r="H49" s="5" t="s">
        <v>553</v>
      </c>
      <c r="I49" s="5" t="s">
        <v>554</v>
      </c>
      <c r="J49" s="5" t="s">
        <v>115</v>
      </c>
      <c r="K49" s="12" t="s">
        <v>221</v>
      </c>
      <c r="L49" s="12" t="s">
        <v>10</v>
      </c>
      <c r="M49" s="12" t="s">
        <v>321</v>
      </c>
      <c r="N49" s="12"/>
      <c r="O49" s="5" t="s">
        <v>584</v>
      </c>
      <c r="P49" s="5" t="s">
        <v>323</v>
      </c>
    </row>
    <row r="50" ht="64" customHeight="1" spans="1:16">
      <c r="A50" s="5" t="s">
        <v>585</v>
      </c>
      <c r="B50" s="21" t="s">
        <v>177</v>
      </c>
      <c r="C50" s="21" t="s">
        <v>262</v>
      </c>
      <c r="D50" s="5" t="s">
        <v>586</v>
      </c>
      <c r="E50" s="5" t="s">
        <v>587</v>
      </c>
      <c r="F50" s="5" t="s">
        <v>588</v>
      </c>
      <c r="G50" s="5" t="s">
        <v>589</v>
      </c>
      <c r="H50" s="5" t="s">
        <v>590</v>
      </c>
      <c r="I50" s="5" t="s">
        <v>591</v>
      </c>
      <c r="J50" s="5" t="s">
        <v>115</v>
      </c>
      <c r="K50" s="12" t="s">
        <v>267</v>
      </c>
      <c r="L50" s="12" t="s">
        <v>10</v>
      </c>
      <c r="M50" s="12" t="s">
        <v>321</v>
      </c>
      <c r="N50" s="12"/>
      <c r="O50" s="5" t="s">
        <v>592</v>
      </c>
      <c r="P50" s="5" t="s">
        <v>323</v>
      </c>
    </row>
    <row r="51" ht="64" customHeight="1" spans="1:16">
      <c r="A51" s="5" t="s">
        <v>593</v>
      </c>
      <c r="B51" s="21" t="s">
        <v>177</v>
      </c>
      <c r="C51" s="21" t="s">
        <v>262</v>
      </c>
      <c r="D51" s="5" t="s">
        <v>594</v>
      </c>
      <c r="E51" s="5" t="s">
        <v>595</v>
      </c>
      <c r="F51" s="5" t="s">
        <v>596</v>
      </c>
      <c r="G51" s="5" t="s">
        <v>597</v>
      </c>
      <c r="H51" s="5" t="s">
        <v>590</v>
      </c>
      <c r="I51" s="5" t="s">
        <v>591</v>
      </c>
      <c r="J51" s="5" t="s">
        <v>115</v>
      </c>
      <c r="K51" s="12" t="s">
        <v>267</v>
      </c>
      <c r="L51" s="12" t="s">
        <v>10</v>
      </c>
      <c r="M51" s="12" t="s">
        <v>321</v>
      </c>
      <c r="N51" s="12"/>
      <c r="O51" s="5" t="s">
        <v>598</v>
      </c>
      <c r="P51" s="5" t="s">
        <v>323</v>
      </c>
    </row>
    <row r="52" ht="64" customHeight="1" spans="1:16">
      <c r="A52" s="5" t="s">
        <v>599</v>
      </c>
      <c r="B52" s="21" t="s">
        <v>177</v>
      </c>
      <c r="C52" s="21" t="s">
        <v>262</v>
      </c>
      <c r="D52" s="5" t="s">
        <v>600</v>
      </c>
      <c r="E52" s="5" t="s">
        <v>601</v>
      </c>
      <c r="F52" s="5" t="s">
        <v>602</v>
      </c>
      <c r="G52" s="5" t="s">
        <v>603</v>
      </c>
      <c r="H52" s="5" t="s">
        <v>590</v>
      </c>
      <c r="I52" s="5" t="s">
        <v>591</v>
      </c>
      <c r="J52" s="5" t="s">
        <v>115</v>
      </c>
      <c r="K52" s="12" t="s">
        <v>267</v>
      </c>
      <c r="L52" s="12" t="s">
        <v>10</v>
      </c>
      <c r="M52" s="12" t="s">
        <v>321</v>
      </c>
      <c r="N52" s="12"/>
      <c r="O52" s="5" t="s">
        <v>604</v>
      </c>
      <c r="P52" s="5" t="s">
        <v>323</v>
      </c>
    </row>
    <row r="53" ht="64" customHeight="1" spans="1:16">
      <c r="A53" s="5" t="s">
        <v>605</v>
      </c>
      <c r="B53" s="21" t="s">
        <v>177</v>
      </c>
      <c r="C53" s="21" t="s">
        <v>262</v>
      </c>
      <c r="D53" s="5" t="s">
        <v>606</v>
      </c>
      <c r="E53" s="5" t="s">
        <v>607</v>
      </c>
      <c r="F53" s="5" t="s">
        <v>596</v>
      </c>
      <c r="G53" s="5" t="s">
        <v>597</v>
      </c>
      <c r="H53" s="5" t="s">
        <v>590</v>
      </c>
      <c r="I53" s="5" t="s">
        <v>591</v>
      </c>
      <c r="J53" s="5" t="s">
        <v>115</v>
      </c>
      <c r="K53" s="12" t="s">
        <v>267</v>
      </c>
      <c r="L53" s="12" t="s">
        <v>10</v>
      </c>
      <c r="M53" s="12" t="s">
        <v>321</v>
      </c>
      <c r="N53" s="12"/>
      <c r="O53" s="5" t="s">
        <v>608</v>
      </c>
      <c r="P53" s="5" t="s">
        <v>323</v>
      </c>
    </row>
    <row r="54" ht="64" customHeight="1" spans="1:16">
      <c r="A54" s="5" t="s">
        <v>609</v>
      </c>
      <c r="B54" s="21" t="s">
        <v>177</v>
      </c>
      <c r="C54" s="21" t="s">
        <v>262</v>
      </c>
      <c r="D54" s="5" t="s">
        <v>610</v>
      </c>
      <c r="E54" s="5" t="s">
        <v>611</v>
      </c>
      <c r="F54" s="5" t="s">
        <v>612</v>
      </c>
      <c r="G54" s="5" t="s">
        <v>613</v>
      </c>
      <c r="H54" s="5" t="s">
        <v>614</v>
      </c>
      <c r="I54" s="5" t="s">
        <v>615</v>
      </c>
      <c r="J54" s="5" t="s">
        <v>115</v>
      </c>
      <c r="K54" s="12" t="s">
        <v>267</v>
      </c>
      <c r="L54" s="12" t="s">
        <v>10</v>
      </c>
      <c r="M54" s="12" t="s">
        <v>321</v>
      </c>
      <c r="N54" s="12"/>
      <c r="O54" s="5" t="s">
        <v>616</v>
      </c>
      <c r="P54" s="5" t="s">
        <v>323</v>
      </c>
    </row>
    <row r="55" ht="64" customHeight="1" spans="1:16">
      <c r="A55" s="5" t="s">
        <v>617</v>
      </c>
      <c r="B55" s="21" t="s">
        <v>274</v>
      </c>
      <c r="C55" s="21" t="s">
        <v>270</v>
      </c>
      <c r="D55" s="5" t="s">
        <v>618</v>
      </c>
      <c r="E55" s="5" t="s">
        <v>619</v>
      </c>
      <c r="F55" s="5" t="s">
        <v>620</v>
      </c>
      <c r="G55" s="5" t="s">
        <v>621</v>
      </c>
      <c r="H55" s="5" t="s">
        <v>622</v>
      </c>
      <c r="I55" s="5" t="s">
        <v>623</v>
      </c>
      <c r="J55" s="5" t="s">
        <v>624</v>
      </c>
      <c r="K55" s="12" t="s">
        <v>221</v>
      </c>
      <c r="L55" s="12" t="s">
        <v>10</v>
      </c>
      <c r="M55" s="12" t="s">
        <v>321</v>
      </c>
      <c r="N55" s="12"/>
      <c r="O55" s="5" t="s">
        <v>625</v>
      </c>
      <c r="P55" s="5" t="s">
        <v>515</v>
      </c>
    </row>
    <row r="56" ht="64" customHeight="1" spans="1:16">
      <c r="A56" s="5" t="s">
        <v>626</v>
      </c>
      <c r="B56" s="21" t="s">
        <v>274</v>
      </c>
      <c r="C56" s="21" t="s">
        <v>270</v>
      </c>
      <c r="D56" s="5" t="s">
        <v>627</v>
      </c>
      <c r="E56" s="5" t="s">
        <v>628</v>
      </c>
      <c r="F56" s="5" t="s">
        <v>154</v>
      </c>
      <c r="G56" s="5" t="s">
        <v>629</v>
      </c>
      <c r="H56" s="5" t="s">
        <v>630</v>
      </c>
      <c r="I56" s="5" t="s">
        <v>631</v>
      </c>
      <c r="J56" s="5" t="s">
        <v>632</v>
      </c>
      <c r="K56" s="12" t="s">
        <v>221</v>
      </c>
      <c r="L56" s="12" t="s">
        <v>10</v>
      </c>
      <c r="M56" s="12" t="s">
        <v>321</v>
      </c>
      <c r="N56" s="12"/>
      <c r="O56" s="5" t="s">
        <v>633</v>
      </c>
      <c r="P56" s="5" t="s">
        <v>515</v>
      </c>
    </row>
    <row r="57" ht="64" customHeight="1" spans="1:16">
      <c r="A57" s="5" t="s">
        <v>634</v>
      </c>
      <c r="B57" s="21" t="s">
        <v>274</v>
      </c>
      <c r="C57" s="21" t="s">
        <v>270</v>
      </c>
      <c r="D57" s="5" t="s">
        <v>635</v>
      </c>
      <c r="E57" s="5" t="s">
        <v>636</v>
      </c>
      <c r="F57" s="5" t="s">
        <v>637</v>
      </c>
      <c r="G57" s="5" t="s">
        <v>638</v>
      </c>
      <c r="H57" s="5" t="s">
        <v>639</v>
      </c>
      <c r="I57" s="5" t="s">
        <v>640</v>
      </c>
      <c r="J57" s="5" t="s">
        <v>641</v>
      </c>
      <c r="K57" s="12" t="s">
        <v>221</v>
      </c>
      <c r="L57" s="12" t="s">
        <v>10</v>
      </c>
      <c r="M57" s="12" t="s">
        <v>321</v>
      </c>
      <c r="N57" s="12"/>
      <c r="O57" s="5" t="s">
        <v>642</v>
      </c>
      <c r="P57" s="5" t="s">
        <v>515</v>
      </c>
    </row>
    <row r="58" ht="64" customHeight="1" spans="1:16">
      <c r="A58" s="5" t="s">
        <v>643</v>
      </c>
      <c r="B58" s="21" t="s">
        <v>274</v>
      </c>
      <c r="C58" s="21" t="s">
        <v>270</v>
      </c>
      <c r="D58" s="5" t="s">
        <v>644</v>
      </c>
      <c r="E58" s="5" t="s">
        <v>645</v>
      </c>
      <c r="F58" s="5" t="s">
        <v>637</v>
      </c>
      <c r="G58" s="5" t="s">
        <v>646</v>
      </c>
      <c r="H58" s="5" t="s">
        <v>647</v>
      </c>
      <c r="I58" s="5" t="s">
        <v>648</v>
      </c>
      <c r="J58" s="5" t="s">
        <v>649</v>
      </c>
      <c r="K58" s="12" t="s">
        <v>221</v>
      </c>
      <c r="L58" s="12" t="s">
        <v>10</v>
      </c>
      <c r="M58" s="12" t="s">
        <v>321</v>
      </c>
      <c r="N58" s="12"/>
      <c r="O58" s="5" t="s">
        <v>650</v>
      </c>
      <c r="P58" s="5" t="s">
        <v>515</v>
      </c>
    </row>
    <row r="59" ht="64" customHeight="1" spans="1:16">
      <c r="A59" s="5" t="s">
        <v>651</v>
      </c>
      <c r="B59" s="21" t="s">
        <v>274</v>
      </c>
      <c r="C59" s="21" t="s">
        <v>270</v>
      </c>
      <c r="D59" s="5" t="s">
        <v>652</v>
      </c>
      <c r="E59" s="5" t="s">
        <v>653</v>
      </c>
      <c r="F59" s="5" t="s">
        <v>654</v>
      </c>
      <c r="G59" s="5" t="s">
        <v>655</v>
      </c>
      <c r="H59" s="5" t="s">
        <v>656</v>
      </c>
      <c r="I59" s="5" t="s">
        <v>657</v>
      </c>
      <c r="J59" s="5" t="s">
        <v>658</v>
      </c>
      <c r="K59" s="12" t="s">
        <v>221</v>
      </c>
      <c r="L59" s="12" t="s">
        <v>10</v>
      </c>
      <c r="M59" s="12" t="s">
        <v>321</v>
      </c>
      <c r="N59" s="12"/>
      <c r="O59" s="5" t="s">
        <v>659</v>
      </c>
      <c r="P59" s="5" t="s">
        <v>515</v>
      </c>
    </row>
    <row r="60" ht="64" customHeight="1" spans="1:16">
      <c r="A60" s="5" t="s">
        <v>660</v>
      </c>
      <c r="B60" s="21" t="s">
        <v>274</v>
      </c>
      <c r="C60" s="21" t="s">
        <v>270</v>
      </c>
      <c r="D60" s="5" t="s">
        <v>661</v>
      </c>
      <c r="E60" s="5" t="s">
        <v>662</v>
      </c>
      <c r="F60" s="5" t="s">
        <v>663</v>
      </c>
      <c r="G60" s="5" t="s">
        <v>664</v>
      </c>
      <c r="H60" s="5" t="s">
        <v>665</v>
      </c>
      <c r="I60" s="5" t="s">
        <v>666</v>
      </c>
      <c r="J60" s="5" t="s">
        <v>667</v>
      </c>
      <c r="K60" s="12" t="s">
        <v>221</v>
      </c>
      <c r="L60" s="12" t="s">
        <v>10</v>
      </c>
      <c r="M60" s="12" t="s">
        <v>321</v>
      </c>
      <c r="N60" s="12"/>
      <c r="O60" s="5" t="s">
        <v>668</v>
      </c>
      <c r="P60" s="5" t="s">
        <v>515</v>
      </c>
    </row>
    <row r="61" ht="64" customHeight="1" spans="1:16">
      <c r="A61" s="5" t="s">
        <v>669</v>
      </c>
      <c r="B61" s="21" t="s">
        <v>186</v>
      </c>
      <c r="C61" s="21" t="s">
        <v>279</v>
      </c>
      <c r="D61" s="5" t="s">
        <v>670</v>
      </c>
      <c r="E61" s="5" t="s">
        <v>671</v>
      </c>
      <c r="F61" s="5" t="s">
        <v>672</v>
      </c>
      <c r="G61" s="5" t="s">
        <v>673</v>
      </c>
      <c r="H61" s="5" t="s">
        <v>674</v>
      </c>
      <c r="I61" s="5" t="s">
        <v>675</v>
      </c>
      <c r="J61" s="5" t="s">
        <v>348</v>
      </c>
      <c r="K61" s="12" t="s">
        <v>267</v>
      </c>
      <c r="L61" s="12" t="s">
        <v>10</v>
      </c>
      <c r="M61" s="12" t="s">
        <v>321</v>
      </c>
      <c r="N61" s="12"/>
      <c r="O61" s="5" t="s">
        <v>676</v>
      </c>
      <c r="P61" s="5" t="s">
        <v>323</v>
      </c>
    </row>
    <row r="62" ht="64" customHeight="1" spans="1:16">
      <c r="A62" s="5" t="s">
        <v>677</v>
      </c>
      <c r="B62" s="21" t="s">
        <v>186</v>
      </c>
      <c r="C62" s="21" t="s">
        <v>279</v>
      </c>
      <c r="D62" s="5" t="s">
        <v>678</v>
      </c>
      <c r="E62" s="5" t="s">
        <v>679</v>
      </c>
      <c r="F62" s="5" t="s">
        <v>672</v>
      </c>
      <c r="G62" s="5" t="s">
        <v>680</v>
      </c>
      <c r="H62" s="5" t="s">
        <v>674</v>
      </c>
      <c r="I62" s="5" t="s">
        <v>675</v>
      </c>
      <c r="J62" s="5" t="s">
        <v>348</v>
      </c>
      <c r="K62" s="12" t="s">
        <v>267</v>
      </c>
      <c r="L62" s="12" t="s">
        <v>10</v>
      </c>
      <c r="M62" s="12" t="s">
        <v>321</v>
      </c>
      <c r="N62" s="12"/>
      <c r="O62" s="5" t="s">
        <v>681</v>
      </c>
      <c r="P62" s="5" t="s">
        <v>323</v>
      </c>
    </row>
    <row r="63" ht="64" customHeight="1" spans="1:16">
      <c r="A63" s="5" t="s">
        <v>682</v>
      </c>
      <c r="B63" s="21" t="s">
        <v>186</v>
      </c>
      <c r="C63" s="21" t="s">
        <v>279</v>
      </c>
      <c r="D63" s="5" t="s">
        <v>683</v>
      </c>
      <c r="E63" s="5" t="s">
        <v>684</v>
      </c>
      <c r="F63" s="5" t="s">
        <v>672</v>
      </c>
      <c r="G63" s="5" t="s">
        <v>685</v>
      </c>
      <c r="H63" s="5" t="s">
        <v>686</v>
      </c>
      <c r="I63" s="5" t="s">
        <v>687</v>
      </c>
      <c r="J63" s="5" t="s">
        <v>348</v>
      </c>
      <c r="K63" s="12" t="s">
        <v>267</v>
      </c>
      <c r="L63" s="12" t="s">
        <v>10</v>
      </c>
      <c r="M63" s="12" t="s">
        <v>321</v>
      </c>
      <c r="N63" s="12"/>
      <c r="O63" s="5" t="s">
        <v>688</v>
      </c>
      <c r="P63" s="5" t="s">
        <v>323</v>
      </c>
    </row>
    <row r="64" ht="64" customHeight="1" spans="1:16">
      <c r="A64" s="5" t="s">
        <v>689</v>
      </c>
      <c r="B64" s="21" t="s">
        <v>186</v>
      </c>
      <c r="C64" s="21" t="s">
        <v>279</v>
      </c>
      <c r="D64" s="5" t="s">
        <v>690</v>
      </c>
      <c r="E64" s="5" t="s">
        <v>691</v>
      </c>
      <c r="F64" s="5" t="s">
        <v>672</v>
      </c>
      <c r="G64" s="5" t="s">
        <v>692</v>
      </c>
      <c r="H64" s="5" t="s">
        <v>693</v>
      </c>
      <c r="I64" s="5" t="s">
        <v>694</v>
      </c>
      <c r="J64" s="5" t="s">
        <v>115</v>
      </c>
      <c r="K64" s="12" t="s">
        <v>267</v>
      </c>
      <c r="L64" s="12" t="s">
        <v>10</v>
      </c>
      <c r="M64" s="12" t="s">
        <v>321</v>
      </c>
      <c r="N64" s="12"/>
      <c r="O64" s="5" t="s">
        <v>695</v>
      </c>
      <c r="P64" s="5" t="s">
        <v>323</v>
      </c>
    </row>
    <row r="65" ht="64" customHeight="1" spans="1:16">
      <c r="A65" s="5" t="s">
        <v>696</v>
      </c>
      <c r="B65" s="21" t="s">
        <v>186</v>
      </c>
      <c r="C65" s="21" t="s">
        <v>279</v>
      </c>
      <c r="D65" s="5" t="s">
        <v>697</v>
      </c>
      <c r="E65" s="5" t="s">
        <v>698</v>
      </c>
      <c r="F65" s="5" t="s">
        <v>672</v>
      </c>
      <c r="G65" s="5" t="s">
        <v>699</v>
      </c>
      <c r="H65" s="5" t="s">
        <v>693</v>
      </c>
      <c r="I65" s="5" t="s">
        <v>694</v>
      </c>
      <c r="J65" s="5" t="s">
        <v>348</v>
      </c>
      <c r="K65" s="12" t="s">
        <v>267</v>
      </c>
      <c r="L65" s="12" t="s">
        <v>10</v>
      </c>
      <c r="M65" s="12" t="s">
        <v>321</v>
      </c>
      <c r="N65" s="12"/>
      <c r="O65" s="5" t="s">
        <v>700</v>
      </c>
      <c r="P65" s="5" t="s">
        <v>323</v>
      </c>
    </row>
    <row r="66" ht="64" customHeight="1" spans="1:16">
      <c r="A66" s="5" t="s">
        <v>701</v>
      </c>
      <c r="B66" s="21" t="s">
        <v>186</v>
      </c>
      <c r="C66" s="21" t="s">
        <v>279</v>
      </c>
      <c r="D66" s="5" t="s">
        <v>702</v>
      </c>
      <c r="E66" s="5" t="s">
        <v>703</v>
      </c>
      <c r="F66" s="5" t="s">
        <v>282</v>
      </c>
      <c r="G66" s="5" t="s">
        <v>704</v>
      </c>
      <c r="H66" s="5" t="s">
        <v>705</v>
      </c>
      <c r="I66" s="5" t="s">
        <v>706</v>
      </c>
      <c r="J66" s="5" t="s">
        <v>348</v>
      </c>
      <c r="K66" s="12" t="s">
        <v>267</v>
      </c>
      <c r="L66" s="12" t="s">
        <v>10</v>
      </c>
      <c r="M66" s="12" t="s">
        <v>321</v>
      </c>
      <c r="N66" s="12"/>
      <c r="O66" s="5" t="s">
        <v>707</v>
      </c>
      <c r="P66" s="5" t="s">
        <v>323</v>
      </c>
    </row>
    <row r="67" ht="64" customHeight="1" spans="1:16">
      <c r="A67" s="5" t="s">
        <v>708</v>
      </c>
      <c r="B67" s="5" t="s">
        <v>195</v>
      </c>
      <c r="C67" s="21" t="s">
        <v>286</v>
      </c>
      <c r="D67" s="5" t="s">
        <v>709</v>
      </c>
      <c r="E67" s="5" t="s">
        <v>710</v>
      </c>
      <c r="F67" s="5" t="s">
        <v>711</v>
      </c>
      <c r="G67" s="5" t="s">
        <v>712</v>
      </c>
      <c r="H67" s="5" t="s">
        <v>713</v>
      </c>
      <c r="I67" s="5" t="s">
        <v>714</v>
      </c>
      <c r="J67" s="5" t="s">
        <v>115</v>
      </c>
      <c r="K67" s="12" t="s">
        <v>221</v>
      </c>
      <c r="L67" s="12" t="s">
        <v>10</v>
      </c>
      <c r="M67" s="12" t="s">
        <v>321</v>
      </c>
      <c r="N67" s="12"/>
      <c r="O67" s="5" t="s">
        <v>715</v>
      </c>
      <c r="P67" s="5" t="s">
        <v>323</v>
      </c>
    </row>
    <row r="68" ht="64" customHeight="1" spans="1:16">
      <c r="A68" s="5" t="s">
        <v>716</v>
      </c>
      <c r="B68" s="5" t="s">
        <v>717</v>
      </c>
      <c r="C68" s="21" t="s">
        <v>286</v>
      </c>
      <c r="D68" s="5" t="s">
        <v>718</v>
      </c>
      <c r="E68" s="5" t="s">
        <v>719</v>
      </c>
      <c r="F68" s="5" t="s">
        <v>720</v>
      </c>
      <c r="G68" s="5" t="s">
        <v>721</v>
      </c>
      <c r="H68" s="5" t="s">
        <v>713</v>
      </c>
      <c r="I68" s="5" t="s">
        <v>714</v>
      </c>
      <c r="J68" s="5" t="s">
        <v>115</v>
      </c>
      <c r="K68" s="12" t="s">
        <v>267</v>
      </c>
      <c r="L68" s="12" t="s">
        <v>10</v>
      </c>
      <c r="M68" s="12" t="s">
        <v>321</v>
      </c>
      <c r="N68" s="12"/>
      <c r="O68" s="5" t="s">
        <v>722</v>
      </c>
      <c r="P68" s="5" t="s">
        <v>323</v>
      </c>
    </row>
    <row r="69" ht="64" customHeight="1" spans="1:16">
      <c r="A69" s="5" t="s">
        <v>723</v>
      </c>
      <c r="B69" s="5" t="s">
        <v>724</v>
      </c>
      <c r="C69" s="21" t="s">
        <v>286</v>
      </c>
      <c r="D69" s="5" t="s">
        <v>725</v>
      </c>
      <c r="E69" s="5" t="s">
        <v>726</v>
      </c>
      <c r="F69" s="5" t="s">
        <v>727</v>
      </c>
      <c r="G69" s="5" t="s">
        <v>728</v>
      </c>
      <c r="H69" s="5" t="s">
        <v>713</v>
      </c>
      <c r="I69" s="5" t="s">
        <v>714</v>
      </c>
      <c r="J69" s="5" t="s">
        <v>115</v>
      </c>
      <c r="K69" s="12" t="s">
        <v>221</v>
      </c>
      <c r="L69" s="12" t="s">
        <v>10</v>
      </c>
      <c r="M69" s="12" t="s">
        <v>321</v>
      </c>
      <c r="N69" s="12"/>
      <c r="O69" s="5" t="s">
        <v>729</v>
      </c>
      <c r="P69" s="5" t="s">
        <v>323</v>
      </c>
    </row>
    <row r="70" ht="64" customHeight="1" spans="1:16">
      <c r="A70" s="5" t="s">
        <v>730</v>
      </c>
      <c r="B70" s="21" t="s">
        <v>195</v>
      </c>
      <c r="C70" s="21" t="s">
        <v>286</v>
      </c>
      <c r="D70" s="5" t="s">
        <v>731</v>
      </c>
      <c r="E70" s="5" t="s">
        <v>732</v>
      </c>
      <c r="F70" s="5" t="s">
        <v>733</v>
      </c>
      <c r="G70" s="5" t="s">
        <v>734</v>
      </c>
      <c r="H70" s="5" t="s">
        <v>735</v>
      </c>
      <c r="I70" s="5" t="s">
        <v>736</v>
      </c>
      <c r="J70" s="5" t="s">
        <v>115</v>
      </c>
      <c r="K70" s="12" t="s">
        <v>221</v>
      </c>
      <c r="L70" s="12" t="s">
        <v>10</v>
      </c>
      <c r="M70" s="12" t="s">
        <v>321</v>
      </c>
      <c r="N70" s="12"/>
      <c r="O70" s="5" t="s">
        <v>737</v>
      </c>
      <c r="P70" s="5" t="s">
        <v>323</v>
      </c>
    </row>
    <row r="71" ht="64" customHeight="1" spans="1:16">
      <c r="A71" s="5" t="s">
        <v>738</v>
      </c>
      <c r="B71" s="21" t="s">
        <v>195</v>
      </c>
      <c r="C71" s="21" t="s">
        <v>286</v>
      </c>
      <c r="D71" s="5" t="s">
        <v>739</v>
      </c>
      <c r="E71" s="5" t="s">
        <v>740</v>
      </c>
      <c r="F71" s="5" t="s">
        <v>362</v>
      </c>
      <c r="G71" s="5" t="s">
        <v>741</v>
      </c>
      <c r="H71" s="5" t="s">
        <v>742</v>
      </c>
      <c r="I71" s="5" t="s">
        <v>743</v>
      </c>
      <c r="J71" s="5" t="s">
        <v>115</v>
      </c>
      <c r="K71" s="12" t="s">
        <v>221</v>
      </c>
      <c r="L71" s="12" t="s">
        <v>10</v>
      </c>
      <c r="M71" s="12" t="s">
        <v>321</v>
      </c>
      <c r="N71" s="12"/>
      <c r="O71" s="5" t="s">
        <v>744</v>
      </c>
      <c r="P71" s="5" t="s">
        <v>323</v>
      </c>
    </row>
    <row r="72" ht="64" customHeight="1" spans="1:16">
      <c r="A72" s="5" t="s">
        <v>745</v>
      </c>
      <c r="B72" s="21" t="s">
        <v>195</v>
      </c>
      <c r="C72" s="21" t="s">
        <v>286</v>
      </c>
      <c r="D72" s="5" t="s">
        <v>746</v>
      </c>
      <c r="E72" s="5" t="s">
        <v>747</v>
      </c>
      <c r="F72" s="5" t="s">
        <v>733</v>
      </c>
      <c r="G72" s="5" t="s">
        <v>748</v>
      </c>
      <c r="H72" s="5" t="s">
        <v>749</v>
      </c>
      <c r="I72" s="5" t="s">
        <v>750</v>
      </c>
      <c r="J72" s="5" t="s">
        <v>115</v>
      </c>
      <c r="K72" s="12" t="s">
        <v>221</v>
      </c>
      <c r="L72" s="12" t="s">
        <v>10</v>
      </c>
      <c r="M72" s="12" t="s">
        <v>321</v>
      </c>
      <c r="N72" s="12"/>
      <c r="O72" s="5" t="s">
        <v>751</v>
      </c>
      <c r="P72" s="5" t="s">
        <v>323</v>
      </c>
    </row>
    <row r="73" ht="64" customHeight="1" spans="1:16">
      <c r="A73" s="5" t="s">
        <v>752</v>
      </c>
      <c r="B73" s="21" t="s">
        <v>195</v>
      </c>
      <c r="C73" s="21" t="s">
        <v>286</v>
      </c>
      <c r="D73" s="5" t="s">
        <v>753</v>
      </c>
      <c r="E73" s="5" t="s">
        <v>754</v>
      </c>
      <c r="F73" s="5" t="s">
        <v>755</v>
      </c>
      <c r="G73" s="5" t="s">
        <v>748</v>
      </c>
      <c r="H73" s="5" t="s">
        <v>749</v>
      </c>
      <c r="I73" s="5" t="s">
        <v>750</v>
      </c>
      <c r="J73" s="5" t="s">
        <v>115</v>
      </c>
      <c r="K73" s="12" t="s">
        <v>267</v>
      </c>
      <c r="L73" s="12" t="s">
        <v>10</v>
      </c>
      <c r="M73" s="12" t="s">
        <v>321</v>
      </c>
      <c r="N73" s="12"/>
      <c r="O73" s="5" t="s">
        <v>756</v>
      </c>
      <c r="P73" s="5" t="s">
        <v>323</v>
      </c>
    </row>
    <row r="74" ht="64" customHeight="1" spans="1:16">
      <c r="A74" s="5" t="s">
        <v>757</v>
      </c>
      <c r="B74" s="21" t="s">
        <v>195</v>
      </c>
      <c r="C74" s="21" t="s">
        <v>286</v>
      </c>
      <c r="D74" s="5" t="s">
        <v>758</v>
      </c>
      <c r="E74" s="5" t="s">
        <v>759</v>
      </c>
      <c r="F74" s="5" t="s">
        <v>733</v>
      </c>
      <c r="G74" s="5" t="s">
        <v>760</v>
      </c>
      <c r="H74" s="5" t="s">
        <v>761</v>
      </c>
      <c r="I74" s="5" t="s">
        <v>762</v>
      </c>
      <c r="J74" s="5" t="s">
        <v>348</v>
      </c>
      <c r="K74" s="12" t="s">
        <v>267</v>
      </c>
      <c r="L74" s="12" t="s">
        <v>10</v>
      </c>
      <c r="M74" s="12" t="s">
        <v>321</v>
      </c>
      <c r="N74" s="12"/>
      <c r="O74" s="5" t="s">
        <v>763</v>
      </c>
      <c r="P74" s="5" t="s">
        <v>323</v>
      </c>
    </row>
    <row r="75" ht="64" customHeight="1" spans="1:16">
      <c r="A75" s="5" t="s">
        <v>764</v>
      </c>
      <c r="B75" s="21" t="s">
        <v>195</v>
      </c>
      <c r="C75" s="21" t="s">
        <v>286</v>
      </c>
      <c r="D75" s="5" t="s">
        <v>765</v>
      </c>
      <c r="E75" s="5" t="s">
        <v>766</v>
      </c>
      <c r="F75" s="5" t="s">
        <v>767</v>
      </c>
      <c r="G75" s="5" t="s">
        <v>768</v>
      </c>
      <c r="H75" s="5" t="s">
        <v>769</v>
      </c>
      <c r="I75" s="5" t="s">
        <v>770</v>
      </c>
      <c r="J75" s="5" t="s">
        <v>348</v>
      </c>
      <c r="K75" s="12" t="s">
        <v>267</v>
      </c>
      <c r="L75" s="12" t="s">
        <v>10</v>
      </c>
      <c r="M75" s="12" t="s">
        <v>321</v>
      </c>
      <c r="N75" s="12"/>
      <c r="O75" s="5" t="s">
        <v>771</v>
      </c>
      <c r="P75" s="5" t="s">
        <v>323</v>
      </c>
    </row>
    <row r="76" ht="64" customHeight="1" spans="1:16">
      <c r="A76" s="5" t="s">
        <v>772</v>
      </c>
      <c r="B76" s="21" t="s">
        <v>195</v>
      </c>
      <c r="C76" s="21" t="s">
        <v>286</v>
      </c>
      <c r="D76" s="5" t="s">
        <v>773</v>
      </c>
      <c r="E76" s="5" t="s">
        <v>774</v>
      </c>
      <c r="F76" s="5" t="s">
        <v>219</v>
      </c>
      <c r="G76" s="5" t="s">
        <v>775</v>
      </c>
      <c r="H76" s="5" t="s">
        <v>776</v>
      </c>
      <c r="I76" s="5" t="s">
        <v>777</v>
      </c>
      <c r="J76" s="5" t="s">
        <v>115</v>
      </c>
      <c r="K76" s="12" t="s">
        <v>221</v>
      </c>
      <c r="L76" s="12" t="s">
        <v>10</v>
      </c>
      <c r="M76" s="12" t="s">
        <v>321</v>
      </c>
      <c r="N76" s="12"/>
      <c r="O76" s="5" t="s">
        <v>778</v>
      </c>
      <c r="P76" s="5" t="s">
        <v>323</v>
      </c>
    </row>
    <row r="77" ht="64" customHeight="1" spans="1:16">
      <c r="A77" s="5" t="s">
        <v>779</v>
      </c>
      <c r="B77" s="5" t="s">
        <v>780</v>
      </c>
      <c r="C77" s="21" t="s">
        <v>294</v>
      </c>
      <c r="D77" s="5" t="s">
        <v>781</v>
      </c>
      <c r="E77" s="5" t="s">
        <v>782</v>
      </c>
      <c r="F77" s="5" t="s">
        <v>362</v>
      </c>
      <c r="G77" s="5" t="s">
        <v>783</v>
      </c>
      <c r="H77" s="5" t="s">
        <v>784</v>
      </c>
      <c r="I77" s="5" t="s">
        <v>785</v>
      </c>
      <c r="J77" s="5" t="s">
        <v>786</v>
      </c>
      <c r="K77" s="12" t="s">
        <v>10</v>
      </c>
      <c r="L77" s="12" t="s">
        <v>10</v>
      </c>
      <c r="M77" s="12" t="s">
        <v>321</v>
      </c>
      <c r="N77" s="12"/>
      <c r="O77" s="5" t="s">
        <v>787</v>
      </c>
      <c r="P77" s="5" t="s">
        <v>788</v>
      </c>
    </row>
    <row r="78" ht="64" customHeight="1" spans="1:16">
      <c r="A78" s="5" t="s">
        <v>789</v>
      </c>
      <c r="B78" s="5" t="s">
        <v>125</v>
      </c>
      <c r="C78" s="21" t="s">
        <v>294</v>
      </c>
      <c r="D78" s="5" t="s">
        <v>790</v>
      </c>
      <c r="E78" s="5" t="s">
        <v>791</v>
      </c>
      <c r="F78" s="5" t="s">
        <v>792</v>
      </c>
      <c r="G78" s="5" t="s">
        <v>793</v>
      </c>
      <c r="H78" s="5" t="s">
        <v>794</v>
      </c>
      <c r="I78" s="5" t="s">
        <v>795</v>
      </c>
      <c r="J78" s="5" t="s">
        <v>786</v>
      </c>
      <c r="K78" s="12" t="s">
        <v>10</v>
      </c>
      <c r="L78" s="12" t="s">
        <v>10</v>
      </c>
      <c r="M78" s="12" t="s">
        <v>321</v>
      </c>
      <c r="N78" s="12"/>
      <c r="O78" s="5" t="s">
        <v>796</v>
      </c>
      <c r="P78" s="5" t="s">
        <v>788</v>
      </c>
    </row>
    <row r="79" ht="64" customHeight="1" spans="1:16">
      <c r="A79" s="5" t="s">
        <v>797</v>
      </c>
      <c r="B79" s="5" t="s">
        <v>798</v>
      </c>
      <c r="C79" s="21" t="s">
        <v>294</v>
      </c>
      <c r="D79" s="5" t="s">
        <v>799</v>
      </c>
      <c r="E79" s="5" t="s">
        <v>800</v>
      </c>
      <c r="F79" s="5" t="s">
        <v>801</v>
      </c>
      <c r="G79" s="5" t="s">
        <v>802</v>
      </c>
      <c r="H79" s="5" t="s">
        <v>803</v>
      </c>
      <c r="I79" s="5" t="s">
        <v>804</v>
      </c>
      <c r="J79" s="5" t="s">
        <v>786</v>
      </c>
      <c r="K79" s="12" t="s">
        <v>10</v>
      </c>
      <c r="L79" s="12" t="s">
        <v>10</v>
      </c>
      <c r="M79" s="12" t="s">
        <v>321</v>
      </c>
      <c r="N79" s="12"/>
      <c r="O79" s="5" t="s">
        <v>805</v>
      </c>
      <c r="P79" s="5" t="s">
        <v>788</v>
      </c>
    </row>
    <row r="80" ht="64" customHeight="1" spans="1:16">
      <c r="A80" s="5" t="s">
        <v>806</v>
      </c>
      <c r="B80" s="5" t="s">
        <v>116</v>
      </c>
      <c r="C80" s="21" t="s">
        <v>294</v>
      </c>
      <c r="D80" s="5" t="s">
        <v>807</v>
      </c>
      <c r="E80" s="5" t="s">
        <v>808</v>
      </c>
      <c r="F80" s="5" t="s">
        <v>241</v>
      </c>
      <c r="G80" s="5" t="s">
        <v>809</v>
      </c>
      <c r="H80" s="5" t="s">
        <v>810</v>
      </c>
      <c r="I80" s="5" t="s">
        <v>811</v>
      </c>
      <c r="J80" s="5" t="s">
        <v>786</v>
      </c>
      <c r="K80" s="12" t="s">
        <v>10</v>
      </c>
      <c r="L80" s="12" t="s">
        <v>10</v>
      </c>
      <c r="M80" s="12" t="s">
        <v>321</v>
      </c>
      <c r="N80" s="12"/>
      <c r="O80" s="5" t="s">
        <v>812</v>
      </c>
      <c r="P80" s="5" t="s">
        <v>788</v>
      </c>
    </row>
    <row r="81" ht="64" customHeight="1" spans="1:16">
      <c r="A81" s="5" t="s">
        <v>813</v>
      </c>
      <c r="B81" s="5" t="s">
        <v>186</v>
      </c>
      <c r="C81" s="21" t="s">
        <v>294</v>
      </c>
      <c r="D81" s="5" t="s">
        <v>814</v>
      </c>
      <c r="E81" s="5" t="s">
        <v>815</v>
      </c>
      <c r="F81" s="5" t="s">
        <v>816</v>
      </c>
      <c r="G81" s="5" t="s">
        <v>817</v>
      </c>
      <c r="H81" s="5" t="s">
        <v>818</v>
      </c>
      <c r="I81" s="5" t="s">
        <v>819</v>
      </c>
      <c r="J81" s="5" t="s">
        <v>820</v>
      </c>
      <c r="K81" s="12" t="s">
        <v>267</v>
      </c>
      <c r="L81" s="12" t="s">
        <v>10</v>
      </c>
      <c r="M81" s="12" t="s">
        <v>321</v>
      </c>
      <c r="N81" s="12"/>
      <c r="O81" s="5" t="s">
        <v>821</v>
      </c>
      <c r="P81" s="5" t="s">
        <v>788</v>
      </c>
    </row>
    <row r="82" ht="64" customHeight="1" spans="1:16">
      <c r="A82" s="5" t="s">
        <v>822</v>
      </c>
      <c r="B82" s="5" t="s">
        <v>168</v>
      </c>
      <c r="C82" s="21" t="s">
        <v>294</v>
      </c>
      <c r="D82" s="5" t="s">
        <v>823</v>
      </c>
      <c r="E82" s="5" t="s">
        <v>824</v>
      </c>
      <c r="F82" s="5" t="s">
        <v>375</v>
      </c>
      <c r="G82" s="5" t="s">
        <v>825</v>
      </c>
      <c r="H82" s="5" t="s">
        <v>826</v>
      </c>
      <c r="I82" s="5" t="s">
        <v>827</v>
      </c>
      <c r="J82" s="5" t="s">
        <v>828</v>
      </c>
      <c r="K82" s="12" t="s">
        <v>10</v>
      </c>
      <c r="L82" s="12" t="s">
        <v>10</v>
      </c>
      <c r="M82" s="12" t="s">
        <v>321</v>
      </c>
      <c r="N82" s="12"/>
      <c r="O82" s="5" t="s">
        <v>829</v>
      </c>
      <c r="P82" s="5" t="s">
        <v>830</v>
      </c>
    </row>
    <row r="83" ht="64" customHeight="1" spans="1:16">
      <c r="A83" s="5" t="s">
        <v>831</v>
      </c>
      <c r="B83" s="5" t="s">
        <v>780</v>
      </c>
      <c r="C83" s="21" t="s">
        <v>294</v>
      </c>
      <c r="D83" s="5" t="s">
        <v>832</v>
      </c>
      <c r="E83" s="5" t="s">
        <v>833</v>
      </c>
      <c r="F83" s="5" t="s">
        <v>834</v>
      </c>
      <c r="G83" s="5" t="s">
        <v>835</v>
      </c>
      <c r="H83" s="5" t="s">
        <v>836</v>
      </c>
      <c r="I83" s="5" t="s">
        <v>837</v>
      </c>
      <c r="J83" s="5" t="s">
        <v>786</v>
      </c>
      <c r="K83" s="12" t="s">
        <v>10</v>
      </c>
      <c r="L83" s="12" t="s">
        <v>10</v>
      </c>
      <c r="M83" s="12" t="s">
        <v>321</v>
      </c>
      <c r="N83" s="12"/>
      <c r="O83" s="5" t="s">
        <v>838</v>
      </c>
      <c r="P83" s="5" t="s">
        <v>788</v>
      </c>
    </row>
    <row r="84" ht="64" customHeight="1" spans="1:16">
      <c r="A84" s="5" t="s">
        <v>839</v>
      </c>
      <c r="B84" s="5" t="s">
        <v>840</v>
      </c>
      <c r="C84" s="21" t="s">
        <v>294</v>
      </c>
      <c r="D84" s="5" t="s">
        <v>841</v>
      </c>
      <c r="E84" s="5" t="s">
        <v>842</v>
      </c>
      <c r="F84" s="5" t="s">
        <v>843</v>
      </c>
      <c r="G84" s="5" t="s">
        <v>844</v>
      </c>
      <c r="H84" s="5" t="s">
        <v>845</v>
      </c>
      <c r="I84" s="5" t="s">
        <v>846</v>
      </c>
      <c r="J84" s="5" t="s">
        <v>786</v>
      </c>
      <c r="K84" s="12" t="s">
        <v>10</v>
      </c>
      <c r="L84" s="12" t="s">
        <v>10</v>
      </c>
      <c r="M84" s="12" t="s">
        <v>321</v>
      </c>
      <c r="N84" s="12"/>
      <c r="O84" s="5" t="s">
        <v>847</v>
      </c>
      <c r="P84" s="5" t="s">
        <v>788</v>
      </c>
    </row>
  </sheetData>
  <mergeCells count="24">
    <mergeCell ref="A1:P1"/>
    <mergeCell ref="A2:P2"/>
    <mergeCell ref="B5:B9"/>
    <mergeCell ref="B10:B16"/>
    <mergeCell ref="B18:B27"/>
    <mergeCell ref="B28:B34"/>
    <mergeCell ref="B35:B37"/>
    <mergeCell ref="B39:B43"/>
    <mergeCell ref="B44:B49"/>
    <mergeCell ref="B50:B54"/>
    <mergeCell ref="B55:B60"/>
    <mergeCell ref="B61:B66"/>
    <mergeCell ref="B70:B76"/>
    <mergeCell ref="C5:C9"/>
    <mergeCell ref="C10:C17"/>
    <mergeCell ref="C18:C27"/>
    <mergeCell ref="C28:C38"/>
    <mergeCell ref="C39:C43"/>
    <mergeCell ref="C44:C49"/>
    <mergeCell ref="C50:C54"/>
    <mergeCell ref="C55:C60"/>
    <mergeCell ref="C61:C66"/>
    <mergeCell ref="C67:C76"/>
    <mergeCell ref="C77:C84"/>
  </mergeCells>
  <dataValidations count="3">
    <dataValidation type="list" sqref="K5:K84">
      <formula1>"本期擬納入,後續階段,待確認,不納入"</formula1>
    </dataValidation>
    <dataValidation type="list" sqref="L5:L84">
      <formula1>"草案,評審中,待確認,已批准,已廢棄"</formula1>
    </dataValidation>
    <dataValidation type="list" sqref="M5:M84">
      <formula1>"未決定,同意,有條件同意,需調整,不納入"</formula1>
    </dataValidation>
  </dataValidation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C3AED"/>
  </sheetPr>
  <dimension ref="A1:P248"/>
  <sheetViews>
    <sheetView showGridLines="0" workbookViewId="0">
      <pane xSplit="5" ySplit="4" topLeftCell="F5" activePane="bottomRight" state="frozen"/>
      <selection/>
      <selection pane="topRight"/>
      <selection pane="bottomLeft"/>
      <selection pane="bottomRight" activeCell="A1" sqref="A1:P1"/>
    </sheetView>
  </sheetViews>
  <sheetFormatPr defaultColWidth="9" defaultRowHeight="16.8"/>
  <cols>
    <col min="1" max="1" width="13" customWidth="1"/>
    <col min="2" max="2" width="24" customWidth="1"/>
    <col min="3" max="3" width="27" customWidth="1"/>
    <col min="4" max="4" width="16" customWidth="1"/>
    <col min="5" max="5" width="24" customWidth="1"/>
    <col min="6" max="7" width="13" customWidth="1"/>
    <col min="8" max="8" width="38" customWidth="1"/>
    <col min="9" max="10" width="25" customWidth="1"/>
    <col min="11" max="11" width="15" customWidth="1"/>
    <col min="12" max="12" width="24" customWidth="1"/>
    <col min="13" max="14" width="14" customWidth="1"/>
    <col min="15" max="15" width="38" customWidth="1"/>
    <col min="16" max="16" width="30" customWidth="1"/>
  </cols>
  <sheetData>
    <row r="1" ht="38" customHeight="1" spans="1:16">
      <c r="A1" s="1" t="s">
        <v>848</v>
      </c>
      <c r="B1" s="1" t="s">
        <v>848</v>
      </c>
      <c r="C1" s="1" t="s">
        <v>848</v>
      </c>
      <c r="D1" s="1" t="s">
        <v>848</v>
      </c>
      <c r="E1" s="1" t="s">
        <v>848</v>
      </c>
      <c r="F1" s="1" t="s">
        <v>848</v>
      </c>
      <c r="G1" s="1" t="s">
        <v>848</v>
      </c>
      <c r="H1" s="1" t="s">
        <v>848</v>
      </c>
      <c r="I1" s="1" t="s">
        <v>848</v>
      </c>
      <c r="J1" s="1" t="s">
        <v>848</v>
      </c>
      <c r="K1" s="1" t="s">
        <v>848</v>
      </c>
      <c r="L1" s="1" t="s">
        <v>848</v>
      </c>
      <c r="M1" s="1" t="s">
        <v>848</v>
      </c>
      <c r="N1" s="1" t="s">
        <v>848</v>
      </c>
      <c r="O1" s="1" t="s">
        <v>848</v>
      </c>
      <c r="P1" s="1" t="s">
        <v>848</v>
      </c>
    </row>
    <row r="2" ht="28" customHeight="1" spans="1:16">
      <c r="A2" s="2" t="s">
        <v>849</v>
      </c>
      <c r="B2" s="2" t="s">
        <v>849</v>
      </c>
      <c r="C2" s="2" t="s">
        <v>849</v>
      </c>
      <c r="D2" s="2" t="s">
        <v>849</v>
      </c>
      <c r="E2" s="2" t="s">
        <v>849</v>
      </c>
      <c r="F2" s="2" t="s">
        <v>849</v>
      </c>
      <c r="G2" s="2" t="s">
        <v>849</v>
      </c>
      <c r="H2" s="2" t="s">
        <v>849</v>
      </c>
      <c r="I2" s="2" t="s">
        <v>849</v>
      </c>
      <c r="J2" s="2" t="s">
        <v>849</v>
      </c>
      <c r="K2" s="2" t="s">
        <v>849</v>
      </c>
      <c r="L2" s="2" t="s">
        <v>849</v>
      </c>
      <c r="M2" s="2" t="s">
        <v>849</v>
      </c>
      <c r="N2" s="2" t="s">
        <v>849</v>
      </c>
      <c r="O2" s="2" t="s">
        <v>849</v>
      </c>
      <c r="P2" s="2" t="s">
        <v>849</v>
      </c>
    </row>
    <row r="3" spans="1:1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30" customHeight="1" spans="1:16">
      <c r="A4" s="16" t="s">
        <v>850</v>
      </c>
      <c r="B4" s="16" t="s">
        <v>306</v>
      </c>
      <c r="C4" s="16" t="s">
        <v>310</v>
      </c>
      <c r="D4" s="16" t="s">
        <v>851</v>
      </c>
      <c r="E4" s="16" t="s">
        <v>852</v>
      </c>
      <c r="F4" s="16" t="s">
        <v>853</v>
      </c>
      <c r="G4" s="16" t="s">
        <v>854</v>
      </c>
      <c r="H4" s="16" t="s">
        <v>855</v>
      </c>
      <c r="I4" s="16" t="s">
        <v>856</v>
      </c>
      <c r="J4" s="16" t="s">
        <v>95</v>
      </c>
      <c r="K4" s="16" t="s">
        <v>312</v>
      </c>
      <c r="L4" s="16" t="s">
        <v>857</v>
      </c>
      <c r="M4" s="16" t="s">
        <v>858</v>
      </c>
      <c r="N4" s="16" t="s">
        <v>859</v>
      </c>
      <c r="O4" s="16" t="s">
        <v>860</v>
      </c>
      <c r="P4" s="16" t="s">
        <v>214</v>
      </c>
    </row>
    <row r="5" ht="46" customHeight="1" spans="1:16">
      <c r="A5" s="5" t="s">
        <v>861</v>
      </c>
      <c r="B5" s="17" t="s">
        <v>216</v>
      </c>
      <c r="C5" s="18" t="s">
        <v>319</v>
      </c>
      <c r="D5" s="5" t="s">
        <v>862</v>
      </c>
      <c r="E5" s="5" t="s">
        <v>863</v>
      </c>
      <c r="F5" s="5" t="s">
        <v>864</v>
      </c>
      <c r="G5" s="5" t="s">
        <v>865</v>
      </c>
      <c r="H5" s="5" t="s">
        <v>866</v>
      </c>
      <c r="I5" s="5" t="s">
        <v>867</v>
      </c>
      <c r="J5" s="5" t="s">
        <v>868</v>
      </c>
      <c r="K5" s="12" t="s">
        <v>321</v>
      </c>
      <c r="L5" s="12"/>
      <c r="M5" s="12"/>
      <c r="N5" s="12"/>
      <c r="O5" s="12"/>
      <c r="P5" s="12"/>
    </row>
    <row r="6" ht="46" customHeight="1" spans="1:16">
      <c r="A6" s="5" t="s">
        <v>869</v>
      </c>
      <c r="B6" s="17" t="s">
        <v>216</v>
      </c>
      <c r="C6" s="18" t="s">
        <v>319</v>
      </c>
      <c r="D6" s="19" t="s">
        <v>870</v>
      </c>
      <c r="E6" s="5" t="s">
        <v>871</v>
      </c>
      <c r="F6" s="5" t="s">
        <v>872</v>
      </c>
      <c r="G6" s="5" t="s">
        <v>865</v>
      </c>
      <c r="H6" s="5" t="s">
        <v>873</v>
      </c>
      <c r="I6" s="5" t="s">
        <v>867</v>
      </c>
      <c r="J6" s="5" t="s">
        <v>868</v>
      </c>
      <c r="K6" s="12" t="s">
        <v>321</v>
      </c>
      <c r="L6" s="12"/>
      <c r="M6" s="12"/>
      <c r="N6" s="12"/>
      <c r="O6" s="12"/>
      <c r="P6" s="12"/>
    </row>
    <row r="7" ht="46" customHeight="1" spans="1:16">
      <c r="A7" s="5" t="s">
        <v>874</v>
      </c>
      <c r="B7" s="17" t="s">
        <v>216</v>
      </c>
      <c r="C7" s="18" t="s">
        <v>319</v>
      </c>
      <c r="D7" s="19" t="s">
        <v>870</v>
      </c>
      <c r="E7" s="5" t="s">
        <v>875</v>
      </c>
      <c r="F7" s="5" t="s">
        <v>872</v>
      </c>
      <c r="G7" s="5" t="s">
        <v>865</v>
      </c>
      <c r="H7" s="5" t="s">
        <v>876</v>
      </c>
      <c r="I7" s="5" t="s">
        <v>867</v>
      </c>
      <c r="J7" s="5" t="s">
        <v>868</v>
      </c>
      <c r="K7" s="12" t="s">
        <v>321</v>
      </c>
      <c r="L7" s="12"/>
      <c r="M7" s="12"/>
      <c r="N7" s="12"/>
      <c r="O7" s="12"/>
      <c r="P7" s="12"/>
    </row>
    <row r="8" ht="46" customHeight="1" spans="1:16">
      <c r="A8" s="5" t="s">
        <v>877</v>
      </c>
      <c r="B8" s="17" t="s">
        <v>216</v>
      </c>
      <c r="C8" s="18" t="s">
        <v>319</v>
      </c>
      <c r="D8" s="5" t="s">
        <v>878</v>
      </c>
      <c r="E8" s="5" t="s">
        <v>879</v>
      </c>
      <c r="F8" s="5" t="s">
        <v>880</v>
      </c>
      <c r="G8" s="5" t="s">
        <v>865</v>
      </c>
      <c r="H8" s="5" t="s">
        <v>881</v>
      </c>
      <c r="I8" s="5" t="s">
        <v>867</v>
      </c>
      <c r="J8" s="5" t="s">
        <v>868</v>
      </c>
      <c r="K8" s="12" t="s">
        <v>321</v>
      </c>
      <c r="L8" s="12"/>
      <c r="M8" s="12"/>
      <c r="N8" s="12"/>
      <c r="O8" s="12"/>
      <c r="P8" s="12"/>
    </row>
    <row r="9" ht="46" customHeight="1" spans="1:16">
      <c r="A9" s="5" t="s">
        <v>882</v>
      </c>
      <c r="B9" s="17" t="s">
        <v>216</v>
      </c>
      <c r="C9" s="18" t="s">
        <v>319</v>
      </c>
      <c r="D9" s="5" t="s">
        <v>883</v>
      </c>
      <c r="E9" s="5" t="s">
        <v>884</v>
      </c>
      <c r="F9" s="5" t="s">
        <v>885</v>
      </c>
      <c r="G9" s="5" t="s">
        <v>865</v>
      </c>
      <c r="H9" s="5" t="s">
        <v>886</v>
      </c>
      <c r="I9" s="5" t="s">
        <v>867</v>
      </c>
      <c r="J9" s="5" t="s">
        <v>868</v>
      </c>
      <c r="K9" s="12" t="s">
        <v>321</v>
      </c>
      <c r="L9" s="12"/>
      <c r="M9" s="12"/>
      <c r="N9" s="12"/>
      <c r="O9" s="12"/>
      <c r="P9" s="12"/>
    </row>
    <row r="10" ht="46" customHeight="1" spans="1:16">
      <c r="A10" s="5" t="s">
        <v>887</v>
      </c>
      <c r="B10" s="17" t="s">
        <v>216</v>
      </c>
      <c r="C10" s="18" t="s">
        <v>346</v>
      </c>
      <c r="D10" s="19" t="s">
        <v>888</v>
      </c>
      <c r="E10" s="5" t="s">
        <v>889</v>
      </c>
      <c r="F10" s="5" t="s">
        <v>880</v>
      </c>
      <c r="G10" s="5" t="s">
        <v>890</v>
      </c>
      <c r="H10" s="5" t="s">
        <v>891</v>
      </c>
      <c r="I10" s="5" t="s">
        <v>867</v>
      </c>
      <c r="J10" s="5" t="s">
        <v>341</v>
      </c>
      <c r="K10" s="12" t="s">
        <v>321</v>
      </c>
      <c r="L10" s="12"/>
      <c r="M10" s="12"/>
      <c r="N10" s="12"/>
      <c r="O10" s="12"/>
      <c r="P10" s="12"/>
    </row>
    <row r="11" ht="46" customHeight="1" spans="1:16">
      <c r="A11" s="5" t="s">
        <v>892</v>
      </c>
      <c r="B11" s="17" t="s">
        <v>216</v>
      </c>
      <c r="C11" s="18" t="s">
        <v>346</v>
      </c>
      <c r="D11" s="19" t="s">
        <v>888</v>
      </c>
      <c r="E11" s="5" t="s">
        <v>893</v>
      </c>
      <c r="F11" s="5" t="s">
        <v>894</v>
      </c>
      <c r="G11" s="5" t="s">
        <v>890</v>
      </c>
      <c r="H11" s="5" t="s">
        <v>895</v>
      </c>
      <c r="I11" s="5" t="s">
        <v>867</v>
      </c>
      <c r="J11" s="5" t="s">
        <v>341</v>
      </c>
      <c r="K11" s="12" t="s">
        <v>321</v>
      </c>
      <c r="L11" s="12"/>
      <c r="M11" s="12"/>
      <c r="N11" s="12"/>
      <c r="O11" s="12"/>
      <c r="P11" s="12"/>
    </row>
    <row r="12" ht="46" customHeight="1" spans="1:16">
      <c r="A12" s="5" t="s">
        <v>896</v>
      </c>
      <c r="B12" s="17" t="s">
        <v>216</v>
      </c>
      <c r="C12" s="18" t="s">
        <v>346</v>
      </c>
      <c r="D12" s="19" t="s">
        <v>888</v>
      </c>
      <c r="E12" s="5" t="s">
        <v>897</v>
      </c>
      <c r="F12" s="5" t="s">
        <v>872</v>
      </c>
      <c r="G12" s="5" t="s">
        <v>865</v>
      </c>
      <c r="H12" s="5" t="s">
        <v>898</v>
      </c>
      <c r="I12" s="5" t="s">
        <v>867</v>
      </c>
      <c r="J12" s="5" t="s">
        <v>341</v>
      </c>
      <c r="K12" s="12" t="s">
        <v>321</v>
      </c>
      <c r="L12" s="12"/>
      <c r="M12" s="12"/>
      <c r="N12" s="12"/>
      <c r="O12" s="12"/>
      <c r="P12" s="12"/>
    </row>
    <row r="13" ht="46" customHeight="1" spans="1:16">
      <c r="A13" s="5" t="s">
        <v>899</v>
      </c>
      <c r="B13" s="17" t="s">
        <v>216</v>
      </c>
      <c r="C13" s="18" t="s">
        <v>346</v>
      </c>
      <c r="D13" s="19" t="s">
        <v>888</v>
      </c>
      <c r="E13" s="5" t="s">
        <v>900</v>
      </c>
      <c r="F13" s="5" t="s">
        <v>901</v>
      </c>
      <c r="G13" s="5" t="s">
        <v>890</v>
      </c>
      <c r="H13" s="5" t="s">
        <v>902</v>
      </c>
      <c r="I13" s="5" t="s">
        <v>867</v>
      </c>
      <c r="J13" s="5" t="s">
        <v>341</v>
      </c>
      <c r="K13" s="12" t="s">
        <v>321</v>
      </c>
      <c r="L13" s="12"/>
      <c r="M13" s="12"/>
      <c r="N13" s="12"/>
      <c r="O13" s="12"/>
      <c r="P13" s="12"/>
    </row>
    <row r="14" ht="46" customHeight="1" spans="1:16">
      <c r="A14" s="5" t="s">
        <v>903</v>
      </c>
      <c r="B14" s="17" t="s">
        <v>216</v>
      </c>
      <c r="C14" s="18" t="s">
        <v>346</v>
      </c>
      <c r="D14" s="19" t="s">
        <v>888</v>
      </c>
      <c r="E14" s="5" t="s">
        <v>904</v>
      </c>
      <c r="F14" s="5" t="s">
        <v>905</v>
      </c>
      <c r="G14" s="5" t="s">
        <v>890</v>
      </c>
      <c r="H14" s="5" t="s">
        <v>906</v>
      </c>
      <c r="I14" s="5" t="s">
        <v>867</v>
      </c>
      <c r="J14" s="5" t="s">
        <v>341</v>
      </c>
      <c r="K14" s="12" t="s">
        <v>321</v>
      </c>
      <c r="L14" s="12"/>
      <c r="M14" s="12"/>
      <c r="N14" s="12"/>
      <c r="O14" s="12"/>
      <c r="P14" s="12"/>
    </row>
    <row r="15" ht="46" customHeight="1" spans="1:16">
      <c r="A15" s="5" t="s">
        <v>907</v>
      </c>
      <c r="B15" s="17" t="s">
        <v>224</v>
      </c>
      <c r="C15" s="18" t="s">
        <v>356</v>
      </c>
      <c r="D15" s="19" t="s">
        <v>908</v>
      </c>
      <c r="E15" s="5" t="s">
        <v>909</v>
      </c>
      <c r="F15" s="5" t="s">
        <v>910</v>
      </c>
      <c r="G15" s="5" t="s">
        <v>890</v>
      </c>
      <c r="H15" s="5" t="s">
        <v>911</v>
      </c>
      <c r="I15" s="5" t="s">
        <v>867</v>
      </c>
      <c r="J15" s="5" t="s">
        <v>912</v>
      </c>
      <c r="K15" s="12" t="s">
        <v>321</v>
      </c>
      <c r="L15" s="12"/>
      <c r="M15" s="12"/>
      <c r="N15" s="12"/>
      <c r="O15" s="12"/>
      <c r="P15" s="12"/>
    </row>
    <row r="16" ht="46" customHeight="1" spans="1:16">
      <c r="A16" s="5" t="s">
        <v>913</v>
      </c>
      <c r="B16" s="17" t="s">
        <v>224</v>
      </c>
      <c r="C16" s="18" t="s">
        <v>356</v>
      </c>
      <c r="D16" s="19" t="s">
        <v>908</v>
      </c>
      <c r="E16" s="5" t="s">
        <v>914</v>
      </c>
      <c r="F16" s="5" t="s">
        <v>872</v>
      </c>
      <c r="G16" s="5" t="s">
        <v>865</v>
      </c>
      <c r="H16" s="5" t="s">
        <v>915</v>
      </c>
      <c r="I16" s="5" t="s">
        <v>867</v>
      </c>
      <c r="J16" s="5" t="s">
        <v>912</v>
      </c>
      <c r="K16" s="12" t="s">
        <v>321</v>
      </c>
      <c r="L16" s="12"/>
      <c r="M16" s="12"/>
      <c r="N16" s="12"/>
      <c r="O16" s="12"/>
      <c r="P16" s="12"/>
    </row>
    <row r="17" ht="46" customHeight="1" spans="1:16">
      <c r="A17" s="5" t="s">
        <v>916</v>
      </c>
      <c r="B17" s="17" t="s">
        <v>224</v>
      </c>
      <c r="C17" s="18" t="s">
        <v>356</v>
      </c>
      <c r="D17" s="19" t="s">
        <v>908</v>
      </c>
      <c r="E17" s="5" t="s">
        <v>917</v>
      </c>
      <c r="F17" s="5" t="s">
        <v>880</v>
      </c>
      <c r="G17" s="5" t="s">
        <v>890</v>
      </c>
      <c r="H17" s="5" t="s">
        <v>918</v>
      </c>
      <c r="I17" s="5" t="s">
        <v>867</v>
      </c>
      <c r="J17" s="5" t="s">
        <v>912</v>
      </c>
      <c r="K17" s="12" t="s">
        <v>321</v>
      </c>
      <c r="L17" s="12"/>
      <c r="M17" s="12"/>
      <c r="N17" s="12"/>
      <c r="O17" s="12"/>
      <c r="P17" s="12"/>
    </row>
    <row r="18" ht="46" customHeight="1" spans="1:16">
      <c r="A18" s="5" t="s">
        <v>919</v>
      </c>
      <c r="B18" s="17" t="s">
        <v>224</v>
      </c>
      <c r="C18" s="18" t="s">
        <v>356</v>
      </c>
      <c r="D18" s="19" t="s">
        <v>908</v>
      </c>
      <c r="E18" s="5" t="s">
        <v>920</v>
      </c>
      <c r="F18" s="5" t="s">
        <v>921</v>
      </c>
      <c r="G18" s="5" t="s">
        <v>890</v>
      </c>
      <c r="H18" s="5" t="s">
        <v>922</v>
      </c>
      <c r="I18" s="5" t="s">
        <v>867</v>
      </c>
      <c r="J18" s="5" t="s">
        <v>912</v>
      </c>
      <c r="K18" s="12" t="s">
        <v>321</v>
      </c>
      <c r="L18" s="12"/>
      <c r="M18" s="12"/>
      <c r="N18" s="12"/>
      <c r="O18" s="12"/>
      <c r="P18" s="12"/>
    </row>
    <row r="19" ht="46" customHeight="1" spans="1:16">
      <c r="A19" s="5" t="s">
        <v>923</v>
      </c>
      <c r="B19" s="17" t="s">
        <v>224</v>
      </c>
      <c r="C19" s="18" t="s">
        <v>356</v>
      </c>
      <c r="D19" s="19" t="s">
        <v>924</v>
      </c>
      <c r="E19" s="5" t="s">
        <v>925</v>
      </c>
      <c r="F19" s="5" t="s">
        <v>880</v>
      </c>
      <c r="G19" s="5" t="s">
        <v>890</v>
      </c>
      <c r="H19" s="5" t="s">
        <v>926</v>
      </c>
      <c r="I19" s="5" t="s">
        <v>867</v>
      </c>
      <c r="J19" s="5" t="s">
        <v>912</v>
      </c>
      <c r="K19" s="12" t="s">
        <v>321</v>
      </c>
      <c r="L19" s="12"/>
      <c r="M19" s="12"/>
      <c r="N19" s="12"/>
      <c r="O19" s="12"/>
      <c r="P19" s="12"/>
    </row>
    <row r="20" ht="46" customHeight="1" spans="1:16">
      <c r="A20" s="5" t="s">
        <v>927</v>
      </c>
      <c r="B20" s="17" t="s">
        <v>224</v>
      </c>
      <c r="C20" s="18" t="s">
        <v>356</v>
      </c>
      <c r="D20" s="19" t="s">
        <v>924</v>
      </c>
      <c r="E20" s="5" t="s">
        <v>928</v>
      </c>
      <c r="F20" s="5" t="s">
        <v>921</v>
      </c>
      <c r="G20" s="5" t="s">
        <v>865</v>
      </c>
      <c r="H20" s="5" t="s">
        <v>929</v>
      </c>
      <c r="I20" s="5" t="s">
        <v>867</v>
      </c>
      <c r="J20" s="5" t="s">
        <v>912</v>
      </c>
      <c r="K20" s="12" t="s">
        <v>321</v>
      </c>
      <c r="L20" s="12"/>
      <c r="M20" s="12"/>
      <c r="N20" s="12"/>
      <c r="O20" s="12"/>
      <c r="P20" s="12"/>
    </row>
    <row r="21" ht="46" customHeight="1" spans="1:16">
      <c r="A21" s="5" t="s">
        <v>930</v>
      </c>
      <c r="B21" s="17" t="s">
        <v>224</v>
      </c>
      <c r="C21" s="18" t="s">
        <v>364</v>
      </c>
      <c r="D21" s="19" t="s">
        <v>931</v>
      </c>
      <c r="E21" s="5" t="s">
        <v>871</v>
      </c>
      <c r="F21" s="5" t="s">
        <v>932</v>
      </c>
      <c r="G21" s="5" t="s">
        <v>890</v>
      </c>
      <c r="H21" s="5" t="s">
        <v>933</v>
      </c>
      <c r="I21" s="5" t="s">
        <v>867</v>
      </c>
      <c r="J21" s="5" t="s">
        <v>912</v>
      </c>
      <c r="K21" s="12" t="s">
        <v>321</v>
      </c>
      <c r="L21" s="12"/>
      <c r="M21" s="12"/>
      <c r="N21" s="12"/>
      <c r="O21" s="12"/>
      <c r="P21" s="12"/>
    </row>
    <row r="22" ht="46" customHeight="1" spans="1:16">
      <c r="A22" s="5" t="s">
        <v>934</v>
      </c>
      <c r="B22" s="17" t="s">
        <v>224</v>
      </c>
      <c r="C22" s="18" t="s">
        <v>364</v>
      </c>
      <c r="D22" s="19" t="s">
        <v>931</v>
      </c>
      <c r="E22" s="5" t="s">
        <v>935</v>
      </c>
      <c r="F22" s="5" t="s">
        <v>932</v>
      </c>
      <c r="G22" s="5" t="s">
        <v>865</v>
      </c>
      <c r="H22" s="5" t="s">
        <v>936</v>
      </c>
      <c r="I22" s="5" t="s">
        <v>867</v>
      </c>
      <c r="J22" s="5" t="s">
        <v>912</v>
      </c>
      <c r="K22" s="12" t="s">
        <v>321</v>
      </c>
      <c r="L22" s="12"/>
      <c r="M22" s="12"/>
      <c r="N22" s="12"/>
      <c r="O22" s="12"/>
      <c r="P22" s="12"/>
    </row>
    <row r="23" ht="46" customHeight="1" spans="1:16">
      <c r="A23" s="5" t="s">
        <v>937</v>
      </c>
      <c r="B23" s="17" t="s">
        <v>224</v>
      </c>
      <c r="C23" s="18" t="s">
        <v>364</v>
      </c>
      <c r="D23" s="19" t="s">
        <v>909</v>
      </c>
      <c r="E23" s="5" t="s">
        <v>938</v>
      </c>
      <c r="F23" s="5" t="s">
        <v>910</v>
      </c>
      <c r="G23" s="5" t="s">
        <v>890</v>
      </c>
      <c r="H23" s="5" t="s">
        <v>939</v>
      </c>
      <c r="I23" s="5" t="s">
        <v>867</v>
      </c>
      <c r="J23" s="5" t="s">
        <v>912</v>
      </c>
      <c r="K23" s="12" t="s">
        <v>321</v>
      </c>
      <c r="L23" s="12"/>
      <c r="M23" s="12"/>
      <c r="N23" s="12"/>
      <c r="O23" s="12"/>
      <c r="P23" s="12"/>
    </row>
    <row r="24" ht="46" customHeight="1" spans="1:16">
      <c r="A24" s="5" t="s">
        <v>940</v>
      </c>
      <c r="B24" s="17" t="s">
        <v>224</v>
      </c>
      <c r="C24" s="18" t="s">
        <v>364</v>
      </c>
      <c r="D24" s="19" t="s">
        <v>909</v>
      </c>
      <c r="E24" s="5" t="s">
        <v>941</v>
      </c>
      <c r="F24" s="5" t="s">
        <v>872</v>
      </c>
      <c r="G24" s="5" t="s">
        <v>865</v>
      </c>
      <c r="H24" s="5" t="s">
        <v>942</v>
      </c>
      <c r="I24" s="5" t="s">
        <v>867</v>
      </c>
      <c r="J24" s="5" t="s">
        <v>912</v>
      </c>
      <c r="K24" s="12" t="s">
        <v>321</v>
      </c>
      <c r="L24" s="12"/>
      <c r="M24" s="12"/>
      <c r="N24" s="12"/>
      <c r="O24" s="12"/>
      <c r="P24" s="12"/>
    </row>
    <row r="25" ht="46" customHeight="1" spans="1:16">
      <c r="A25" s="5" t="s">
        <v>943</v>
      </c>
      <c r="B25" s="17" t="s">
        <v>224</v>
      </c>
      <c r="C25" s="18" t="s">
        <v>364</v>
      </c>
      <c r="D25" s="19" t="s">
        <v>944</v>
      </c>
      <c r="E25" s="5" t="s">
        <v>945</v>
      </c>
      <c r="F25" s="5" t="s">
        <v>946</v>
      </c>
      <c r="G25" s="5" t="s">
        <v>890</v>
      </c>
      <c r="H25" s="5" t="s">
        <v>947</v>
      </c>
      <c r="I25" s="5" t="s">
        <v>867</v>
      </c>
      <c r="J25" s="5" t="s">
        <v>912</v>
      </c>
      <c r="K25" s="12" t="s">
        <v>321</v>
      </c>
      <c r="L25" s="12"/>
      <c r="M25" s="12"/>
      <c r="N25" s="12"/>
      <c r="O25" s="12"/>
      <c r="P25" s="12"/>
    </row>
    <row r="26" ht="46" customHeight="1" spans="1:16">
      <c r="A26" s="5" t="s">
        <v>948</v>
      </c>
      <c r="B26" s="17" t="s">
        <v>224</v>
      </c>
      <c r="C26" s="18" t="s">
        <v>364</v>
      </c>
      <c r="D26" s="19" t="s">
        <v>944</v>
      </c>
      <c r="E26" s="5" t="s">
        <v>949</v>
      </c>
      <c r="F26" s="5" t="s">
        <v>946</v>
      </c>
      <c r="G26" s="5" t="s">
        <v>890</v>
      </c>
      <c r="H26" s="5" t="s">
        <v>950</v>
      </c>
      <c r="I26" s="5" t="s">
        <v>867</v>
      </c>
      <c r="J26" s="5" t="s">
        <v>912</v>
      </c>
      <c r="K26" s="12" t="s">
        <v>321</v>
      </c>
      <c r="L26" s="12"/>
      <c r="M26" s="12"/>
      <c r="N26" s="12"/>
      <c r="O26" s="12"/>
      <c r="P26" s="12"/>
    </row>
    <row r="27" ht="46" customHeight="1" spans="1:16">
      <c r="A27" s="5" t="s">
        <v>951</v>
      </c>
      <c r="B27" s="17" t="s">
        <v>224</v>
      </c>
      <c r="C27" s="18" t="s">
        <v>364</v>
      </c>
      <c r="D27" s="19" t="s">
        <v>952</v>
      </c>
      <c r="E27" s="5" t="s">
        <v>953</v>
      </c>
      <c r="F27" s="5" t="s">
        <v>946</v>
      </c>
      <c r="G27" s="5" t="s">
        <v>890</v>
      </c>
      <c r="H27" s="5" t="s">
        <v>954</v>
      </c>
      <c r="I27" s="5" t="s">
        <v>867</v>
      </c>
      <c r="J27" s="5" t="s">
        <v>912</v>
      </c>
      <c r="K27" s="12" t="s">
        <v>321</v>
      </c>
      <c r="L27" s="12"/>
      <c r="M27" s="12"/>
      <c r="N27" s="12"/>
      <c r="O27" s="12"/>
      <c r="P27" s="12"/>
    </row>
    <row r="28" ht="46" customHeight="1" spans="1:16">
      <c r="A28" s="5" t="s">
        <v>955</v>
      </c>
      <c r="B28" s="17" t="s">
        <v>224</v>
      </c>
      <c r="C28" s="18" t="s">
        <v>364</v>
      </c>
      <c r="D28" s="19" t="s">
        <v>952</v>
      </c>
      <c r="E28" s="5" t="s">
        <v>956</v>
      </c>
      <c r="F28" s="5" t="s">
        <v>910</v>
      </c>
      <c r="G28" s="5" t="s">
        <v>890</v>
      </c>
      <c r="H28" s="5" t="s">
        <v>957</v>
      </c>
      <c r="I28" s="5" t="s">
        <v>867</v>
      </c>
      <c r="J28" s="5" t="s">
        <v>912</v>
      </c>
      <c r="K28" s="12" t="s">
        <v>321</v>
      </c>
      <c r="L28" s="12"/>
      <c r="M28" s="12"/>
      <c r="N28" s="12"/>
      <c r="O28" s="12"/>
      <c r="P28" s="12"/>
    </row>
    <row r="29" ht="46" customHeight="1" spans="1:16">
      <c r="A29" s="5" t="s">
        <v>958</v>
      </c>
      <c r="B29" s="17" t="s">
        <v>224</v>
      </c>
      <c r="C29" s="18" t="s">
        <v>364</v>
      </c>
      <c r="D29" s="19" t="s">
        <v>959</v>
      </c>
      <c r="E29" s="5" t="s">
        <v>960</v>
      </c>
      <c r="F29" s="5" t="s">
        <v>921</v>
      </c>
      <c r="G29" s="5" t="s">
        <v>890</v>
      </c>
      <c r="H29" s="5" t="s">
        <v>961</v>
      </c>
      <c r="I29" s="5" t="s">
        <v>867</v>
      </c>
      <c r="J29" s="5" t="s">
        <v>912</v>
      </c>
      <c r="K29" s="12" t="s">
        <v>321</v>
      </c>
      <c r="L29" s="12"/>
      <c r="M29" s="12"/>
      <c r="N29" s="12"/>
      <c r="O29" s="12"/>
      <c r="P29" s="12"/>
    </row>
    <row r="30" ht="46" customHeight="1" spans="1:16">
      <c r="A30" s="5" t="s">
        <v>962</v>
      </c>
      <c r="B30" s="17" t="s">
        <v>224</v>
      </c>
      <c r="C30" s="18" t="s">
        <v>364</v>
      </c>
      <c r="D30" s="19" t="s">
        <v>959</v>
      </c>
      <c r="E30" s="5" t="s">
        <v>963</v>
      </c>
      <c r="F30" s="5" t="s">
        <v>963</v>
      </c>
      <c r="G30" s="5" t="s">
        <v>865</v>
      </c>
      <c r="H30" s="5" t="s">
        <v>964</v>
      </c>
      <c r="I30" s="5" t="s">
        <v>867</v>
      </c>
      <c r="J30" s="5" t="s">
        <v>912</v>
      </c>
      <c r="K30" s="12" t="s">
        <v>321</v>
      </c>
      <c r="L30" s="12"/>
      <c r="M30" s="12"/>
      <c r="N30" s="12"/>
      <c r="O30" s="12"/>
      <c r="P30" s="12"/>
    </row>
    <row r="31" ht="46" customHeight="1" spans="1:16">
      <c r="A31" s="5" t="s">
        <v>965</v>
      </c>
      <c r="B31" s="17" t="s">
        <v>224</v>
      </c>
      <c r="C31" s="18" t="s">
        <v>364</v>
      </c>
      <c r="D31" s="19" t="s">
        <v>959</v>
      </c>
      <c r="E31" s="5" t="s">
        <v>966</v>
      </c>
      <c r="F31" s="5" t="s">
        <v>880</v>
      </c>
      <c r="G31" s="5" t="s">
        <v>865</v>
      </c>
      <c r="H31" s="5" t="s">
        <v>967</v>
      </c>
      <c r="I31" s="5" t="s">
        <v>867</v>
      </c>
      <c r="J31" s="5" t="s">
        <v>912</v>
      </c>
      <c r="K31" s="12" t="s">
        <v>321</v>
      </c>
      <c r="L31" s="12"/>
      <c r="M31" s="12"/>
      <c r="N31" s="12"/>
      <c r="O31" s="12"/>
      <c r="P31" s="12"/>
    </row>
    <row r="32" ht="46" customHeight="1" spans="1:16">
      <c r="A32" s="5" t="s">
        <v>968</v>
      </c>
      <c r="B32" s="17" t="s">
        <v>224</v>
      </c>
      <c r="C32" s="18" t="s">
        <v>364</v>
      </c>
      <c r="D32" s="5" t="s">
        <v>924</v>
      </c>
      <c r="E32" s="5" t="s">
        <v>969</v>
      </c>
      <c r="F32" s="5" t="s">
        <v>880</v>
      </c>
      <c r="G32" s="5" t="s">
        <v>890</v>
      </c>
      <c r="H32" s="5" t="s">
        <v>970</v>
      </c>
      <c r="I32" s="5" t="s">
        <v>867</v>
      </c>
      <c r="J32" s="5" t="s">
        <v>912</v>
      </c>
      <c r="K32" s="12" t="s">
        <v>321</v>
      </c>
      <c r="L32" s="12"/>
      <c r="M32" s="12"/>
      <c r="N32" s="12"/>
      <c r="O32" s="12"/>
      <c r="P32" s="12"/>
    </row>
    <row r="33" ht="46" customHeight="1" spans="1:16">
      <c r="A33" s="5" t="s">
        <v>971</v>
      </c>
      <c r="B33" s="17" t="s">
        <v>224</v>
      </c>
      <c r="C33" s="18" t="s">
        <v>381</v>
      </c>
      <c r="D33" s="19" t="s">
        <v>972</v>
      </c>
      <c r="E33" s="5" t="s">
        <v>973</v>
      </c>
      <c r="F33" s="5" t="s">
        <v>872</v>
      </c>
      <c r="G33" s="5" t="s">
        <v>865</v>
      </c>
      <c r="H33" s="5" t="s">
        <v>974</v>
      </c>
      <c r="I33" s="5" t="s">
        <v>867</v>
      </c>
      <c r="J33" s="5" t="s">
        <v>912</v>
      </c>
      <c r="K33" s="12" t="s">
        <v>321</v>
      </c>
      <c r="L33" s="12"/>
      <c r="M33" s="12"/>
      <c r="N33" s="12"/>
      <c r="O33" s="12"/>
      <c r="P33" s="12"/>
    </row>
    <row r="34" ht="46" customHeight="1" spans="1:16">
      <c r="A34" s="5" t="s">
        <v>975</v>
      </c>
      <c r="B34" s="17" t="s">
        <v>224</v>
      </c>
      <c r="C34" s="18" t="s">
        <v>381</v>
      </c>
      <c r="D34" s="19" t="s">
        <v>972</v>
      </c>
      <c r="E34" s="5" t="s">
        <v>976</v>
      </c>
      <c r="F34" s="5" t="s">
        <v>977</v>
      </c>
      <c r="G34" s="5" t="s">
        <v>865</v>
      </c>
      <c r="H34" s="5" t="s">
        <v>978</v>
      </c>
      <c r="I34" s="5" t="s">
        <v>867</v>
      </c>
      <c r="J34" s="5" t="s">
        <v>912</v>
      </c>
      <c r="K34" s="12" t="s">
        <v>321</v>
      </c>
      <c r="L34" s="12"/>
      <c r="M34" s="12"/>
      <c r="N34" s="12"/>
      <c r="O34" s="12"/>
      <c r="P34" s="12"/>
    </row>
    <row r="35" ht="46" customHeight="1" spans="1:16">
      <c r="A35" s="5" t="s">
        <v>979</v>
      </c>
      <c r="B35" s="17" t="s">
        <v>224</v>
      </c>
      <c r="C35" s="18" t="s">
        <v>381</v>
      </c>
      <c r="D35" s="19" t="s">
        <v>972</v>
      </c>
      <c r="E35" s="5" t="s">
        <v>949</v>
      </c>
      <c r="F35" s="5" t="s">
        <v>946</v>
      </c>
      <c r="G35" s="5" t="s">
        <v>865</v>
      </c>
      <c r="H35" s="5" t="s">
        <v>980</v>
      </c>
      <c r="I35" s="5" t="s">
        <v>867</v>
      </c>
      <c r="J35" s="5" t="s">
        <v>912</v>
      </c>
      <c r="K35" s="12" t="s">
        <v>321</v>
      </c>
      <c r="L35" s="12"/>
      <c r="M35" s="12"/>
      <c r="N35" s="12"/>
      <c r="O35" s="12"/>
      <c r="P35" s="12"/>
    </row>
    <row r="36" ht="46" customHeight="1" spans="1:16">
      <c r="A36" s="5" t="s">
        <v>981</v>
      </c>
      <c r="B36" s="17" t="s">
        <v>224</v>
      </c>
      <c r="C36" s="18" t="s">
        <v>381</v>
      </c>
      <c r="D36" s="19" t="s">
        <v>972</v>
      </c>
      <c r="E36" s="5" t="s">
        <v>953</v>
      </c>
      <c r="F36" s="5" t="s">
        <v>946</v>
      </c>
      <c r="G36" s="5" t="s">
        <v>865</v>
      </c>
      <c r="H36" s="5" t="s">
        <v>982</v>
      </c>
      <c r="I36" s="5" t="s">
        <v>867</v>
      </c>
      <c r="J36" s="5" t="s">
        <v>912</v>
      </c>
      <c r="K36" s="12" t="s">
        <v>321</v>
      </c>
      <c r="L36" s="12"/>
      <c r="M36" s="12"/>
      <c r="N36" s="12"/>
      <c r="O36" s="12"/>
      <c r="P36" s="12"/>
    </row>
    <row r="37" ht="46" customHeight="1" spans="1:16">
      <c r="A37" s="5" t="s">
        <v>983</v>
      </c>
      <c r="B37" s="17" t="s">
        <v>224</v>
      </c>
      <c r="C37" s="18" t="s">
        <v>381</v>
      </c>
      <c r="D37" s="19" t="s">
        <v>972</v>
      </c>
      <c r="E37" s="5" t="s">
        <v>984</v>
      </c>
      <c r="F37" s="5" t="s">
        <v>894</v>
      </c>
      <c r="G37" s="5" t="s">
        <v>865</v>
      </c>
      <c r="H37" s="5" t="s">
        <v>985</v>
      </c>
      <c r="I37" s="5" t="s">
        <v>867</v>
      </c>
      <c r="J37" s="5" t="s">
        <v>912</v>
      </c>
      <c r="K37" s="12" t="s">
        <v>321</v>
      </c>
      <c r="L37" s="12"/>
      <c r="M37" s="12"/>
      <c r="N37" s="12"/>
      <c r="O37" s="12"/>
      <c r="P37" s="12"/>
    </row>
    <row r="38" ht="46" customHeight="1" spans="1:16">
      <c r="A38" s="5" t="s">
        <v>986</v>
      </c>
      <c r="B38" s="17" t="s">
        <v>224</v>
      </c>
      <c r="C38" s="18" t="s">
        <v>381</v>
      </c>
      <c r="D38" s="19" t="s">
        <v>972</v>
      </c>
      <c r="E38" s="5" t="s">
        <v>909</v>
      </c>
      <c r="F38" s="5" t="s">
        <v>910</v>
      </c>
      <c r="G38" s="5" t="s">
        <v>865</v>
      </c>
      <c r="H38" s="5" t="s">
        <v>987</v>
      </c>
      <c r="I38" s="5" t="s">
        <v>867</v>
      </c>
      <c r="J38" s="5" t="s">
        <v>912</v>
      </c>
      <c r="K38" s="12" t="s">
        <v>321</v>
      </c>
      <c r="L38" s="12"/>
      <c r="M38" s="12"/>
      <c r="N38" s="12"/>
      <c r="O38" s="12"/>
      <c r="P38" s="12"/>
    </row>
    <row r="39" ht="46" customHeight="1" spans="1:16">
      <c r="A39" s="5" t="s">
        <v>988</v>
      </c>
      <c r="B39" s="17" t="s">
        <v>224</v>
      </c>
      <c r="C39" s="18" t="s">
        <v>381</v>
      </c>
      <c r="D39" s="19" t="s">
        <v>989</v>
      </c>
      <c r="E39" s="5" t="s">
        <v>990</v>
      </c>
      <c r="F39" s="5" t="s">
        <v>872</v>
      </c>
      <c r="G39" s="5" t="s">
        <v>865</v>
      </c>
      <c r="H39" s="5" t="s">
        <v>991</v>
      </c>
      <c r="I39" s="5" t="s">
        <v>867</v>
      </c>
      <c r="J39" s="5" t="s">
        <v>912</v>
      </c>
      <c r="K39" s="12" t="s">
        <v>321</v>
      </c>
      <c r="L39" s="12"/>
      <c r="M39" s="12"/>
      <c r="N39" s="12"/>
      <c r="O39" s="12"/>
      <c r="P39" s="12"/>
    </row>
    <row r="40" ht="46" customHeight="1" spans="1:16">
      <c r="A40" s="5" t="s">
        <v>992</v>
      </c>
      <c r="B40" s="17" t="s">
        <v>224</v>
      </c>
      <c r="C40" s="18" t="s">
        <v>381</v>
      </c>
      <c r="D40" s="19" t="s">
        <v>989</v>
      </c>
      <c r="E40" s="5" t="s">
        <v>993</v>
      </c>
      <c r="F40" s="5" t="s">
        <v>994</v>
      </c>
      <c r="G40" s="5" t="s">
        <v>865</v>
      </c>
      <c r="H40" s="5" t="s">
        <v>995</v>
      </c>
      <c r="I40" s="5" t="s">
        <v>867</v>
      </c>
      <c r="J40" s="5" t="s">
        <v>912</v>
      </c>
      <c r="K40" s="12" t="s">
        <v>321</v>
      </c>
      <c r="L40" s="12"/>
      <c r="M40" s="12"/>
      <c r="N40" s="12"/>
      <c r="O40" s="12"/>
      <c r="P40" s="12"/>
    </row>
    <row r="41" ht="46" customHeight="1" spans="1:16">
      <c r="A41" s="5" t="s">
        <v>996</v>
      </c>
      <c r="B41" s="17" t="s">
        <v>224</v>
      </c>
      <c r="C41" s="18" t="s">
        <v>389</v>
      </c>
      <c r="D41" s="19" t="s">
        <v>997</v>
      </c>
      <c r="E41" s="5" t="s">
        <v>998</v>
      </c>
      <c r="F41" s="5" t="s">
        <v>872</v>
      </c>
      <c r="G41" s="5" t="s">
        <v>890</v>
      </c>
      <c r="H41" s="5" t="s">
        <v>999</v>
      </c>
      <c r="I41" s="5" t="s">
        <v>867</v>
      </c>
      <c r="J41" s="5" t="s">
        <v>912</v>
      </c>
      <c r="K41" s="12" t="s">
        <v>321</v>
      </c>
      <c r="L41" s="12"/>
      <c r="M41" s="12"/>
      <c r="N41" s="12"/>
      <c r="O41" s="12"/>
      <c r="P41" s="12"/>
    </row>
    <row r="42" ht="46" customHeight="1" spans="1:16">
      <c r="A42" s="5" t="s">
        <v>1000</v>
      </c>
      <c r="B42" s="17" t="s">
        <v>224</v>
      </c>
      <c r="C42" s="18" t="s">
        <v>389</v>
      </c>
      <c r="D42" s="19" t="s">
        <v>997</v>
      </c>
      <c r="E42" s="5" t="s">
        <v>1001</v>
      </c>
      <c r="F42" s="5" t="s">
        <v>880</v>
      </c>
      <c r="G42" s="5" t="s">
        <v>890</v>
      </c>
      <c r="H42" s="5" t="s">
        <v>1002</v>
      </c>
      <c r="I42" s="5" t="s">
        <v>867</v>
      </c>
      <c r="J42" s="5" t="s">
        <v>912</v>
      </c>
      <c r="K42" s="12" t="s">
        <v>321</v>
      </c>
      <c r="L42" s="12"/>
      <c r="M42" s="12"/>
      <c r="N42" s="12"/>
      <c r="O42" s="12"/>
      <c r="P42" s="12"/>
    </row>
    <row r="43" ht="46" customHeight="1" spans="1:16">
      <c r="A43" s="5" t="s">
        <v>1003</v>
      </c>
      <c r="B43" s="17" t="s">
        <v>224</v>
      </c>
      <c r="C43" s="18" t="s">
        <v>389</v>
      </c>
      <c r="D43" s="5" t="s">
        <v>909</v>
      </c>
      <c r="E43" s="5" t="s">
        <v>1004</v>
      </c>
      <c r="F43" s="5" t="s">
        <v>872</v>
      </c>
      <c r="G43" s="5" t="s">
        <v>890</v>
      </c>
      <c r="H43" s="5" t="s">
        <v>1005</v>
      </c>
      <c r="I43" s="5" t="s">
        <v>867</v>
      </c>
      <c r="J43" s="5" t="s">
        <v>912</v>
      </c>
      <c r="K43" s="12" t="s">
        <v>321</v>
      </c>
      <c r="L43" s="12"/>
      <c r="M43" s="12"/>
      <c r="N43" s="12"/>
      <c r="O43" s="12"/>
      <c r="P43" s="12"/>
    </row>
    <row r="44" ht="46" customHeight="1" spans="1:16">
      <c r="A44" s="5" t="s">
        <v>1006</v>
      </c>
      <c r="B44" s="17" t="s">
        <v>224</v>
      </c>
      <c r="C44" s="18" t="s">
        <v>389</v>
      </c>
      <c r="D44" s="5" t="s">
        <v>952</v>
      </c>
      <c r="E44" s="5" t="s">
        <v>1007</v>
      </c>
      <c r="F44" s="5" t="s">
        <v>872</v>
      </c>
      <c r="G44" s="5" t="s">
        <v>890</v>
      </c>
      <c r="H44" s="5" t="s">
        <v>1008</v>
      </c>
      <c r="I44" s="5" t="s">
        <v>867</v>
      </c>
      <c r="J44" s="5" t="s">
        <v>912</v>
      </c>
      <c r="K44" s="12" t="s">
        <v>321</v>
      </c>
      <c r="L44" s="12"/>
      <c r="M44" s="12"/>
      <c r="N44" s="12"/>
      <c r="O44" s="12"/>
      <c r="P44" s="12"/>
    </row>
    <row r="45" ht="46" customHeight="1" spans="1:16">
      <c r="A45" s="5" t="s">
        <v>1009</v>
      </c>
      <c r="B45" s="17" t="s">
        <v>224</v>
      </c>
      <c r="C45" s="18" t="s">
        <v>389</v>
      </c>
      <c r="D45" s="5" t="s">
        <v>894</v>
      </c>
      <c r="E45" s="5" t="s">
        <v>1010</v>
      </c>
      <c r="F45" s="5" t="s">
        <v>894</v>
      </c>
      <c r="G45" s="5" t="s">
        <v>865</v>
      </c>
      <c r="H45" s="5" t="s">
        <v>1011</v>
      </c>
      <c r="I45" s="5" t="s">
        <v>867</v>
      </c>
      <c r="J45" s="5" t="s">
        <v>912</v>
      </c>
      <c r="K45" s="12" t="s">
        <v>321</v>
      </c>
      <c r="L45" s="12"/>
      <c r="M45" s="12"/>
      <c r="N45" s="12"/>
      <c r="O45" s="12"/>
      <c r="P45" s="12"/>
    </row>
    <row r="46" ht="46" customHeight="1" spans="1:16">
      <c r="A46" s="5" t="s">
        <v>1012</v>
      </c>
      <c r="B46" s="17" t="s">
        <v>224</v>
      </c>
      <c r="C46" s="18" t="s">
        <v>389</v>
      </c>
      <c r="D46" s="5" t="s">
        <v>959</v>
      </c>
      <c r="E46" s="5" t="s">
        <v>1013</v>
      </c>
      <c r="F46" s="5" t="s">
        <v>1014</v>
      </c>
      <c r="G46" s="5" t="s">
        <v>890</v>
      </c>
      <c r="H46" s="5" t="s">
        <v>1015</v>
      </c>
      <c r="I46" s="5" t="s">
        <v>867</v>
      </c>
      <c r="J46" s="5" t="s">
        <v>912</v>
      </c>
      <c r="K46" s="12" t="s">
        <v>321</v>
      </c>
      <c r="L46" s="12"/>
      <c r="M46" s="12"/>
      <c r="N46" s="12"/>
      <c r="O46" s="12"/>
      <c r="P46" s="12"/>
    </row>
    <row r="47" ht="46" customHeight="1" spans="1:16">
      <c r="A47" s="5" t="s">
        <v>1016</v>
      </c>
      <c r="B47" s="17" t="s">
        <v>224</v>
      </c>
      <c r="C47" s="18" t="s">
        <v>389</v>
      </c>
      <c r="D47" s="19" t="s">
        <v>885</v>
      </c>
      <c r="E47" s="5" t="s">
        <v>1017</v>
      </c>
      <c r="F47" s="5" t="s">
        <v>885</v>
      </c>
      <c r="G47" s="5" t="s">
        <v>865</v>
      </c>
      <c r="H47" s="5" t="s">
        <v>1018</v>
      </c>
      <c r="I47" s="5" t="s">
        <v>867</v>
      </c>
      <c r="J47" s="5" t="s">
        <v>912</v>
      </c>
      <c r="K47" s="12" t="s">
        <v>321</v>
      </c>
      <c r="L47" s="12"/>
      <c r="M47" s="12"/>
      <c r="N47" s="12"/>
      <c r="O47" s="12"/>
      <c r="P47" s="12"/>
    </row>
    <row r="48" ht="46" customHeight="1" spans="1:16">
      <c r="A48" s="5" t="s">
        <v>1019</v>
      </c>
      <c r="B48" s="17" t="s">
        <v>224</v>
      </c>
      <c r="C48" s="18" t="s">
        <v>389</v>
      </c>
      <c r="D48" s="19" t="s">
        <v>885</v>
      </c>
      <c r="E48" s="5" t="s">
        <v>1020</v>
      </c>
      <c r="F48" s="5" t="s">
        <v>885</v>
      </c>
      <c r="G48" s="5" t="s">
        <v>865</v>
      </c>
      <c r="H48" s="5" t="s">
        <v>1021</v>
      </c>
      <c r="I48" s="5" t="s">
        <v>867</v>
      </c>
      <c r="J48" s="5" t="s">
        <v>912</v>
      </c>
      <c r="K48" s="12" t="s">
        <v>321</v>
      </c>
      <c r="L48" s="12"/>
      <c r="M48" s="12"/>
      <c r="N48" s="12"/>
      <c r="O48" s="12"/>
      <c r="P48" s="12"/>
    </row>
    <row r="49" ht="46" customHeight="1" spans="1:16">
      <c r="A49" s="5" t="s">
        <v>1022</v>
      </c>
      <c r="B49" s="17" t="s">
        <v>224</v>
      </c>
      <c r="C49" s="18" t="s">
        <v>389</v>
      </c>
      <c r="D49" s="5" t="s">
        <v>1023</v>
      </c>
      <c r="E49" s="5" t="s">
        <v>1024</v>
      </c>
      <c r="F49" s="5" t="s">
        <v>921</v>
      </c>
      <c r="G49" s="5" t="s">
        <v>1025</v>
      </c>
      <c r="H49" s="5" t="s">
        <v>1026</v>
      </c>
      <c r="I49" s="5" t="s">
        <v>867</v>
      </c>
      <c r="J49" s="5" t="s">
        <v>912</v>
      </c>
      <c r="K49" s="12" t="s">
        <v>321</v>
      </c>
      <c r="L49" s="12"/>
      <c r="M49" s="12"/>
      <c r="N49" s="12"/>
      <c r="O49" s="12"/>
      <c r="P49" s="12"/>
    </row>
    <row r="50" ht="46" customHeight="1" spans="1:16">
      <c r="A50" s="5" t="s">
        <v>1027</v>
      </c>
      <c r="B50" s="17" t="s">
        <v>231</v>
      </c>
      <c r="C50" s="18" t="s">
        <v>403</v>
      </c>
      <c r="D50" s="19" t="s">
        <v>1028</v>
      </c>
      <c r="E50" s="5" t="s">
        <v>1029</v>
      </c>
      <c r="F50" s="5" t="s">
        <v>872</v>
      </c>
      <c r="G50" s="5" t="s">
        <v>890</v>
      </c>
      <c r="H50" s="5" t="s">
        <v>1030</v>
      </c>
      <c r="I50" s="5" t="s">
        <v>867</v>
      </c>
      <c r="J50" s="5" t="s">
        <v>1031</v>
      </c>
      <c r="K50" s="12" t="s">
        <v>321</v>
      </c>
      <c r="L50" s="12"/>
      <c r="M50" s="12"/>
      <c r="N50" s="12"/>
      <c r="O50" s="12"/>
      <c r="P50" s="12"/>
    </row>
    <row r="51" ht="46" customHeight="1" spans="1:16">
      <c r="A51" s="5" t="s">
        <v>1032</v>
      </c>
      <c r="B51" s="17" t="s">
        <v>231</v>
      </c>
      <c r="C51" s="18" t="s">
        <v>403</v>
      </c>
      <c r="D51" s="19" t="s">
        <v>1028</v>
      </c>
      <c r="E51" s="5" t="s">
        <v>1033</v>
      </c>
      <c r="F51" s="5" t="s">
        <v>872</v>
      </c>
      <c r="G51" s="5" t="s">
        <v>890</v>
      </c>
      <c r="H51" s="5" t="s">
        <v>1034</v>
      </c>
      <c r="I51" s="5" t="s">
        <v>867</v>
      </c>
      <c r="J51" s="5" t="s">
        <v>1031</v>
      </c>
      <c r="K51" s="12" t="s">
        <v>321</v>
      </c>
      <c r="L51" s="12"/>
      <c r="M51" s="12"/>
      <c r="N51" s="12"/>
      <c r="O51" s="12"/>
      <c r="P51" s="12"/>
    </row>
    <row r="52" ht="46" customHeight="1" spans="1:16">
      <c r="A52" s="5" t="s">
        <v>1035</v>
      </c>
      <c r="B52" s="17" t="s">
        <v>231</v>
      </c>
      <c r="C52" s="18" t="s">
        <v>403</v>
      </c>
      <c r="D52" s="19" t="s">
        <v>1036</v>
      </c>
      <c r="E52" s="5" t="s">
        <v>1037</v>
      </c>
      <c r="F52" s="5" t="s">
        <v>894</v>
      </c>
      <c r="G52" s="5" t="s">
        <v>890</v>
      </c>
      <c r="H52" s="5" t="s">
        <v>1038</v>
      </c>
      <c r="I52" s="5" t="s">
        <v>867</v>
      </c>
      <c r="J52" s="5" t="s">
        <v>1031</v>
      </c>
      <c r="K52" s="12" t="s">
        <v>321</v>
      </c>
      <c r="L52" s="12"/>
      <c r="M52" s="12"/>
      <c r="N52" s="12"/>
      <c r="O52" s="12"/>
      <c r="P52" s="12"/>
    </row>
    <row r="53" ht="46" customHeight="1" spans="1:16">
      <c r="A53" s="5" t="s">
        <v>1039</v>
      </c>
      <c r="B53" s="17" t="s">
        <v>231</v>
      </c>
      <c r="C53" s="18" t="s">
        <v>403</v>
      </c>
      <c r="D53" s="19" t="s">
        <v>1036</v>
      </c>
      <c r="E53" s="5" t="s">
        <v>1040</v>
      </c>
      <c r="F53" s="5" t="s">
        <v>946</v>
      </c>
      <c r="G53" s="5" t="s">
        <v>890</v>
      </c>
      <c r="H53" s="5" t="s">
        <v>1041</v>
      </c>
      <c r="I53" s="5" t="s">
        <v>867</v>
      </c>
      <c r="J53" s="5" t="s">
        <v>1031</v>
      </c>
      <c r="K53" s="12" t="s">
        <v>321</v>
      </c>
      <c r="L53" s="12"/>
      <c r="M53" s="12"/>
      <c r="N53" s="12"/>
      <c r="O53" s="12"/>
      <c r="P53" s="12"/>
    </row>
    <row r="54" ht="46" customHeight="1" spans="1:16">
      <c r="A54" s="5" t="s">
        <v>1042</v>
      </c>
      <c r="B54" s="17" t="s">
        <v>231</v>
      </c>
      <c r="C54" s="18" t="s">
        <v>403</v>
      </c>
      <c r="D54" s="19" t="s">
        <v>1036</v>
      </c>
      <c r="E54" s="5" t="s">
        <v>1043</v>
      </c>
      <c r="F54" s="5" t="s">
        <v>1044</v>
      </c>
      <c r="G54" s="5" t="s">
        <v>890</v>
      </c>
      <c r="H54" s="5" t="s">
        <v>1045</v>
      </c>
      <c r="I54" s="5" t="s">
        <v>867</v>
      </c>
      <c r="J54" s="5" t="s">
        <v>1031</v>
      </c>
      <c r="K54" s="12" t="s">
        <v>321</v>
      </c>
      <c r="L54" s="12"/>
      <c r="M54" s="12"/>
      <c r="N54" s="12"/>
      <c r="O54" s="12"/>
      <c r="P54" s="12"/>
    </row>
    <row r="55" ht="46" customHeight="1" spans="1:16">
      <c r="A55" s="5" t="s">
        <v>1046</v>
      </c>
      <c r="B55" s="17" t="s">
        <v>231</v>
      </c>
      <c r="C55" s="18" t="s">
        <v>403</v>
      </c>
      <c r="D55" s="19" t="s">
        <v>1036</v>
      </c>
      <c r="E55" s="5" t="s">
        <v>1047</v>
      </c>
      <c r="F55" s="5" t="s">
        <v>880</v>
      </c>
      <c r="G55" s="5" t="s">
        <v>890</v>
      </c>
      <c r="H55" s="5" t="s">
        <v>1048</v>
      </c>
      <c r="I55" s="5" t="s">
        <v>867</v>
      </c>
      <c r="J55" s="5" t="s">
        <v>1031</v>
      </c>
      <c r="K55" s="12" t="s">
        <v>321</v>
      </c>
      <c r="L55" s="12"/>
      <c r="M55" s="12"/>
      <c r="N55" s="12"/>
      <c r="O55" s="12"/>
      <c r="P55" s="12"/>
    </row>
    <row r="56" ht="46" customHeight="1" spans="1:16">
      <c r="A56" s="5" t="s">
        <v>1049</v>
      </c>
      <c r="B56" s="17" t="s">
        <v>231</v>
      </c>
      <c r="C56" s="18" t="s">
        <v>403</v>
      </c>
      <c r="D56" s="19" t="s">
        <v>1050</v>
      </c>
      <c r="E56" s="5" t="s">
        <v>1051</v>
      </c>
      <c r="F56" s="5" t="s">
        <v>910</v>
      </c>
      <c r="G56" s="5" t="s">
        <v>890</v>
      </c>
      <c r="H56" s="5" t="s">
        <v>1052</v>
      </c>
      <c r="I56" s="5" t="s">
        <v>867</v>
      </c>
      <c r="J56" s="5" t="s">
        <v>1031</v>
      </c>
      <c r="K56" s="12" t="s">
        <v>321</v>
      </c>
      <c r="L56" s="12"/>
      <c r="M56" s="12"/>
      <c r="N56" s="12"/>
      <c r="O56" s="12"/>
      <c r="P56" s="12"/>
    </row>
    <row r="57" ht="46" customHeight="1" spans="1:16">
      <c r="A57" s="5" t="s">
        <v>1053</v>
      </c>
      <c r="B57" s="17" t="s">
        <v>231</v>
      </c>
      <c r="C57" s="18" t="s">
        <v>403</v>
      </c>
      <c r="D57" s="19" t="s">
        <v>1050</v>
      </c>
      <c r="E57" s="5" t="s">
        <v>1054</v>
      </c>
      <c r="F57" s="5" t="s">
        <v>864</v>
      </c>
      <c r="G57" s="5" t="s">
        <v>890</v>
      </c>
      <c r="H57" s="5" t="s">
        <v>1055</v>
      </c>
      <c r="I57" s="5" t="s">
        <v>867</v>
      </c>
      <c r="J57" s="5" t="s">
        <v>1031</v>
      </c>
      <c r="K57" s="12" t="s">
        <v>321</v>
      </c>
      <c r="L57" s="12"/>
      <c r="M57" s="12"/>
      <c r="N57" s="12"/>
      <c r="O57" s="12"/>
      <c r="P57" s="12"/>
    </row>
    <row r="58" ht="46" customHeight="1" spans="1:16">
      <c r="A58" s="5" t="s">
        <v>1056</v>
      </c>
      <c r="B58" s="17" t="s">
        <v>231</v>
      </c>
      <c r="C58" s="18" t="s">
        <v>403</v>
      </c>
      <c r="D58" s="19" t="s">
        <v>1050</v>
      </c>
      <c r="E58" s="5" t="s">
        <v>1057</v>
      </c>
      <c r="F58" s="5" t="s">
        <v>921</v>
      </c>
      <c r="G58" s="5" t="s">
        <v>865</v>
      </c>
      <c r="H58" s="5" t="s">
        <v>1058</v>
      </c>
      <c r="I58" s="5" t="s">
        <v>867</v>
      </c>
      <c r="J58" s="5" t="s">
        <v>1031</v>
      </c>
      <c r="K58" s="12" t="s">
        <v>321</v>
      </c>
      <c r="L58" s="12"/>
      <c r="M58" s="12"/>
      <c r="N58" s="12"/>
      <c r="O58" s="12"/>
      <c r="P58" s="12"/>
    </row>
    <row r="59" ht="46" customHeight="1" spans="1:16">
      <c r="A59" s="5" t="s">
        <v>1059</v>
      </c>
      <c r="B59" s="17" t="s">
        <v>231</v>
      </c>
      <c r="C59" s="18" t="s">
        <v>403</v>
      </c>
      <c r="D59" s="5" t="s">
        <v>885</v>
      </c>
      <c r="E59" s="5" t="s">
        <v>1060</v>
      </c>
      <c r="F59" s="5" t="s">
        <v>885</v>
      </c>
      <c r="G59" s="5" t="s">
        <v>865</v>
      </c>
      <c r="H59" s="5" t="s">
        <v>1061</v>
      </c>
      <c r="I59" s="5" t="s">
        <v>867</v>
      </c>
      <c r="J59" s="5" t="s">
        <v>1031</v>
      </c>
      <c r="K59" s="12" t="s">
        <v>321</v>
      </c>
      <c r="L59" s="12"/>
      <c r="M59" s="12"/>
      <c r="N59" s="12"/>
      <c r="O59" s="12"/>
      <c r="P59" s="12"/>
    </row>
    <row r="60" ht="46" customHeight="1" spans="1:16">
      <c r="A60" s="5" t="s">
        <v>1062</v>
      </c>
      <c r="B60" s="17" t="s">
        <v>231</v>
      </c>
      <c r="C60" s="18" t="s">
        <v>456</v>
      </c>
      <c r="D60" s="19" t="s">
        <v>1063</v>
      </c>
      <c r="E60" s="5" t="s">
        <v>935</v>
      </c>
      <c r="F60" s="5" t="s">
        <v>872</v>
      </c>
      <c r="G60" s="5" t="s">
        <v>890</v>
      </c>
      <c r="H60" s="5" t="s">
        <v>1064</v>
      </c>
      <c r="I60" s="5" t="s">
        <v>867</v>
      </c>
      <c r="J60" s="5" t="s">
        <v>451</v>
      </c>
      <c r="K60" s="12" t="s">
        <v>321</v>
      </c>
      <c r="L60" s="12"/>
      <c r="M60" s="12"/>
      <c r="N60" s="12"/>
      <c r="O60" s="12"/>
      <c r="P60" s="12"/>
    </row>
    <row r="61" ht="46" customHeight="1" spans="1:16">
      <c r="A61" s="5" t="s">
        <v>1065</v>
      </c>
      <c r="B61" s="17" t="s">
        <v>231</v>
      </c>
      <c r="C61" s="18" t="s">
        <v>456</v>
      </c>
      <c r="D61" s="19" t="s">
        <v>1063</v>
      </c>
      <c r="E61" s="5" t="s">
        <v>1066</v>
      </c>
      <c r="F61" s="5" t="s">
        <v>894</v>
      </c>
      <c r="G61" s="5" t="s">
        <v>890</v>
      </c>
      <c r="H61" s="5" t="s">
        <v>1067</v>
      </c>
      <c r="I61" s="5" t="s">
        <v>867</v>
      </c>
      <c r="J61" s="5" t="s">
        <v>451</v>
      </c>
      <c r="K61" s="12" t="s">
        <v>321</v>
      </c>
      <c r="L61" s="12"/>
      <c r="M61" s="12"/>
      <c r="N61" s="12"/>
      <c r="O61" s="12"/>
      <c r="P61" s="12"/>
    </row>
    <row r="62" ht="46" customHeight="1" spans="1:16">
      <c r="A62" s="5" t="s">
        <v>1068</v>
      </c>
      <c r="B62" s="17" t="s">
        <v>231</v>
      </c>
      <c r="C62" s="18" t="s">
        <v>456</v>
      </c>
      <c r="D62" s="19" t="s">
        <v>1063</v>
      </c>
      <c r="E62" s="5" t="s">
        <v>1069</v>
      </c>
      <c r="F62" s="5" t="s">
        <v>901</v>
      </c>
      <c r="G62" s="5" t="s">
        <v>890</v>
      </c>
      <c r="H62" s="5" t="s">
        <v>1070</v>
      </c>
      <c r="I62" s="5" t="s">
        <v>867</v>
      </c>
      <c r="J62" s="5" t="s">
        <v>451</v>
      </c>
      <c r="K62" s="12" t="s">
        <v>321</v>
      </c>
      <c r="L62" s="12"/>
      <c r="M62" s="12"/>
      <c r="N62" s="12"/>
      <c r="O62" s="12"/>
      <c r="P62" s="12"/>
    </row>
    <row r="63" ht="46" customHeight="1" spans="1:16">
      <c r="A63" s="5" t="s">
        <v>1071</v>
      </c>
      <c r="B63" s="17" t="s">
        <v>231</v>
      </c>
      <c r="C63" s="18" t="s">
        <v>456</v>
      </c>
      <c r="D63" s="19" t="s">
        <v>1072</v>
      </c>
      <c r="E63" s="5" t="s">
        <v>1073</v>
      </c>
      <c r="F63" s="5" t="s">
        <v>880</v>
      </c>
      <c r="G63" s="5" t="s">
        <v>890</v>
      </c>
      <c r="H63" s="5" t="s">
        <v>1074</v>
      </c>
      <c r="I63" s="5" t="s">
        <v>867</v>
      </c>
      <c r="J63" s="5" t="s">
        <v>451</v>
      </c>
      <c r="K63" s="12" t="s">
        <v>321</v>
      </c>
      <c r="L63" s="12"/>
      <c r="M63" s="12"/>
      <c r="N63" s="12"/>
      <c r="O63" s="12"/>
      <c r="P63" s="12"/>
    </row>
    <row r="64" ht="46" customHeight="1" spans="1:16">
      <c r="A64" s="5" t="s">
        <v>1075</v>
      </c>
      <c r="B64" s="17" t="s">
        <v>231</v>
      </c>
      <c r="C64" s="18" t="s">
        <v>456</v>
      </c>
      <c r="D64" s="19" t="s">
        <v>1072</v>
      </c>
      <c r="E64" s="5" t="s">
        <v>1076</v>
      </c>
      <c r="F64" s="5" t="s">
        <v>921</v>
      </c>
      <c r="G64" s="5" t="s">
        <v>1025</v>
      </c>
      <c r="H64" s="5" t="s">
        <v>1077</v>
      </c>
      <c r="I64" s="5" t="s">
        <v>867</v>
      </c>
      <c r="J64" s="5" t="s">
        <v>451</v>
      </c>
      <c r="K64" s="12" t="s">
        <v>321</v>
      </c>
      <c r="L64" s="12"/>
      <c r="M64" s="12"/>
      <c r="N64" s="12"/>
      <c r="O64" s="12"/>
      <c r="P64" s="12"/>
    </row>
    <row r="65" ht="46" customHeight="1" spans="1:16">
      <c r="A65" s="5" t="s">
        <v>1078</v>
      </c>
      <c r="B65" s="17" t="s">
        <v>238</v>
      </c>
      <c r="C65" s="18" t="s">
        <v>448</v>
      </c>
      <c r="D65" s="19" t="s">
        <v>989</v>
      </c>
      <c r="E65" s="5" t="s">
        <v>1079</v>
      </c>
      <c r="F65" s="5" t="s">
        <v>1080</v>
      </c>
      <c r="G65" s="5" t="s">
        <v>890</v>
      </c>
      <c r="H65" s="5" t="s">
        <v>1081</v>
      </c>
      <c r="I65" s="5" t="s">
        <v>867</v>
      </c>
      <c r="J65" s="5" t="s">
        <v>1082</v>
      </c>
      <c r="K65" s="12" t="s">
        <v>321</v>
      </c>
      <c r="L65" s="12"/>
      <c r="M65" s="12"/>
      <c r="N65" s="12"/>
      <c r="O65" s="12"/>
      <c r="P65" s="12"/>
    </row>
    <row r="66" ht="46" customHeight="1" spans="1:16">
      <c r="A66" s="5" t="s">
        <v>1083</v>
      </c>
      <c r="B66" s="17" t="s">
        <v>238</v>
      </c>
      <c r="C66" s="18" t="s">
        <v>448</v>
      </c>
      <c r="D66" s="19" t="s">
        <v>989</v>
      </c>
      <c r="E66" s="5" t="s">
        <v>1084</v>
      </c>
      <c r="F66" s="5" t="s">
        <v>872</v>
      </c>
      <c r="G66" s="5" t="s">
        <v>890</v>
      </c>
      <c r="H66" s="5" t="s">
        <v>1085</v>
      </c>
      <c r="I66" s="5" t="s">
        <v>867</v>
      </c>
      <c r="J66" s="5" t="s">
        <v>1082</v>
      </c>
      <c r="K66" s="12" t="s">
        <v>321</v>
      </c>
      <c r="L66" s="12"/>
      <c r="M66" s="12"/>
      <c r="N66" s="12"/>
      <c r="O66" s="12"/>
      <c r="P66" s="12"/>
    </row>
    <row r="67" ht="46" customHeight="1" spans="1:16">
      <c r="A67" s="5" t="s">
        <v>1086</v>
      </c>
      <c r="B67" s="17" t="s">
        <v>238</v>
      </c>
      <c r="C67" s="18" t="s">
        <v>448</v>
      </c>
      <c r="D67" s="19" t="s">
        <v>989</v>
      </c>
      <c r="E67" s="5" t="s">
        <v>1087</v>
      </c>
      <c r="F67" s="5" t="s">
        <v>880</v>
      </c>
      <c r="G67" s="5" t="s">
        <v>890</v>
      </c>
      <c r="H67" s="5" t="s">
        <v>1088</v>
      </c>
      <c r="I67" s="5" t="s">
        <v>867</v>
      </c>
      <c r="J67" s="5" t="s">
        <v>1082</v>
      </c>
      <c r="K67" s="12" t="s">
        <v>321</v>
      </c>
      <c r="L67" s="12"/>
      <c r="M67" s="12"/>
      <c r="N67" s="12"/>
      <c r="O67" s="12"/>
      <c r="P67" s="12"/>
    </row>
    <row r="68" ht="46" customHeight="1" spans="1:16">
      <c r="A68" s="5" t="s">
        <v>1089</v>
      </c>
      <c r="B68" s="17" t="s">
        <v>238</v>
      </c>
      <c r="C68" s="18" t="s">
        <v>448</v>
      </c>
      <c r="D68" s="5" t="s">
        <v>1090</v>
      </c>
      <c r="E68" s="5" t="s">
        <v>1013</v>
      </c>
      <c r="F68" s="5" t="s">
        <v>1014</v>
      </c>
      <c r="G68" s="5" t="s">
        <v>890</v>
      </c>
      <c r="H68" s="5" t="s">
        <v>1091</v>
      </c>
      <c r="I68" s="5" t="s">
        <v>867</v>
      </c>
      <c r="J68" s="5" t="s">
        <v>1082</v>
      </c>
      <c r="K68" s="12" t="s">
        <v>321</v>
      </c>
      <c r="L68" s="12"/>
      <c r="M68" s="12"/>
      <c r="N68" s="12"/>
      <c r="O68" s="12"/>
      <c r="P68" s="12"/>
    </row>
    <row r="69" ht="46" customHeight="1" spans="1:16">
      <c r="A69" s="5" t="s">
        <v>1092</v>
      </c>
      <c r="B69" s="17" t="s">
        <v>238</v>
      </c>
      <c r="C69" s="18" t="s">
        <v>448</v>
      </c>
      <c r="D69" s="19" t="s">
        <v>1093</v>
      </c>
      <c r="E69" s="5" t="s">
        <v>1094</v>
      </c>
      <c r="F69" s="5" t="s">
        <v>1093</v>
      </c>
      <c r="G69" s="5" t="s">
        <v>1095</v>
      </c>
      <c r="H69" s="5" t="s">
        <v>1096</v>
      </c>
      <c r="I69" s="5" t="s">
        <v>867</v>
      </c>
      <c r="J69" s="5" t="s">
        <v>1082</v>
      </c>
      <c r="K69" s="12" t="s">
        <v>321</v>
      </c>
      <c r="L69" s="12"/>
      <c r="M69" s="12"/>
      <c r="N69" s="12"/>
      <c r="O69" s="12"/>
      <c r="P69" s="12"/>
    </row>
    <row r="70" ht="46" customHeight="1" spans="1:16">
      <c r="A70" s="5" t="s">
        <v>1097</v>
      </c>
      <c r="B70" s="17" t="s">
        <v>238</v>
      </c>
      <c r="C70" s="18" t="s">
        <v>448</v>
      </c>
      <c r="D70" s="19" t="s">
        <v>1093</v>
      </c>
      <c r="E70" s="5" t="s">
        <v>1098</v>
      </c>
      <c r="F70" s="5" t="s">
        <v>901</v>
      </c>
      <c r="G70" s="5" t="s">
        <v>1095</v>
      </c>
      <c r="H70" s="5" t="s">
        <v>1099</v>
      </c>
      <c r="I70" s="5" t="s">
        <v>867</v>
      </c>
      <c r="J70" s="5" t="s">
        <v>1082</v>
      </c>
      <c r="K70" s="12" t="s">
        <v>321</v>
      </c>
      <c r="L70" s="12"/>
      <c r="M70" s="12"/>
      <c r="N70" s="12"/>
      <c r="O70" s="12"/>
      <c r="P70" s="12"/>
    </row>
    <row r="71" ht="46" customHeight="1" spans="1:16">
      <c r="A71" s="5" t="s">
        <v>1100</v>
      </c>
      <c r="B71" s="17" t="s">
        <v>238</v>
      </c>
      <c r="C71" s="18" t="s">
        <v>479</v>
      </c>
      <c r="D71" s="19" t="s">
        <v>1101</v>
      </c>
      <c r="E71" s="5" t="s">
        <v>1102</v>
      </c>
      <c r="F71" s="5" t="s">
        <v>901</v>
      </c>
      <c r="G71" s="5" t="s">
        <v>890</v>
      </c>
      <c r="H71" s="5" t="s">
        <v>1103</v>
      </c>
      <c r="I71" s="5" t="s">
        <v>867</v>
      </c>
      <c r="J71" s="5" t="s">
        <v>1104</v>
      </c>
      <c r="K71" s="12" t="s">
        <v>321</v>
      </c>
      <c r="L71" s="12"/>
      <c r="M71" s="12"/>
      <c r="N71" s="12"/>
      <c r="O71" s="12"/>
      <c r="P71" s="12"/>
    </row>
    <row r="72" ht="46" customHeight="1" spans="1:16">
      <c r="A72" s="5" t="s">
        <v>1105</v>
      </c>
      <c r="B72" s="17" t="s">
        <v>238</v>
      </c>
      <c r="C72" s="18" t="s">
        <v>479</v>
      </c>
      <c r="D72" s="19" t="s">
        <v>1101</v>
      </c>
      <c r="E72" s="5" t="s">
        <v>1106</v>
      </c>
      <c r="F72" s="5" t="s">
        <v>872</v>
      </c>
      <c r="G72" s="5" t="s">
        <v>865</v>
      </c>
      <c r="H72" s="5" t="s">
        <v>1107</v>
      </c>
      <c r="I72" s="5" t="s">
        <v>867</v>
      </c>
      <c r="J72" s="5" t="s">
        <v>1104</v>
      </c>
      <c r="K72" s="12" t="s">
        <v>321</v>
      </c>
      <c r="L72" s="12"/>
      <c r="M72" s="12"/>
      <c r="N72" s="12"/>
      <c r="O72" s="12"/>
      <c r="P72" s="12"/>
    </row>
    <row r="73" ht="46" customHeight="1" spans="1:16">
      <c r="A73" s="5" t="s">
        <v>1108</v>
      </c>
      <c r="B73" s="17" t="s">
        <v>238</v>
      </c>
      <c r="C73" s="18" t="s">
        <v>479</v>
      </c>
      <c r="D73" s="19" t="s">
        <v>1109</v>
      </c>
      <c r="E73" s="5" t="s">
        <v>1110</v>
      </c>
      <c r="F73" s="5" t="s">
        <v>872</v>
      </c>
      <c r="G73" s="5" t="s">
        <v>1095</v>
      </c>
      <c r="H73" s="5" t="s">
        <v>1111</v>
      </c>
      <c r="I73" s="5" t="s">
        <v>867</v>
      </c>
      <c r="J73" s="5" t="s">
        <v>1104</v>
      </c>
      <c r="K73" s="12" t="s">
        <v>321</v>
      </c>
      <c r="L73" s="12"/>
      <c r="M73" s="12"/>
      <c r="N73" s="12"/>
      <c r="O73" s="12"/>
      <c r="P73" s="12"/>
    </row>
    <row r="74" ht="46" customHeight="1" spans="1:16">
      <c r="A74" s="5" t="s">
        <v>1112</v>
      </c>
      <c r="B74" s="17" t="s">
        <v>238</v>
      </c>
      <c r="C74" s="18" t="s">
        <v>479</v>
      </c>
      <c r="D74" s="19" t="s">
        <v>1109</v>
      </c>
      <c r="E74" s="5" t="s">
        <v>1113</v>
      </c>
      <c r="F74" s="5" t="s">
        <v>872</v>
      </c>
      <c r="G74" s="5" t="s">
        <v>865</v>
      </c>
      <c r="H74" s="5" t="s">
        <v>1114</v>
      </c>
      <c r="I74" s="5" t="s">
        <v>867</v>
      </c>
      <c r="J74" s="5" t="s">
        <v>1104</v>
      </c>
      <c r="K74" s="12" t="s">
        <v>321</v>
      </c>
      <c r="L74" s="12"/>
      <c r="M74" s="12"/>
      <c r="N74" s="12"/>
      <c r="O74" s="12"/>
      <c r="P74" s="12"/>
    </row>
    <row r="75" ht="46" customHeight="1" spans="1:16">
      <c r="A75" s="5" t="s">
        <v>1115</v>
      </c>
      <c r="B75" s="17" t="s">
        <v>238</v>
      </c>
      <c r="C75" s="18" t="s">
        <v>479</v>
      </c>
      <c r="D75" s="19" t="s">
        <v>1109</v>
      </c>
      <c r="E75" s="5" t="s">
        <v>1116</v>
      </c>
      <c r="F75" s="5" t="s">
        <v>921</v>
      </c>
      <c r="G75" s="5" t="s">
        <v>890</v>
      </c>
      <c r="H75" s="5" t="s">
        <v>1117</v>
      </c>
      <c r="I75" s="5" t="s">
        <v>867</v>
      </c>
      <c r="J75" s="5" t="s">
        <v>1104</v>
      </c>
      <c r="K75" s="12" t="s">
        <v>321</v>
      </c>
      <c r="L75" s="12"/>
      <c r="M75" s="12"/>
      <c r="N75" s="12"/>
      <c r="O75" s="12"/>
      <c r="P75" s="12"/>
    </row>
    <row r="76" ht="46" customHeight="1" spans="1:16">
      <c r="A76" s="5" t="s">
        <v>1118</v>
      </c>
      <c r="B76" s="17" t="s">
        <v>238</v>
      </c>
      <c r="C76" s="18" t="s">
        <v>479</v>
      </c>
      <c r="D76" s="19" t="s">
        <v>1109</v>
      </c>
      <c r="E76" s="5" t="s">
        <v>1119</v>
      </c>
      <c r="F76" s="5" t="s">
        <v>921</v>
      </c>
      <c r="G76" s="5" t="s">
        <v>890</v>
      </c>
      <c r="H76" s="5" t="s">
        <v>1120</v>
      </c>
      <c r="I76" s="5" t="s">
        <v>867</v>
      </c>
      <c r="J76" s="5" t="s">
        <v>1104</v>
      </c>
      <c r="K76" s="12" t="s">
        <v>321</v>
      </c>
      <c r="L76" s="12"/>
      <c r="M76" s="12"/>
      <c r="N76" s="12"/>
      <c r="O76" s="12"/>
      <c r="P76" s="12"/>
    </row>
    <row r="77" ht="46" customHeight="1" spans="1:16">
      <c r="A77" s="5" t="s">
        <v>1121</v>
      </c>
      <c r="B77" s="17" t="s">
        <v>238</v>
      </c>
      <c r="C77" s="18" t="s">
        <v>479</v>
      </c>
      <c r="D77" s="19" t="s">
        <v>1109</v>
      </c>
      <c r="E77" s="5" t="s">
        <v>1122</v>
      </c>
      <c r="F77" s="5" t="s">
        <v>921</v>
      </c>
      <c r="G77" s="5" t="s">
        <v>865</v>
      </c>
      <c r="H77" s="5" t="s">
        <v>1123</v>
      </c>
      <c r="I77" s="5" t="s">
        <v>867</v>
      </c>
      <c r="J77" s="5" t="s">
        <v>1104</v>
      </c>
      <c r="K77" s="12" t="s">
        <v>321</v>
      </c>
      <c r="L77" s="12"/>
      <c r="M77" s="12"/>
      <c r="N77" s="12"/>
      <c r="O77" s="12"/>
      <c r="P77" s="12"/>
    </row>
    <row r="78" ht="46" customHeight="1" spans="1:16">
      <c r="A78" s="5" t="s">
        <v>1124</v>
      </c>
      <c r="B78" s="17" t="s">
        <v>238</v>
      </c>
      <c r="C78" s="18" t="s">
        <v>479</v>
      </c>
      <c r="D78" s="19" t="s">
        <v>1125</v>
      </c>
      <c r="E78" s="5" t="s">
        <v>1126</v>
      </c>
      <c r="F78" s="5" t="s">
        <v>1127</v>
      </c>
      <c r="G78" s="5" t="s">
        <v>1025</v>
      </c>
      <c r="H78" s="5" t="s">
        <v>1128</v>
      </c>
      <c r="I78" s="5" t="s">
        <v>867</v>
      </c>
      <c r="J78" s="5" t="s">
        <v>1104</v>
      </c>
      <c r="K78" s="12" t="s">
        <v>321</v>
      </c>
      <c r="L78" s="12"/>
      <c r="M78" s="12"/>
      <c r="N78" s="12"/>
      <c r="O78" s="12"/>
      <c r="P78" s="12"/>
    </row>
    <row r="79" ht="46" customHeight="1" spans="1:16">
      <c r="A79" s="5" t="s">
        <v>1129</v>
      </c>
      <c r="B79" s="17" t="s">
        <v>238</v>
      </c>
      <c r="C79" s="18" t="s">
        <v>479</v>
      </c>
      <c r="D79" s="19" t="s">
        <v>1125</v>
      </c>
      <c r="E79" s="5" t="s">
        <v>1130</v>
      </c>
      <c r="F79" s="5" t="s">
        <v>1127</v>
      </c>
      <c r="G79" s="5" t="s">
        <v>1025</v>
      </c>
      <c r="H79" s="5" t="s">
        <v>1128</v>
      </c>
      <c r="I79" s="5" t="s">
        <v>867</v>
      </c>
      <c r="J79" s="5" t="s">
        <v>1104</v>
      </c>
      <c r="K79" s="12" t="s">
        <v>321</v>
      </c>
      <c r="L79" s="12"/>
      <c r="M79" s="12"/>
      <c r="N79" s="12"/>
      <c r="O79" s="12"/>
      <c r="P79" s="12"/>
    </row>
    <row r="80" ht="46" customHeight="1" spans="1:16">
      <c r="A80" s="5" t="s">
        <v>1131</v>
      </c>
      <c r="B80" s="17" t="s">
        <v>238</v>
      </c>
      <c r="C80" s="18" t="s">
        <v>479</v>
      </c>
      <c r="D80" s="5" t="s">
        <v>1132</v>
      </c>
      <c r="E80" s="5" t="s">
        <v>1133</v>
      </c>
      <c r="F80" s="5" t="s">
        <v>1134</v>
      </c>
      <c r="G80" s="5" t="s">
        <v>865</v>
      </c>
      <c r="H80" s="5" t="s">
        <v>1135</v>
      </c>
      <c r="I80" s="5" t="s">
        <v>867</v>
      </c>
      <c r="J80" s="5" t="s">
        <v>1104</v>
      </c>
      <c r="K80" s="12" t="s">
        <v>321</v>
      </c>
      <c r="L80" s="12"/>
      <c r="M80" s="12"/>
      <c r="N80" s="12"/>
      <c r="O80" s="12"/>
      <c r="P80" s="12"/>
    </row>
    <row r="81" ht="46" customHeight="1" spans="1:16">
      <c r="A81" s="5" t="s">
        <v>1136</v>
      </c>
      <c r="B81" s="17" t="s">
        <v>238</v>
      </c>
      <c r="C81" s="18" t="s">
        <v>479</v>
      </c>
      <c r="D81" s="5" t="s">
        <v>1137</v>
      </c>
      <c r="E81" s="5" t="s">
        <v>1138</v>
      </c>
      <c r="F81" s="5" t="s">
        <v>905</v>
      </c>
      <c r="G81" s="5" t="s">
        <v>890</v>
      </c>
      <c r="H81" s="5" t="s">
        <v>1139</v>
      </c>
      <c r="I81" s="5" t="s">
        <v>867</v>
      </c>
      <c r="J81" s="5" t="s">
        <v>1104</v>
      </c>
      <c r="K81" s="12" t="s">
        <v>321</v>
      </c>
      <c r="L81" s="12"/>
      <c r="M81" s="12"/>
      <c r="N81" s="12"/>
      <c r="O81" s="12"/>
      <c r="P81" s="12"/>
    </row>
    <row r="82" ht="46" customHeight="1" spans="1:16">
      <c r="A82" s="5" t="s">
        <v>1140</v>
      </c>
      <c r="B82" s="17" t="s">
        <v>238</v>
      </c>
      <c r="C82" s="18" t="s">
        <v>479</v>
      </c>
      <c r="D82" s="5" t="s">
        <v>963</v>
      </c>
      <c r="E82" s="5" t="s">
        <v>1141</v>
      </c>
      <c r="F82" s="5" t="s">
        <v>963</v>
      </c>
      <c r="G82" s="5" t="s">
        <v>865</v>
      </c>
      <c r="H82" s="5" t="s">
        <v>1142</v>
      </c>
      <c r="I82" s="5" t="s">
        <v>867</v>
      </c>
      <c r="J82" s="5" t="s">
        <v>1104</v>
      </c>
      <c r="K82" s="12" t="s">
        <v>321</v>
      </c>
      <c r="L82" s="12"/>
      <c r="M82" s="12"/>
      <c r="N82" s="12"/>
      <c r="O82" s="12"/>
      <c r="P82" s="12"/>
    </row>
    <row r="83" ht="46" customHeight="1" spans="1:16">
      <c r="A83" s="5" t="s">
        <v>1143</v>
      </c>
      <c r="B83" s="17" t="s">
        <v>238</v>
      </c>
      <c r="C83" s="18" t="s">
        <v>501</v>
      </c>
      <c r="D83" s="19" t="s">
        <v>1144</v>
      </c>
      <c r="E83" s="5" t="s">
        <v>1145</v>
      </c>
      <c r="F83" s="5" t="s">
        <v>872</v>
      </c>
      <c r="G83" s="5" t="s">
        <v>1095</v>
      </c>
      <c r="H83" s="5" t="s">
        <v>1146</v>
      </c>
      <c r="I83" s="5" t="s">
        <v>867</v>
      </c>
      <c r="J83" s="5" t="s">
        <v>1147</v>
      </c>
      <c r="K83" s="12" t="s">
        <v>321</v>
      </c>
      <c r="L83" s="12"/>
      <c r="M83" s="12"/>
      <c r="N83" s="12"/>
      <c r="O83" s="12"/>
      <c r="P83" s="12"/>
    </row>
    <row r="84" ht="46" customHeight="1" spans="1:16">
      <c r="A84" s="5" t="s">
        <v>1148</v>
      </c>
      <c r="B84" s="17" t="s">
        <v>238</v>
      </c>
      <c r="C84" s="18" t="s">
        <v>501</v>
      </c>
      <c r="D84" s="19" t="s">
        <v>1144</v>
      </c>
      <c r="E84" s="5" t="s">
        <v>1149</v>
      </c>
      <c r="F84" s="5" t="s">
        <v>921</v>
      </c>
      <c r="G84" s="5" t="s">
        <v>890</v>
      </c>
      <c r="H84" s="5" t="s">
        <v>1150</v>
      </c>
      <c r="I84" s="5" t="s">
        <v>867</v>
      </c>
      <c r="J84" s="5" t="s">
        <v>1147</v>
      </c>
      <c r="K84" s="12" t="s">
        <v>321</v>
      </c>
      <c r="L84" s="12"/>
      <c r="M84" s="12"/>
      <c r="N84" s="12"/>
      <c r="O84" s="12"/>
      <c r="P84" s="12"/>
    </row>
    <row r="85" ht="46" customHeight="1" spans="1:16">
      <c r="A85" s="5" t="s">
        <v>1151</v>
      </c>
      <c r="B85" s="17" t="s">
        <v>238</v>
      </c>
      <c r="C85" s="18" t="s">
        <v>501</v>
      </c>
      <c r="D85" s="5" t="s">
        <v>1152</v>
      </c>
      <c r="E85" s="5" t="s">
        <v>1153</v>
      </c>
      <c r="F85" s="5" t="s">
        <v>1154</v>
      </c>
      <c r="G85" s="5" t="s">
        <v>865</v>
      </c>
      <c r="H85" s="5" t="s">
        <v>1155</v>
      </c>
      <c r="I85" s="5" t="s">
        <v>867</v>
      </c>
      <c r="J85" s="5" t="s">
        <v>1147</v>
      </c>
      <c r="K85" s="12" t="s">
        <v>321</v>
      </c>
      <c r="L85" s="12"/>
      <c r="M85" s="12"/>
      <c r="N85" s="12"/>
      <c r="O85" s="12"/>
      <c r="P85" s="12"/>
    </row>
    <row r="86" ht="46" customHeight="1" spans="1:16">
      <c r="A86" s="5" t="s">
        <v>1156</v>
      </c>
      <c r="B86" s="17" t="s">
        <v>238</v>
      </c>
      <c r="C86" s="18" t="s">
        <v>501</v>
      </c>
      <c r="D86" s="19" t="s">
        <v>1157</v>
      </c>
      <c r="E86" s="5" t="s">
        <v>1158</v>
      </c>
      <c r="F86" s="5" t="s">
        <v>1159</v>
      </c>
      <c r="G86" s="5" t="s">
        <v>865</v>
      </c>
      <c r="H86" s="5" t="s">
        <v>1160</v>
      </c>
      <c r="I86" s="5" t="s">
        <v>867</v>
      </c>
      <c r="J86" s="5" t="s">
        <v>1147</v>
      </c>
      <c r="K86" s="12" t="s">
        <v>321</v>
      </c>
      <c r="L86" s="12"/>
      <c r="M86" s="12"/>
      <c r="N86" s="12"/>
      <c r="O86" s="12"/>
      <c r="P86" s="12"/>
    </row>
    <row r="87" ht="46" customHeight="1" spans="1:16">
      <c r="A87" s="5" t="s">
        <v>1161</v>
      </c>
      <c r="B87" s="17" t="s">
        <v>238</v>
      </c>
      <c r="C87" s="18" t="s">
        <v>501</v>
      </c>
      <c r="D87" s="19" t="s">
        <v>1157</v>
      </c>
      <c r="E87" s="5" t="s">
        <v>1162</v>
      </c>
      <c r="F87" s="5" t="s">
        <v>1163</v>
      </c>
      <c r="G87" s="5" t="s">
        <v>1095</v>
      </c>
      <c r="H87" s="5" t="s">
        <v>1164</v>
      </c>
      <c r="I87" s="5" t="s">
        <v>867</v>
      </c>
      <c r="J87" s="5" t="s">
        <v>1147</v>
      </c>
      <c r="K87" s="12" t="s">
        <v>321</v>
      </c>
      <c r="L87" s="12"/>
      <c r="M87" s="12"/>
      <c r="N87" s="12"/>
      <c r="O87" s="12"/>
      <c r="P87" s="12"/>
    </row>
    <row r="88" ht="46" customHeight="1" spans="1:16">
      <c r="A88" s="5" t="s">
        <v>1165</v>
      </c>
      <c r="B88" s="17" t="s">
        <v>238</v>
      </c>
      <c r="C88" s="18" t="s">
        <v>501</v>
      </c>
      <c r="D88" s="19" t="s">
        <v>1157</v>
      </c>
      <c r="E88" s="5" t="s">
        <v>1166</v>
      </c>
      <c r="F88" s="5" t="s">
        <v>905</v>
      </c>
      <c r="G88" s="5" t="s">
        <v>865</v>
      </c>
      <c r="H88" s="5" t="s">
        <v>1167</v>
      </c>
      <c r="I88" s="5" t="s">
        <v>867</v>
      </c>
      <c r="J88" s="5" t="s">
        <v>1147</v>
      </c>
      <c r="K88" s="12" t="s">
        <v>321</v>
      </c>
      <c r="L88" s="12"/>
      <c r="M88" s="12"/>
      <c r="N88" s="12"/>
      <c r="O88" s="12"/>
      <c r="P88" s="12"/>
    </row>
    <row r="89" ht="46" customHeight="1" spans="1:16">
      <c r="A89" s="5" t="s">
        <v>1168</v>
      </c>
      <c r="B89" s="17" t="s">
        <v>238</v>
      </c>
      <c r="C89" s="18" t="s">
        <v>501</v>
      </c>
      <c r="D89" s="5" t="s">
        <v>963</v>
      </c>
      <c r="E89" s="5" t="s">
        <v>1169</v>
      </c>
      <c r="F89" s="5" t="s">
        <v>1127</v>
      </c>
      <c r="G89" s="5" t="s">
        <v>1095</v>
      </c>
      <c r="H89" s="5" t="s">
        <v>1170</v>
      </c>
      <c r="I89" s="5" t="s">
        <v>867</v>
      </c>
      <c r="J89" s="5" t="s">
        <v>1147</v>
      </c>
      <c r="K89" s="12" t="s">
        <v>321</v>
      </c>
      <c r="L89" s="12"/>
      <c r="M89" s="12"/>
      <c r="N89" s="12"/>
      <c r="O89" s="12"/>
      <c r="P89" s="12"/>
    </row>
    <row r="90" ht="46" customHeight="1" spans="1:16">
      <c r="A90" s="5" t="s">
        <v>1171</v>
      </c>
      <c r="B90" s="17" t="s">
        <v>238</v>
      </c>
      <c r="C90" s="18" t="s">
        <v>501</v>
      </c>
      <c r="D90" s="5" t="s">
        <v>1172</v>
      </c>
      <c r="E90" s="5" t="s">
        <v>1173</v>
      </c>
      <c r="F90" s="5" t="s">
        <v>921</v>
      </c>
      <c r="G90" s="5" t="s">
        <v>865</v>
      </c>
      <c r="H90" s="5" t="s">
        <v>1174</v>
      </c>
      <c r="I90" s="5" t="s">
        <v>867</v>
      </c>
      <c r="J90" s="5" t="s">
        <v>1147</v>
      </c>
      <c r="K90" s="12" t="s">
        <v>321</v>
      </c>
      <c r="L90" s="12"/>
      <c r="M90" s="12"/>
      <c r="N90" s="12"/>
      <c r="O90" s="12"/>
      <c r="P90" s="12"/>
    </row>
    <row r="91" ht="46" customHeight="1" spans="1:16">
      <c r="A91" s="5" t="s">
        <v>1175</v>
      </c>
      <c r="B91" s="17" t="s">
        <v>247</v>
      </c>
      <c r="C91" s="18" t="s">
        <v>526</v>
      </c>
      <c r="D91" s="19" t="s">
        <v>972</v>
      </c>
      <c r="E91" s="5" t="s">
        <v>1176</v>
      </c>
      <c r="F91" s="5" t="s">
        <v>880</v>
      </c>
      <c r="G91" s="5" t="s">
        <v>865</v>
      </c>
      <c r="H91" s="5" t="s">
        <v>1177</v>
      </c>
      <c r="I91" s="5" t="s">
        <v>867</v>
      </c>
      <c r="J91" s="5" t="s">
        <v>1178</v>
      </c>
      <c r="K91" s="12" t="s">
        <v>321</v>
      </c>
      <c r="L91" s="12"/>
      <c r="M91" s="12"/>
      <c r="N91" s="12"/>
      <c r="O91" s="12"/>
      <c r="P91" s="12"/>
    </row>
    <row r="92" ht="46" customHeight="1" spans="1:16">
      <c r="A92" s="5" t="s">
        <v>1179</v>
      </c>
      <c r="B92" s="17" t="s">
        <v>247</v>
      </c>
      <c r="C92" s="18" t="s">
        <v>526</v>
      </c>
      <c r="D92" s="19" t="s">
        <v>972</v>
      </c>
      <c r="E92" s="5" t="s">
        <v>1180</v>
      </c>
      <c r="F92" s="5" t="s">
        <v>1181</v>
      </c>
      <c r="G92" s="5" t="s">
        <v>865</v>
      </c>
      <c r="H92" s="5" t="s">
        <v>1182</v>
      </c>
      <c r="I92" s="5" t="s">
        <v>867</v>
      </c>
      <c r="J92" s="5" t="s">
        <v>1178</v>
      </c>
      <c r="K92" s="12" t="s">
        <v>321</v>
      </c>
      <c r="L92" s="12"/>
      <c r="M92" s="12"/>
      <c r="N92" s="12"/>
      <c r="O92" s="12"/>
      <c r="P92" s="12"/>
    </row>
    <row r="93" ht="46" customHeight="1" spans="1:16">
      <c r="A93" s="5" t="s">
        <v>1183</v>
      </c>
      <c r="B93" s="17" t="s">
        <v>247</v>
      </c>
      <c r="C93" s="18" t="s">
        <v>526</v>
      </c>
      <c r="D93" s="19" t="s">
        <v>1109</v>
      </c>
      <c r="E93" s="5" t="s">
        <v>1184</v>
      </c>
      <c r="F93" s="5" t="s">
        <v>872</v>
      </c>
      <c r="G93" s="5" t="s">
        <v>890</v>
      </c>
      <c r="H93" s="5" t="s">
        <v>1185</v>
      </c>
      <c r="I93" s="5" t="s">
        <v>867</v>
      </c>
      <c r="J93" s="5" t="s">
        <v>1178</v>
      </c>
      <c r="K93" s="12" t="s">
        <v>321</v>
      </c>
      <c r="L93" s="12"/>
      <c r="M93" s="12"/>
      <c r="N93" s="12"/>
      <c r="O93" s="12"/>
      <c r="P93" s="12"/>
    </row>
    <row r="94" ht="46" customHeight="1" spans="1:16">
      <c r="A94" s="5" t="s">
        <v>1186</v>
      </c>
      <c r="B94" s="17" t="s">
        <v>247</v>
      </c>
      <c r="C94" s="18" t="s">
        <v>526</v>
      </c>
      <c r="D94" s="19" t="s">
        <v>1109</v>
      </c>
      <c r="E94" s="5" t="s">
        <v>1187</v>
      </c>
      <c r="F94" s="5" t="s">
        <v>1188</v>
      </c>
      <c r="G94" s="5" t="s">
        <v>890</v>
      </c>
      <c r="H94" s="5" t="s">
        <v>1189</v>
      </c>
      <c r="I94" s="5" t="s">
        <v>867</v>
      </c>
      <c r="J94" s="5" t="s">
        <v>1178</v>
      </c>
      <c r="K94" s="12" t="s">
        <v>321</v>
      </c>
      <c r="L94" s="12"/>
      <c r="M94" s="12"/>
      <c r="N94" s="12"/>
      <c r="O94" s="12"/>
      <c r="P94" s="12"/>
    </row>
    <row r="95" ht="46" customHeight="1" spans="1:16">
      <c r="A95" s="5" t="s">
        <v>1190</v>
      </c>
      <c r="B95" s="17" t="s">
        <v>247</v>
      </c>
      <c r="C95" s="18" t="s">
        <v>526</v>
      </c>
      <c r="D95" s="19" t="s">
        <v>1109</v>
      </c>
      <c r="E95" s="5" t="s">
        <v>1191</v>
      </c>
      <c r="F95" s="5" t="s">
        <v>1080</v>
      </c>
      <c r="G95" s="5" t="s">
        <v>890</v>
      </c>
      <c r="H95" s="5" t="s">
        <v>1192</v>
      </c>
      <c r="I95" s="5" t="s">
        <v>867</v>
      </c>
      <c r="J95" s="5" t="s">
        <v>1178</v>
      </c>
      <c r="K95" s="12" t="s">
        <v>321</v>
      </c>
      <c r="L95" s="12"/>
      <c r="M95" s="12"/>
      <c r="N95" s="12"/>
      <c r="O95" s="12"/>
      <c r="P95" s="12"/>
    </row>
    <row r="96" ht="46" customHeight="1" spans="1:16">
      <c r="A96" s="5" t="s">
        <v>1193</v>
      </c>
      <c r="B96" s="17" t="s">
        <v>247</v>
      </c>
      <c r="C96" s="18" t="s">
        <v>526</v>
      </c>
      <c r="D96" s="19" t="s">
        <v>1194</v>
      </c>
      <c r="E96" s="5" t="s">
        <v>1195</v>
      </c>
      <c r="F96" s="5" t="s">
        <v>880</v>
      </c>
      <c r="G96" s="5" t="s">
        <v>890</v>
      </c>
      <c r="H96" s="5" t="s">
        <v>1196</v>
      </c>
      <c r="I96" s="5" t="s">
        <v>867</v>
      </c>
      <c r="J96" s="5" t="s">
        <v>1178</v>
      </c>
      <c r="K96" s="12" t="s">
        <v>321</v>
      </c>
      <c r="L96" s="12"/>
      <c r="M96" s="12"/>
      <c r="N96" s="12"/>
      <c r="O96" s="12"/>
      <c r="P96" s="12"/>
    </row>
    <row r="97" ht="46" customHeight="1" spans="1:16">
      <c r="A97" s="5" t="s">
        <v>1197</v>
      </c>
      <c r="B97" s="17" t="s">
        <v>247</v>
      </c>
      <c r="C97" s="18" t="s">
        <v>526</v>
      </c>
      <c r="D97" s="19" t="s">
        <v>1194</v>
      </c>
      <c r="E97" s="5" t="s">
        <v>1198</v>
      </c>
      <c r="F97" s="5" t="s">
        <v>872</v>
      </c>
      <c r="G97" s="5" t="s">
        <v>890</v>
      </c>
      <c r="H97" s="5" t="s">
        <v>1199</v>
      </c>
      <c r="I97" s="5" t="s">
        <v>867</v>
      </c>
      <c r="J97" s="5" t="s">
        <v>1178</v>
      </c>
      <c r="K97" s="12" t="s">
        <v>321</v>
      </c>
      <c r="L97" s="12"/>
      <c r="M97" s="12"/>
      <c r="N97" s="12"/>
      <c r="O97" s="12"/>
      <c r="P97" s="12"/>
    </row>
    <row r="98" ht="46" customHeight="1" spans="1:16">
      <c r="A98" s="5" t="s">
        <v>1200</v>
      </c>
      <c r="B98" s="17" t="s">
        <v>247</v>
      </c>
      <c r="C98" s="18" t="s">
        <v>526</v>
      </c>
      <c r="D98" s="19" t="s">
        <v>1194</v>
      </c>
      <c r="E98" s="5" t="s">
        <v>1201</v>
      </c>
      <c r="F98" s="5" t="s">
        <v>1202</v>
      </c>
      <c r="G98" s="5" t="s">
        <v>890</v>
      </c>
      <c r="H98" s="5" t="s">
        <v>1203</v>
      </c>
      <c r="I98" s="5" t="s">
        <v>867</v>
      </c>
      <c r="J98" s="5" t="s">
        <v>1178</v>
      </c>
      <c r="K98" s="12" t="s">
        <v>321</v>
      </c>
      <c r="L98" s="12"/>
      <c r="M98" s="12"/>
      <c r="N98" s="12"/>
      <c r="O98" s="12"/>
      <c r="P98" s="12"/>
    </row>
    <row r="99" ht="46" customHeight="1" spans="1:16">
      <c r="A99" s="5" t="s">
        <v>1204</v>
      </c>
      <c r="B99" s="17" t="s">
        <v>254</v>
      </c>
      <c r="C99" s="18" t="s">
        <v>553</v>
      </c>
      <c r="D99" s="19" t="s">
        <v>997</v>
      </c>
      <c r="E99" s="5" t="s">
        <v>1205</v>
      </c>
      <c r="F99" s="5" t="s">
        <v>932</v>
      </c>
      <c r="G99" s="5" t="s">
        <v>890</v>
      </c>
      <c r="H99" s="5" t="s">
        <v>1206</v>
      </c>
      <c r="I99" s="5" t="s">
        <v>867</v>
      </c>
      <c r="J99" s="5" t="s">
        <v>1207</v>
      </c>
      <c r="K99" s="12" t="s">
        <v>321</v>
      </c>
      <c r="L99" s="12"/>
      <c r="M99" s="12"/>
      <c r="N99" s="12"/>
      <c r="O99" s="12"/>
      <c r="P99" s="12"/>
    </row>
    <row r="100" ht="46" customHeight="1" spans="1:16">
      <c r="A100" s="5" t="s">
        <v>1208</v>
      </c>
      <c r="B100" s="17" t="s">
        <v>254</v>
      </c>
      <c r="C100" s="18" t="s">
        <v>553</v>
      </c>
      <c r="D100" s="19" t="s">
        <v>997</v>
      </c>
      <c r="E100" s="5" t="s">
        <v>1209</v>
      </c>
      <c r="F100" s="5" t="s">
        <v>1210</v>
      </c>
      <c r="G100" s="5" t="s">
        <v>890</v>
      </c>
      <c r="H100" s="5" t="s">
        <v>1211</v>
      </c>
      <c r="I100" s="5" t="s">
        <v>867</v>
      </c>
      <c r="J100" s="5" t="s">
        <v>1207</v>
      </c>
      <c r="K100" s="12" t="s">
        <v>321</v>
      </c>
      <c r="L100" s="12"/>
      <c r="M100" s="12"/>
      <c r="N100" s="12"/>
      <c r="O100" s="12"/>
      <c r="P100" s="12"/>
    </row>
    <row r="101" ht="46" customHeight="1" spans="1:16">
      <c r="A101" s="5" t="s">
        <v>1212</v>
      </c>
      <c r="B101" s="17" t="s">
        <v>254</v>
      </c>
      <c r="C101" s="18" t="s">
        <v>553</v>
      </c>
      <c r="D101" s="5" t="s">
        <v>1188</v>
      </c>
      <c r="E101" s="5" t="s">
        <v>1213</v>
      </c>
      <c r="F101" s="5" t="s">
        <v>910</v>
      </c>
      <c r="G101" s="5" t="s">
        <v>890</v>
      </c>
      <c r="H101" s="5" t="s">
        <v>1214</v>
      </c>
      <c r="I101" s="5" t="s">
        <v>867</v>
      </c>
      <c r="J101" s="5" t="s">
        <v>1207</v>
      </c>
      <c r="K101" s="12" t="s">
        <v>321</v>
      </c>
      <c r="L101" s="12"/>
      <c r="M101" s="12"/>
      <c r="N101" s="12"/>
      <c r="O101" s="12"/>
      <c r="P101" s="12"/>
    </row>
    <row r="102" ht="46" customHeight="1" spans="1:16">
      <c r="A102" s="5" t="s">
        <v>1215</v>
      </c>
      <c r="B102" s="17" t="s">
        <v>254</v>
      </c>
      <c r="C102" s="18" t="s">
        <v>553</v>
      </c>
      <c r="D102" s="5" t="s">
        <v>894</v>
      </c>
      <c r="E102" s="5" t="s">
        <v>1216</v>
      </c>
      <c r="F102" s="5" t="s">
        <v>894</v>
      </c>
      <c r="G102" s="5" t="s">
        <v>890</v>
      </c>
      <c r="H102" s="5" t="s">
        <v>1217</v>
      </c>
      <c r="I102" s="5" t="s">
        <v>867</v>
      </c>
      <c r="J102" s="5" t="s">
        <v>1207</v>
      </c>
      <c r="K102" s="12" t="s">
        <v>321</v>
      </c>
      <c r="L102" s="12"/>
      <c r="M102" s="12"/>
      <c r="N102" s="12"/>
      <c r="O102" s="12"/>
      <c r="P102" s="12"/>
    </row>
    <row r="103" ht="46" customHeight="1" spans="1:16">
      <c r="A103" s="5" t="s">
        <v>1218</v>
      </c>
      <c r="B103" s="17" t="s">
        <v>254</v>
      </c>
      <c r="C103" s="18" t="s">
        <v>553</v>
      </c>
      <c r="D103" s="5" t="s">
        <v>1219</v>
      </c>
      <c r="E103" s="5" t="s">
        <v>1220</v>
      </c>
      <c r="F103" s="5" t="s">
        <v>1219</v>
      </c>
      <c r="G103" s="5" t="s">
        <v>890</v>
      </c>
      <c r="H103" s="5" t="s">
        <v>1221</v>
      </c>
      <c r="I103" s="5" t="s">
        <v>867</v>
      </c>
      <c r="J103" s="5" t="s">
        <v>1207</v>
      </c>
      <c r="K103" s="12" t="s">
        <v>321</v>
      </c>
      <c r="L103" s="12"/>
      <c r="M103" s="12"/>
      <c r="N103" s="12"/>
      <c r="O103" s="12"/>
      <c r="P103" s="12"/>
    </row>
    <row r="104" ht="46" customHeight="1" spans="1:16">
      <c r="A104" s="5" t="s">
        <v>1222</v>
      </c>
      <c r="B104" s="17" t="s">
        <v>254</v>
      </c>
      <c r="C104" s="18" t="s">
        <v>553</v>
      </c>
      <c r="D104" s="5" t="s">
        <v>1223</v>
      </c>
      <c r="E104" s="5" t="s">
        <v>1224</v>
      </c>
      <c r="F104" s="5" t="s">
        <v>1154</v>
      </c>
      <c r="G104" s="5" t="s">
        <v>890</v>
      </c>
      <c r="H104" s="5" t="s">
        <v>1225</v>
      </c>
      <c r="I104" s="5" t="s">
        <v>867</v>
      </c>
      <c r="J104" s="5" t="s">
        <v>1207</v>
      </c>
      <c r="K104" s="12" t="s">
        <v>321</v>
      </c>
      <c r="L104" s="12"/>
      <c r="M104" s="12"/>
      <c r="N104" s="12"/>
      <c r="O104" s="12"/>
      <c r="P104" s="12"/>
    </row>
    <row r="105" ht="46" customHeight="1" spans="1:16">
      <c r="A105" s="5" t="s">
        <v>1226</v>
      </c>
      <c r="B105" s="17" t="s">
        <v>254</v>
      </c>
      <c r="C105" s="18" t="s">
        <v>553</v>
      </c>
      <c r="D105" s="5" t="s">
        <v>1227</v>
      </c>
      <c r="E105" s="5" t="s">
        <v>1228</v>
      </c>
      <c r="F105" s="5" t="s">
        <v>1044</v>
      </c>
      <c r="G105" s="5" t="s">
        <v>890</v>
      </c>
      <c r="H105" s="5" t="s">
        <v>1229</v>
      </c>
      <c r="I105" s="5" t="s">
        <v>867</v>
      </c>
      <c r="J105" s="5" t="s">
        <v>1207</v>
      </c>
      <c r="K105" s="12" t="s">
        <v>321</v>
      </c>
      <c r="L105" s="12"/>
      <c r="M105" s="12"/>
      <c r="N105" s="12"/>
      <c r="O105" s="12"/>
      <c r="P105" s="12"/>
    </row>
    <row r="106" ht="46" customHeight="1" spans="1:16">
      <c r="A106" s="5" t="s">
        <v>1230</v>
      </c>
      <c r="B106" s="17" t="s">
        <v>254</v>
      </c>
      <c r="C106" s="18" t="s">
        <v>553</v>
      </c>
      <c r="D106" s="5" t="s">
        <v>1231</v>
      </c>
      <c r="E106" s="5" t="s">
        <v>1232</v>
      </c>
      <c r="F106" s="5" t="s">
        <v>1233</v>
      </c>
      <c r="G106" s="5" t="s">
        <v>865</v>
      </c>
      <c r="H106" s="5" t="s">
        <v>1234</v>
      </c>
      <c r="I106" s="5" t="s">
        <v>867</v>
      </c>
      <c r="J106" s="5" t="s">
        <v>1207</v>
      </c>
      <c r="K106" s="12" t="s">
        <v>321</v>
      </c>
      <c r="L106" s="12"/>
      <c r="M106" s="12"/>
      <c r="N106" s="12"/>
      <c r="O106" s="12"/>
      <c r="P106" s="12"/>
    </row>
    <row r="107" ht="46" customHeight="1" spans="1:16">
      <c r="A107" s="5" t="s">
        <v>1235</v>
      </c>
      <c r="B107" s="17" t="s">
        <v>254</v>
      </c>
      <c r="C107" s="18" t="s">
        <v>553</v>
      </c>
      <c r="D107" s="5" t="s">
        <v>976</v>
      </c>
      <c r="E107" s="5" t="s">
        <v>1236</v>
      </c>
      <c r="F107" s="5" t="s">
        <v>880</v>
      </c>
      <c r="G107" s="5" t="s">
        <v>890</v>
      </c>
      <c r="H107" s="5" t="s">
        <v>1237</v>
      </c>
      <c r="I107" s="5" t="s">
        <v>867</v>
      </c>
      <c r="J107" s="5" t="s">
        <v>1207</v>
      </c>
      <c r="K107" s="12" t="s">
        <v>321</v>
      </c>
      <c r="L107" s="12"/>
      <c r="M107" s="12"/>
      <c r="N107" s="12"/>
      <c r="O107" s="12"/>
      <c r="P107" s="12"/>
    </row>
    <row r="108" ht="46" customHeight="1" spans="1:16">
      <c r="A108" s="5" t="s">
        <v>1238</v>
      </c>
      <c r="B108" s="17" t="s">
        <v>254</v>
      </c>
      <c r="C108" s="18" t="s">
        <v>553</v>
      </c>
      <c r="D108" s="5" t="s">
        <v>1239</v>
      </c>
      <c r="E108" s="5" t="s">
        <v>1240</v>
      </c>
      <c r="F108" s="5" t="s">
        <v>1241</v>
      </c>
      <c r="G108" s="5" t="s">
        <v>865</v>
      </c>
      <c r="H108" s="5" t="s">
        <v>1242</v>
      </c>
      <c r="I108" s="5" t="s">
        <v>867</v>
      </c>
      <c r="J108" s="5" t="s">
        <v>1207</v>
      </c>
      <c r="K108" s="12" t="s">
        <v>321</v>
      </c>
      <c r="L108" s="12"/>
      <c r="M108" s="12"/>
      <c r="N108" s="12"/>
      <c r="O108" s="12"/>
      <c r="P108" s="12"/>
    </row>
    <row r="109" ht="46" customHeight="1" spans="1:16">
      <c r="A109" s="5" t="s">
        <v>1243</v>
      </c>
      <c r="B109" s="17" t="s">
        <v>254</v>
      </c>
      <c r="C109" s="18" t="s">
        <v>553</v>
      </c>
      <c r="D109" s="5" t="s">
        <v>963</v>
      </c>
      <c r="E109" s="5" t="s">
        <v>1244</v>
      </c>
      <c r="F109" s="5" t="s">
        <v>963</v>
      </c>
      <c r="G109" s="5" t="s">
        <v>865</v>
      </c>
      <c r="H109" s="5" t="s">
        <v>1245</v>
      </c>
      <c r="I109" s="5" t="s">
        <v>867</v>
      </c>
      <c r="J109" s="5" t="s">
        <v>1207</v>
      </c>
      <c r="K109" s="12" t="s">
        <v>321</v>
      </c>
      <c r="L109" s="12"/>
      <c r="M109" s="12"/>
      <c r="N109" s="12"/>
      <c r="O109" s="12"/>
      <c r="P109" s="12"/>
    </row>
    <row r="110" ht="46" customHeight="1" spans="1:16">
      <c r="A110" s="5" t="s">
        <v>1246</v>
      </c>
      <c r="B110" s="17" t="s">
        <v>262</v>
      </c>
      <c r="C110" s="18" t="s">
        <v>590</v>
      </c>
      <c r="D110" s="5" t="s">
        <v>997</v>
      </c>
      <c r="E110" s="5" t="s">
        <v>1247</v>
      </c>
      <c r="F110" s="5" t="s">
        <v>872</v>
      </c>
      <c r="G110" s="5" t="s">
        <v>890</v>
      </c>
      <c r="H110" s="5" t="s">
        <v>1248</v>
      </c>
      <c r="I110" s="5" t="s">
        <v>867</v>
      </c>
      <c r="J110" s="5" t="s">
        <v>1249</v>
      </c>
      <c r="K110" s="12" t="s">
        <v>321</v>
      </c>
      <c r="L110" s="12"/>
      <c r="M110" s="12"/>
      <c r="N110" s="12"/>
      <c r="O110" s="12"/>
      <c r="P110" s="12"/>
    </row>
    <row r="111" ht="46" customHeight="1" spans="1:16">
      <c r="A111" s="5" t="s">
        <v>1250</v>
      </c>
      <c r="B111" s="17" t="s">
        <v>262</v>
      </c>
      <c r="C111" s="18" t="s">
        <v>590</v>
      </c>
      <c r="D111" s="5" t="s">
        <v>1251</v>
      </c>
      <c r="E111" s="5" t="s">
        <v>1252</v>
      </c>
      <c r="F111" s="5" t="s">
        <v>946</v>
      </c>
      <c r="G111" s="5" t="s">
        <v>890</v>
      </c>
      <c r="H111" s="5" t="s">
        <v>1253</v>
      </c>
      <c r="I111" s="5" t="s">
        <v>867</v>
      </c>
      <c r="J111" s="5" t="s">
        <v>1249</v>
      </c>
      <c r="K111" s="12" t="s">
        <v>321</v>
      </c>
      <c r="L111" s="12"/>
      <c r="M111" s="12"/>
      <c r="N111" s="12"/>
      <c r="O111" s="12"/>
      <c r="P111" s="12"/>
    </row>
    <row r="112" ht="46" customHeight="1" spans="1:16">
      <c r="A112" s="5" t="s">
        <v>1254</v>
      </c>
      <c r="B112" s="17" t="s">
        <v>262</v>
      </c>
      <c r="C112" s="18" t="s">
        <v>590</v>
      </c>
      <c r="D112" s="5" t="s">
        <v>1255</v>
      </c>
      <c r="E112" s="5" t="s">
        <v>1256</v>
      </c>
      <c r="F112" s="5" t="s">
        <v>946</v>
      </c>
      <c r="G112" s="5" t="s">
        <v>890</v>
      </c>
      <c r="H112" s="5" t="s">
        <v>1257</v>
      </c>
      <c r="I112" s="5" t="s">
        <v>867</v>
      </c>
      <c r="J112" s="5" t="s">
        <v>1249</v>
      </c>
      <c r="K112" s="12" t="s">
        <v>321</v>
      </c>
      <c r="L112" s="12"/>
      <c r="M112" s="12"/>
      <c r="N112" s="12"/>
      <c r="O112" s="12"/>
      <c r="P112" s="12"/>
    </row>
    <row r="113" ht="46" customHeight="1" spans="1:16">
      <c r="A113" s="5" t="s">
        <v>1258</v>
      </c>
      <c r="B113" s="17" t="s">
        <v>262</v>
      </c>
      <c r="C113" s="18" t="s">
        <v>590</v>
      </c>
      <c r="D113" s="5" t="s">
        <v>1219</v>
      </c>
      <c r="E113" s="5" t="s">
        <v>1259</v>
      </c>
      <c r="F113" s="5" t="s">
        <v>901</v>
      </c>
      <c r="G113" s="5" t="s">
        <v>890</v>
      </c>
      <c r="H113" s="5" t="s">
        <v>1260</v>
      </c>
      <c r="I113" s="5" t="s">
        <v>867</v>
      </c>
      <c r="J113" s="5" t="s">
        <v>1249</v>
      </c>
      <c r="K113" s="12" t="s">
        <v>321</v>
      </c>
      <c r="L113" s="12"/>
      <c r="M113" s="12"/>
      <c r="N113" s="12"/>
      <c r="O113" s="12"/>
      <c r="P113" s="12"/>
    </row>
    <row r="114" ht="46" customHeight="1" spans="1:16">
      <c r="A114" s="5" t="s">
        <v>1261</v>
      </c>
      <c r="B114" s="17" t="s">
        <v>262</v>
      </c>
      <c r="C114" s="18" t="s">
        <v>590</v>
      </c>
      <c r="D114" s="5" t="s">
        <v>894</v>
      </c>
      <c r="E114" s="5" t="s">
        <v>1262</v>
      </c>
      <c r="F114" s="5" t="s">
        <v>894</v>
      </c>
      <c r="G114" s="5" t="s">
        <v>890</v>
      </c>
      <c r="H114" s="5" t="s">
        <v>1263</v>
      </c>
      <c r="I114" s="5" t="s">
        <v>867</v>
      </c>
      <c r="J114" s="5" t="s">
        <v>1249</v>
      </c>
      <c r="K114" s="12" t="s">
        <v>321</v>
      </c>
      <c r="L114" s="12"/>
      <c r="M114" s="12"/>
      <c r="N114" s="12"/>
      <c r="O114" s="12"/>
      <c r="P114" s="12"/>
    </row>
    <row r="115" ht="46" customHeight="1" spans="1:16">
      <c r="A115" s="5" t="s">
        <v>1264</v>
      </c>
      <c r="B115" s="17" t="s">
        <v>262</v>
      </c>
      <c r="C115" s="18" t="s">
        <v>590</v>
      </c>
      <c r="D115" s="5" t="s">
        <v>976</v>
      </c>
      <c r="E115" s="5" t="s">
        <v>1265</v>
      </c>
      <c r="F115" s="5" t="s">
        <v>880</v>
      </c>
      <c r="G115" s="5" t="s">
        <v>890</v>
      </c>
      <c r="H115" s="5" t="s">
        <v>1266</v>
      </c>
      <c r="I115" s="5" t="s">
        <v>867</v>
      </c>
      <c r="J115" s="5" t="s">
        <v>1249</v>
      </c>
      <c r="K115" s="12" t="s">
        <v>321</v>
      </c>
      <c r="L115" s="12"/>
      <c r="M115" s="12"/>
      <c r="N115" s="12"/>
      <c r="O115" s="12"/>
      <c r="P115" s="12"/>
    </row>
    <row r="116" ht="46" customHeight="1" spans="1:16">
      <c r="A116" s="5" t="s">
        <v>1267</v>
      </c>
      <c r="B116" s="17" t="s">
        <v>262</v>
      </c>
      <c r="C116" s="18" t="s">
        <v>590</v>
      </c>
      <c r="D116" s="5" t="s">
        <v>963</v>
      </c>
      <c r="E116" s="5" t="s">
        <v>1268</v>
      </c>
      <c r="F116" s="5" t="s">
        <v>963</v>
      </c>
      <c r="G116" s="5" t="s">
        <v>865</v>
      </c>
      <c r="H116" s="5" t="s">
        <v>1269</v>
      </c>
      <c r="I116" s="5" t="s">
        <v>867</v>
      </c>
      <c r="J116" s="5" t="s">
        <v>1249</v>
      </c>
      <c r="K116" s="12" t="s">
        <v>321</v>
      </c>
      <c r="L116" s="12"/>
      <c r="M116" s="12"/>
      <c r="N116" s="12"/>
      <c r="O116" s="12"/>
      <c r="P116" s="12"/>
    </row>
    <row r="117" ht="46" customHeight="1" spans="1:16">
      <c r="A117" s="5" t="s">
        <v>1270</v>
      </c>
      <c r="B117" s="17" t="s">
        <v>262</v>
      </c>
      <c r="C117" s="18" t="s">
        <v>590</v>
      </c>
      <c r="D117" s="5" t="s">
        <v>18</v>
      </c>
      <c r="E117" s="5" t="s">
        <v>1271</v>
      </c>
      <c r="F117" s="5" t="s">
        <v>921</v>
      </c>
      <c r="G117" s="5" t="s">
        <v>865</v>
      </c>
      <c r="H117" s="5" t="s">
        <v>1272</v>
      </c>
      <c r="I117" s="5" t="s">
        <v>867</v>
      </c>
      <c r="J117" s="5" t="s">
        <v>1249</v>
      </c>
      <c r="K117" s="12" t="s">
        <v>321</v>
      </c>
      <c r="L117" s="12"/>
      <c r="M117" s="12"/>
      <c r="N117" s="12"/>
      <c r="O117" s="12"/>
      <c r="P117" s="12"/>
    </row>
    <row r="118" ht="46" customHeight="1" spans="1:16">
      <c r="A118" s="5" t="s">
        <v>1273</v>
      </c>
      <c r="B118" s="17" t="s">
        <v>262</v>
      </c>
      <c r="C118" s="18" t="s">
        <v>614</v>
      </c>
      <c r="D118" s="5" t="s">
        <v>1188</v>
      </c>
      <c r="E118" s="5" t="s">
        <v>1274</v>
      </c>
      <c r="F118" s="5" t="s">
        <v>910</v>
      </c>
      <c r="G118" s="5" t="s">
        <v>890</v>
      </c>
      <c r="H118" s="5" t="s">
        <v>1275</v>
      </c>
      <c r="I118" s="5" t="s">
        <v>867</v>
      </c>
      <c r="J118" s="5" t="s">
        <v>609</v>
      </c>
      <c r="K118" s="12" t="s">
        <v>321</v>
      </c>
      <c r="L118" s="12"/>
      <c r="M118" s="12"/>
      <c r="N118" s="12"/>
      <c r="O118" s="12"/>
      <c r="P118" s="12"/>
    </row>
    <row r="119" ht="46" customHeight="1" spans="1:16">
      <c r="A119" s="5" t="s">
        <v>1276</v>
      </c>
      <c r="B119" s="17" t="s">
        <v>262</v>
      </c>
      <c r="C119" s="18" t="s">
        <v>614</v>
      </c>
      <c r="D119" s="5" t="s">
        <v>894</v>
      </c>
      <c r="E119" s="5" t="s">
        <v>1277</v>
      </c>
      <c r="F119" s="5" t="s">
        <v>894</v>
      </c>
      <c r="G119" s="5" t="s">
        <v>890</v>
      </c>
      <c r="H119" s="5" t="s">
        <v>1278</v>
      </c>
      <c r="I119" s="5" t="s">
        <v>867</v>
      </c>
      <c r="J119" s="5" t="s">
        <v>609</v>
      </c>
      <c r="K119" s="12" t="s">
        <v>321</v>
      </c>
      <c r="L119" s="12"/>
      <c r="M119" s="12"/>
      <c r="N119" s="12"/>
      <c r="O119" s="12"/>
      <c r="P119" s="12"/>
    </row>
    <row r="120" ht="46" customHeight="1" spans="1:16">
      <c r="A120" s="5" t="s">
        <v>1279</v>
      </c>
      <c r="B120" s="17" t="s">
        <v>262</v>
      </c>
      <c r="C120" s="18" t="s">
        <v>614</v>
      </c>
      <c r="D120" s="19" t="s">
        <v>1280</v>
      </c>
      <c r="E120" s="5" t="s">
        <v>1281</v>
      </c>
      <c r="F120" s="5" t="s">
        <v>1219</v>
      </c>
      <c r="G120" s="5" t="s">
        <v>890</v>
      </c>
      <c r="H120" s="5" t="s">
        <v>1282</v>
      </c>
      <c r="I120" s="5" t="s">
        <v>867</v>
      </c>
      <c r="J120" s="5" t="s">
        <v>609</v>
      </c>
      <c r="K120" s="12" t="s">
        <v>321</v>
      </c>
      <c r="L120" s="12"/>
      <c r="M120" s="12"/>
      <c r="N120" s="12"/>
      <c r="O120" s="12"/>
      <c r="P120" s="12"/>
    </row>
    <row r="121" ht="46" customHeight="1" spans="1:16">
      <c r="A121" s="5" t="s">
        <v>1283</v>
      </c>
      <c r="B121" s="17" t="s">
        <v>262</v>
      </c>
      <c r="C121" s="18" t="s">
        <v>614</v>
      </c>
      <c r="D121" s="19" t="s">
        <v>1280</v>
      </c>
      <c r="E121" s="5" t="s">
        <v>1284</v>
      </c>
      <c r="F121" s="5" t="s">
        <v>880</v>
      </c>
      <c r="G121" s="5" t="s">
        <v>865</v>
      </c>
      <c r="H121" s="5" t="s">
        <v>1285</v>
      </c>
      <c r="I121" s="5" t="s">
        <v>867</v>
      </c>
      <c r="J121" s="5" t="s">
        <v>609</v>
      </c>
      <c r="K121" s="12" t="s">
        <v>321</v>
      </c>
      <c r="L121" s="12"/>
      <c r="M121" s="12"/>
      <c r="N121" s="12"/>
      <c r="O121" s="12"/>
      <c r="P121" s="12"/>
    </row>
    <row r="122" ht="46" customHeight="1" spans="1:16">
      <c r="A122" s="5" t="s">
        <v>1286</v>
      </c>
      <c r="B122" s="17" t="s">
        <v>262</v>
      </c>
      <c r="C122" s="18" t="s">
        <v>614</v>
      </c>
      <c r="D122" s="19" t="s">
        <v>1280</v>
      </c>
      <c r="E122" s="5" t="s">
        <v>18</v>
      </c>
      <c r="F122" s="5" t="s">
        <v>921</v>
      </c>
      <c r="G122" s="5" t="s">
        <v>865</v>
      </c>
      <c r="H122" s="5" t="s">
        <v>1287</v>
      </c>
      <c r="I122" s="5" t="s">
        <v>867</v>
      </c>
      <c r="J122" s="5" t="s">
        <v>609</v>
      </c>
      <c r="K122" s="12" t="s">
        <v>321</v>
      </c>
      <c r="L122" s="12"/>
      <c r="M122" s="12"/>
      <c r="N122" s="12"/>
      <c r="O122" s="12"/>
      <c r="P122" s="12"/>
    </row>
    <row r="123" ht="46" customHeight="1" spans="1:16">
      <c r="A123" s="5" t="s">
        <v>1288</v>
      </c>
      <c r="B123" s="17" t="s">
        <v>270</v>
      </c>
      <c r="C123" s="18" t="s">
        <v>1289</v>
      </c>
      <c r="D123" s="5" t="s">
        <v>1290</v>
      </c>
      <c r="E123" s="5" t="s">
        <v>1291</v>
      </c>
      <c r="F123" s="5" t="s">
        <v>932</v>
      </c>
      <c r="G123" s="5" t="s">
        <v>890</v>
      </c>
      <c r="H123" s="5" t="s">
        <v>1292</v>
      </c>
      <c r="I123" s="5" t="s">
        <v>1293</v>
      </c>
      <c r="J123" s="5" t="s">
        <v>1294</v>
      </c>
      <c r="K123" s="12" t="s">
        <v>321</v>
      </c>
      <c r="L123" s="12"/>
      <c r="M123" s="12"/>
      <c r="N123" s="12"/>
      <c r="O123" s="12"/>
      <c r="P123" s="12"/>
    </row>
    <row r="124" ht="46" customHeight="1" spans="1:16">
      <c r="A124" s="5" t="s">
        <v>1295</v>
      </c>
      <c r="B124" s="17" t="s">
        <v>270</v>
      </c>
      <c r="C124" s="18" t="s">
        <v>1289</v>
      </c>
      <c r="D124" s="5" t="s">
        <v>1188</v>
      </c>
      <c r="E124" s="5" t="s">
        <v>1296</v>
      </c>
      <c r="F124" s="5" t="s">
        <v>1188</v>
      </c>
      <c r="G124" s="5" t="s">
        <v>890</v>
      </c>
      <c r="H124" s="5" t="s">
        <v>1297</v>
      </c>
      <c r="I124" s="5" t="s">
        <v>1293</v>
      </c>
      <c r="J124" s="5" t="s">
        <v>1294</v>
      </c>
      <c r="K124" s="12" t="s">
        <v>321</v>
      </c>
      <c r="L124" s="12"/>
      <c r="M124" s="12"/>
      <c r="N124" s="12"/>
      <c r="O124" s="12"/>
      <c r="P124" s="12"/>
    </row>
    <row r="125" ht="46" customHeight="1" spans="1:16">
      <c r="A125" s="5" t="s">
        <v>1298</v>
      </c>
      <c r="B125" s="17" t="s">
        <v>270</v>
      </c>
      <c r="C125" s="18" t="s">
        <v>1289</v>
      </c>
      <c r="D125" s="19" t="s">
        <v>1299</v>
      </c>
      <c r="E125" s="5" t="s">
        <v>1300</v>
      </c>
      <c r="F125" s="5" t="s">
        <v>1301</v>
      </c>
      <c r="G125" s="5" t="s">
        <v>890</v>
      </c>
      <c r="H125" s="5" t="s">
        <v>1302</v>
      </c>
      <c r="I125" s="5" t="s">
        <v>1293</v>
      </c>
      <c r="J125" s="5" t="s">
        <v>1294</v>
      </c>
      <c r="K125" s="12" t="s">
        <v>321</v>
      </c>
      <c r="L125" s="12"/>
      <c r="M125" s="12"/>
      <c r="N125" s="12"/>
      <c r="O125" s="12"/>
      <c r="P125" s="12"/>
    </row>
    <row r="126" ht="46" customHeight="1" spans="1:16">
      <c r="A126" s="5" t="s">
        <v>1303</v>
      </c>
      <c r="B126" s="17" t="s">
        <v>270</v>
      </c>
      <c r="C126" s="18" t="s">
        <v>1289</v>
      </c>
      <c r="D126" s="19" t="s">
        <v>1299</v>
      </c>
      <c r="E126" s="5" t="s">
        <v>1304</v>
      </c>
      <c r="F126" s="5" t="s">
        <v>910</v>
      </c>
      <c r="G126" s="5" t="s">
        <v>890</v>
      </c>
      <c r="H126" s="5" t="s">
        <v>1305</v>
      </c>
      <c r="I126" s="5" t="s">
        <v>1293</v>
      </c>
      <c r="J126" s="5" t="s">
        <v>1294</v>
      </c>
      <c r="K126" s="12" t="s">
        <v>321</v>
      </c>
      <c r="L126" s="12"/>
      <c r="M126" s="12"/>
      <c r="N126" s="12"/>
      <c r="O126" s="12"/>
      <c r="P126" s="12"/>
    </row>
    <row r="127" ht="46" customHeight="1" spans="1:16">
      <c r="A127" s="5" t="s">
        <v>1306</v>
      </c>
      <c r="B127" s="17" t="s">
        <v>270</v>
      </c>
      <c r="C127" s="18" t="s">
        <v>1289</v>
      </c>
      <c r="D127" s="5" t="s">
        <v>1223</v>
      </c>
      <c r="E127" s="5" t="s">
        <v>1307</v>
      </c>
      <c r="F127" s="5" t="s">
        <v>1154</v>
      </c>
      <c r="G127" s="5" t="s">
        <v>890</v>
      </c>
      <c r="H127" s="5" t="s">
        <v>1308</v>
      </c>
      <c r="I127" s="5" t="s">
        <v>1293</v>
      </c>
      <c r="J127" s="5" t="s">
        <v>1294</v>
      </c>
      <c r="K127" s="12" t="s">
        <v>321</v>
      </c>
      <c r="L127" s="12"/>
      <c r="M127" s="12"/>
      <c r="N127" s="12"/>
      <c r="O127" s="12"/>
      <c r="P127" s="12"/>
    </row>
    <row r="128" ht="46" customHeight="1" spans="1:16">
      <c r="A128" s="5" t="s">
        <v>1309</v>
      </c>
      <c r="B128" s="17" t="s">
        <v>270</v>
      </c>
      <c r="C128" s="18" t="s">
        <v>1289</v>
      </c>
      <c r="D128" s="5" t="s">
        <v>1219</v>
      </c>
      <c r="E128" s="5" t="s">
        <v>1310</v>
      </c>
      <c r="F128" s="5" t="s">
        <v>1219</v>
      </c>
      <c r="G128" s="5" t="s">
        <v>865</v>
      </c>
      <c r="H128" s="5" t="s">
        <v>1311</v>
      </c>
      <c r="I128" s="5" t="s">
        <v>1293</v>
      </c>
      <c r="J128" s="5" t="s">
        <v>1294</v>
      </c>
      <c r="K128" s="12" t="s">
        <v>321</v>
      </c>
      <c r="L128" s="12"/>
      <c r="M128" s="12"/>
      <c r="N128" s="12"/>
      <c r="O128" s="12"/>
      <c r="P128" s="12"/>
    </row>
    <row r="129" ht="46" customHeight="1" spans="1:16">
      <c r="A129" s="5" t="s">
        <v>1312</v>
      </c>
      <c r="B129" s="17" t="s">
        <v>270</v>
      </c>
      <c r="C129" s="18" t="s">
        <v>1289</v>
      </c>
      <c r="D129" s="5" t="s">
        <v>976</v>
      </c>
      <c r="E129" s="5" t="s">
        <v>1313</v>
      </c>
      <c r="F129" s="5" t="s">
        <v>880</v>
      </c>
      <c r="G129" s="5" t="s">
        <v>890</v>
      </c>
      <c r="H129" s="5" t="s">
        <v>1314</v>
      </c>
      <c r="I129" s="5" t="s">
        <v>1293</v>
      </c>
      <c r="J129" s="5" t="s">
        <v>1294</v>
      </c>
      <c r="K129" s="12" t="s">
        <v>321</v>
      </c>
      <c r="L129" s="12"/>
      <c r="M129" s="12"/>
      <c r="N129" s="12"/>
      <c r="O129" s="12"/>
      <c r="P129" s="12"/>
    </row>
    <row r="130" ht="46" customHeight="1" spans="1:16">
      <c r="A130" s="5" t="s">
        <v>1315</v>
      </c>
      <c r="B130" s="17" t="s">
        <v>270</v>
      </c>
      <c r="C130" s="18" t="s">
        <v>1289</v>
      </c>
      <c r="D130" s="5" t="s">
        <v>1316</v>
      </c>
      <c r="E130" s="5" t="s">
        <v>1317</v>
      </c>
      <c r="F130" s="5" t="s">
        <v>905</v>
      </c>
      <c r="G130" s="5" t="s">
        <v>865</v>
      </c>
      <c r="H130" s="5" t="s">
        <v>1318</v>
      </c>
      <c r="I130" s="5" t="s">
        <v>1293</v>
      </c>
      <c r="J130" s="5" t="s">
        <v>1294</v>
      </c>
      <c r="K130" s="12" t="s">
        <v>321</v>
      </c>
      <c r="L130" s="12"/>
      <c r="M130" s="12"/>
      <c r="N130" s="12"/>
      <c r="O130" s="12"/>
      <c r="P130" s="12"/>
    </row>
    <row r="131" ht="46" customHeight="1" spans="1:16">
      <c r="A131" s="5" t="s">
        <v>1319</v>
      </c>
      <c r="B131" s="17" t="s">
        <v>270</v>
      </c>
      <c r="C131" s="18" t="s">
        <v>1320</v>
      </c>
      <c r="D131" s="5" t="s">
        <v>997</v>
      </c>
      <c r="E131" s="5" t="s">
        <v>1321</v>
      </c>
      <c r="F131" s="5" t="s">
        <v>872</v>
      </c>
      <c r="G131" s="5" t="s">
        <v>890</v>
      </c>
      <c r="H131" s="5" t="s">
        <v>1322</v>
      </c>
      <c r="I131" s="5" t="s">
        <v>1293</v>
      </c>
      <c r="J131" s="5" t="s">
        <v>1294</v>
      </c>
      <c r="K131" s="12" t="s">
        <v>321</v>
      </c>
      <c r="L131" s="12"/>
      <c r="M131" s="12"/>
      <c r="N131" s="12"/>
      <c r="O131" s="12"/>
      <c r="P131" s="12"/>
    </row>
    <row r="132" ht="46" customHeight="1" spans="1:16">
      <c r="A132" s="5" t="s">
        <v>1323</v>
      </c>
      <c r="B132" s="17" t="s">
        <v>270</v>
      </c>
      <c r="C132" s="18" t="s">
        <v>1320</v>
      </c>
      <c r="D132" s="5" t="s">
        <v>1324</v>
      </c>
      <c r="E132" s="5" t="s">
        <v>1325</v>
      </c>
      <c r="F132" s="5" t="s">
        <v>872</v>
      </c>
      <c r="G132" s="5" t="s">
        <v>865</v>
      </c>
      <c r="H132" s="5" t="s">
        <v>1326</v>
      </c>
      <c r="I132" s="5" t="s">
        <v>1293</v>
      </c>
      <c r="J132" s="5" t="s">
        <v>1294</v>
      </c>
      <c r="K132" s="12" t="s">
        <v>321</v>
      </c>
      <c r="L132" s="12"/>
      <c r="M132" s="12"/>
      <c r="N132" s="12"/>
      <c r="O132" s="12"/>
      <c r="P132" s="12"/>
    </row>
    <row r="133" ht="46" customHeight="1" spans="1:16">
      <c r="A133" s="5" t="s">
        <v>1327</v>
      </c>
      <c r="B133" s="17" t="s">
        <v>270</v>
      </c>
      <c r="C133" s="18" t="s">
        <v>1320</v>
      </c>
      <c r="D133" s="19" t="s">
        <v>1328</v>
      </c>
      <c r="E133" s="5" t="s">
        <v>1329</v>
      </c>
      <c r="F133" s="5" t="s">
        <v>946</v>
      </c>
      <c r="G133" s="5" t="s">
        <v>865</v>
      </c>
      <c r="H133" s="5" t="s">
        <v>1330</v>
      </c>
      <c r="I133" s="5" t="s">
        <v>1293</v>
      </c>
      <c r="J133" s="5" t="s">
        <v>1294</v>
      </c>
      <c r="K133" s="12" t="s">
        <v>321</v>
      </c>
      <c r="L133" s="12"/>
      <c r="M133" s="12"/>
      <c r="N133" s="12"/>
      <c r="O133" s="12"/>
      <c r="P133" s="12"/>
    </row>
    <row r="134" ht="46" customHeight="1" spans="1:16">
      <c r="A134" s="5" t="s">
        <v>1331</v>
      </c>
      <c r="B134" s="17" t="s">
        <v>270</v>
      </c>
      <c r="C134" s="18" t="s">
        <v>1320</v>
      </c>
      <c r="D134" s="19" t="s">
        <v>1328</v>
      </c>
      <c r="E134" s="5" t="s">
        <v>1332</v>
      </c>
      <c r="F134" s="5" t="s">
        <v>880</v>
      </c>
      <c r="G134" s="5" t="s">
        <v>890</v>
      </c>
      <c r="H134" s="5" t="s">
        <v>1333</v>
      </c>
      <c r="I134" s="5" t="s">
        <v>1293</v>
      </c>
      <c r="J134" s="5" t="s">
        <v>1294</v>
      </c>
      <c r="K134" s="12" t="s">
        <v>321</v>
      </c>
      <c r="L134" s="12"/>
      <c r="M134" s="12"/>
      <c r="N134" s="12"/>
      <c r="O134" s="12"/>
      <c r="P134" s="12"/>
    </row>
    <row r="135" ht="46" customHeight="1" spans="1:16">
      <c r="A135" s="5" t="s">
        <v>1334</v>
      </c>
      <c r="B135" s="17" t="s">
        <v>270</v>
      </c>
      <c r="C135" s="18" t="s">
        <v>1320</v>
      </c>
      <c r="D135" s="5" t="s">
        <v>18</v>
      </c>
      <c r="E135" s="5" t="s">
        <v>18</v>
      </c>
      <c r="F135" s="5" t="s">
        <v>921</v>
      </c>
      <c r="G135" s="5" t="s">
        <v>865</v>
      </c>
      <c r="H135" s="5" t="s">
        <v>1335</v>
      </c>
      <c r="I135" s="5" t="s">
        <v>1293</v>
      </c>
      <c r="J135" s="5" t="s">
        <v>1294</v>
      </c>
      <c r="K135" s="12" t="s">
        <v>321</v>
      </c>
      <c r="L135" s="12"/>
      <c r="M135" s="12"/>
      <c r="N135" s="12"/>
      <c r="O135" s="12"/>
      <c r="P135" s="12"/>
    </row>
    <row r="136" ht="46" customHeight="1" spans="1:16">
      <c r="A136" s="5" t="s">
        <v>1336</v>
      </c>
      <c r="B136" s="17" t="s">
        <v>279</v>
      </c>
      <c r="C136" s="18" t="s">
        <v>674</v>
      </c>
      <c r="D136" s="5" t="s">
        <v>1188</v>
      </c>
      <c r="E136" s="5" t="s">
        <v>1337</v>
      </c>
      <c r="F136" s="5" t="s">
        <v>1338</v>
      </c>
      <c r="G136" s="5" t="s">
        <v>890</v>
      </c>
      <c r="H136" s="5" t="s">
        <v>1339</v>
      </c>
      <c r="I136" s="5" t="s">
        <v>867</v>
      </c>
      <c r="J136" s="5" t="s">
        <v>1340</v>
      </c>
      <c r="K136" s="12" t="s">
        <v>321</v>
      </c>
      <c r="L136" s="12"/>
      <c r="M136" s="12"/>
      <c r="N136" s="12"/>
      <c r="O136" s="12"/>
      <c r="P136" s="12"/>
    </row>
    <row r="137" ht="46" customHeight="1" spans="1:16">
      <c r="A137" s="5" t="s">
        <v>1341</v>
      </c>
      <c r="B137" s="17" t="s">
        <v>279</v>
      </c>
      <c r="C137" s="18" t="s">
        <v>674</v>
      </c>
      <c r="D137" s="5" t="s">
        <v>959</v>
      </c>
      <c r="E137" s="5" t="s">
        <v>1342</v>
      </c>
      <c r="F137" s="5" t="s">
        <v>1343</v>
      </c>
      <c r="G137" s="5" t="s">
        <v>890</v>
      </c>
      <c r="H137" s="5" t="s">
        <v>1344</v>
      </c>
      <c r="I137" s="5" t="s">
        <v>867</v>
      </c>
      <c r="J137" s="5" t="s">
        <v>1340</v>
      </c>
      <c r="K137" s="12" t="s">
        <v>321</v>
      </c>
      <c r="L137" s="12"/>
      <c r="M137" s="12"/>
      <c r="N137" s="12"/>
      <c r="O137" s="12"/>
      <c r="P137" s="12"/>
    </row>
    <row r="138" ht="46" customHeight="1" spans="1:16">
      <c r="A138" s="5" t="s">
        <v>1345</v>
      </c>
      <c r="B138" s="17" t="s">
        <v>279</v>
      </c>
      <c r="C138" s="18" t="s">
        <v>674</v>
      </c>
      <c r="D138" s="5" t="s">
        <v>1227</v>
      </c>
      <c r="E138" s="5" t="s">
        <v>1346</v>
      </c>
      <c r="F138" s="5" t="s">
        <v>1044</v>
      </c>
      <c r="G138" s="5" t="s">
        <v>890</v>
      </c>
      <c r="H138" s="5" t="s">
        <v>1347</v>
      </c>
      <c r="I138" s="5" t="s">
        <v>867</v>
      </c>
      <c r="J138" s="5" t="s">
        <v>1340</v>
      </c>
      <c r="K138" s="12" t="s">
        <v>321</v>
      </c>
      <c r="L138" s="12"/>
      <c r="M138" s="12"/>
      <c r="N138" s="12"/>
      <c r="O138" s="12"/>
      <c r="P138" s="12"/>
    </row>
    <row r="139" ht="46" customHeight="1" spans="1:16">
      <c r="A139" s="5" t="s">
        <v>1348</v>
      </c>
      <c r="B139" s="17" t="s">
        <v>279</v>
      </c>
      <c r="C139" s="18" t="s">
        <v>674</v>
      </c>
      <c r="D139" s="5" t="s">
        <v>1349</v>
      </c>
      <c r="E139" s="5" t="s">
        <v>1350</v>
      </c>
      <c r="F139" s="5" t="s">
        <v>1349</v>
      </c>
      <c r="G139" s="5" t="s">
        <v>890</v>
      </c>
      <c r="H139" s="5" t="s">
        <v>1351</v>
      </c>
      <c r="I139" s="5" t="s">
        <v>867</v>
      </c>
      <c r="J139" s="5" t="s">
        <v>1340</v>
      </c>
      <c r="K139" s="12" t="s">
        <v>321</v>
      </c>
      <c r="L139" s="12"/>
      <c r="M139" s="12"/>
      <c r="N139" s="12"/>
      <c r="O139" s="12"/>
      <c r="P139" s="12"/>
    </row>
    <row r="140" ht="46" customHeight="1" spans="1:16">
      <c r="A140" s="5" t="s">
        <v>1352</v>
      </c>
      <c r="B140" s="17" t="s">
        <v>279</v>
      </c>
      <c r="C140" s="18" t="s">
        <v>674</v>
      </c>
      <c r="D140" s="5" t="s">
        <v>1219</v>
      </c>
      <c r="E140" s="5" t="s">
        <v>1353</v>
      </c>
      <c r="F140" s="5" t="s">
        <v>1219</v>
      </c>
      <c r="G140" s="5" t="s">
        <v>890</v>
      </c>
      <c r="H140" s="5" t="s">
        <v>1354</v>
      </c>
      <c r="I140" s="5" t="s">
        <v>867</v>
      </c>
      <c r="J140" s="5" t="s">
        <v>1340</v>
      </c>
      <c r="K140" s="12" t="s">
        <v>321</v>
      </c>
      <c r="L140" s="12"/>
      <c r="M140" s="12"/>
      <c r="N140" s="12"/>
      <c r="O140" s="12"/>
      <c r="P140" s="12"/>
    </row>
    <row r="141" ht="46" customHeight="1" spans="1:16">
      <c r="A141" s="5" t="s">
        <v>1355</v>
      </c>
      <c r="B141" s="17" t="s">
        <v>279</v>
      </c>
      <c r="C141" s="18" t="s">
        <v>674</v>
      </c>
      <c r="D141" s="5" t="s">
        <v>1356</v>
      </c>
      <c r="E141" s="5" t="s">
        <v>1357</v>
      </c>
      <c r="F141" s="5" t="s">
        <v>880</v>
      </c>
      <c r="G141" s="5" t="s">
        <v>890</v>
      </c>
      <c r="H141" s="5" t="s">
        <v>1358</v>
      </c>
      <c r="I141" s="5" t="s">
        <v>867</v>
      </c>
      <c r="J141" s="5" t="s">
        <v>1340</v>
      </c>
      <c r="K141" s="12" t="s">
        <v>321</v>
      </c>
      <c r="L141" s="12"/>
      <c r="M141" s="12"/>
      <c r="N141" s="12"/>
      <c r="O141" s="12"/>
      <c r="P141" s="12"/>
    </row>
    <row r="142" ht="46" customHeight="1" spans="1:16">
      <c r="A142" s="5" t="s">
        <v>1359</v>
      </c>
      <c r="B142" s="17" t="s">
        <v>279</v>
      </c>
      <c r="C142" s="18" t="s">
        <v>674</v>
      </c>
      <c r="D142" s="5" t="s">
        <v>963</v>
      </c>
      <c r="E142" s="5" t="s">
        <v>1360</v>
      </c>
      <c r="F142" s="5" t="s">
        <v>963</v>
      </c>
      <c r="G142" s="5" t="s">
        <v>865</v>
      </c>
      <c r="H142" s="5" t="s">
        <v>1361</v>
      </c>
      <c r="I142" s="5" t="s">
        <v>867</v>
      </c>
      <c r="J142" s="5" t="s">
        <v>1340</v>
      </c>
      <c r="K142" s="12" t="s">
        <v>321</v>
      </c>
      <c r="L142" s="12"/>
      <c r="M142" s="12"/>
      <c r="N142" s="12"/>
      <c r="O142" s="12"/>
      <c r="P142" s="12"/>
    </row>
    <row r="143" ht="46" customHeight="1" spans="1:16">
      <c r="A143" s="5" t="s">
        <v>1362</v>
      </c>
      <c r="B143" s="17" t="s">
        <v>279</v>
      </c>
      <c r="C143" s="18" t="s">
        <v>674</v>
      </c>
      <c r="D143" s="5" t="s">
        <v>976</v>
      </c>
      <c r="E143" s="5" t="s">
        <v>1363</v>
      </c>
      <c r="F143" s="5" t="s">
        <v>880</v>
      </c>
      <c r="G143" s="5" t="s">
        <v>890</v>
      </c>
      <c r="H143" s="5" t="s">
        <v>1364</v>
      </c>
      <c r="I143" s="5" t="s">
        <v>867</v>
      </c>
      <c r="J143" s="5" t="s">
        <v>1340</v>
      </c>
      <c r="K143" s="12" t="s">
        <v>321</v>
      </c>
      <c r="L143" s="12"/>
      <c r="M143" s="12"/>
      <c r="N143" s="12"/>
      <c r="O143" s="12"/>
      <c r="P143" s="12"/>
    </row>
    <row r="144" ht="46" customHeight="1" spans="1:16">
      <c r="A144" s="5" t="s">
        <v>1365</v>
      </c>
      <c r="B144" s="17" t="s">
        <v>279</v>
      </c>
      <c r="C144" s="18" t="s">
        <v>686</v>
      </c>
      <c r="D144" s="5" t="s">
        <v>1188</v>
      </c>
      <c r="E144" s="5" t="s">
        <v>1366</v>
      </c>
      <c r="F144" s="5" t="s">
        <v>1188</v>
      </c>
      <c r="G144" s="5" t="s">
        <v>890</v>
      </c>
      <c r="H144" s="5" t="s">
        <v>1367</v>
      </c>
      <c r="I144" s="5" t="s">
        <v>867</v>
      </c>
      <c r="J144" s="5" t="s">
        <v>682</v>
      </c>
      <c r="K144" s="12" t="s">
        <v>321</v>
      </c>
      <c r="L144" s="12"/>
      <c r="M144" s="12"/>
      <c r="N144" s="12"/>
      <c r="O144" s="12"/>
      <c r="P144" s="12"/>
    </row>
    <row r="145" ht="46" customHeight="1" spans="1:16">
      <c r="A145" s="5" t="s">
        <v>1368</v>
      </c>
      <c r="B145" s="17" t="s">
        <v>279</v>
      </c>
      <c r="C145" s="18" t="s">
        <v>686</v>
      </c>
      <c r="D145" s="19" t="s">
        <v>1369</v>
      </c>
      <c r="E145" s="5" t="s">
        <v>1370</v>
      </c>
      <c r="F145" s="5" t="s">
        <v>1219</v>
      </c>
      <c r="G145" s="5" t="s">
        <v>890</v>
      </c>
      <c r="H145" s="5" t="s">
        <v>1371</v>
      </c>
      <c r="I145" s="5" t="s">
        <v>867</v>
      </c>
      <c r="J145" s="5" t="s">
        <v>682</v>
      </c>
      <c r="K145" s="12" t="s">
        <v>321</v>
      </c>
      <c r="L145" s="12"/>
      <c r="M145" s="12"/>
      <c r="N145" s="12"/>
      <c r="O145" s="12"/>
      <c r="P145" s="12"/>
    </row>
    <row r="146" ht="46" customHeight="1" spans="1:16">
      <c r="A146" s="5" t="s">
        <v>1372</v>
      </c>
      <c r="B146" s="17" t="s">
        <v>279</v>
      </c>
      <c r="C146" s="18" t="s">
        <v>686</v>
      </c>
      <c r="D146" s="19" t="s">
        <v>1369</v>
      </c>
      <c r="E146" s="5" t="s">
        <v>1227</v>
      </c>
      <c r="F146" s="5" t="s">
        <v>1044</v>
      </c>
      <c r="G146" s="5" t="s">
        <v>890</v>
      </c>
      <c r="H146" s="5" t="s">
        <v>1373</v>
      </c>
      <c r="I146" s="5" t="s">
        <v>867</v>
      </c>
      <c r="J146" s="5" t="s">
        <v>682</v>
      </c>
      <c r="K146" s="12" t="s">
        <v>321</v>
      </c>
      <c r="L146" s="12"/>
      <c r="M146" s="12"/>
      <c r="N146" s="12"/>
      <c r="O146" s="12"/>
      <c r="P146" s="12"/>
    </row>
    <row r="147" ht="46" customHeight="1" spans="1:16">
      <c r="A147" s="5" t="s">
        <v>1374</v>
      </c>
      <c r="B147" s="17" t="s">
        <v>279</v>
      </c>
      <c r="C147" s="18" t="s">
        <v>686</v>
      </c>
      <c r="D147" s="19" t="s">
        <v>1369</v>
      </c>
      <c r="E147" s="5" t="s">
        <v>1375</v>
      </c>
      <c r="F147" s="5" t="s">
        <v>880</v>
      </c>
      <c r="G147" s="5" t="s">
        <v>890</v>
      </c>
      <c r="H147" s="5" t="s">
        <v>1376</v>
      </c>
      <c r="I147" s="5" t="s">
        <v>867</v>
      </c>
      <c r="J147" s="5" t="s">
        <v>682</v>
      </c>
      <c r="K147" s="12" t="s">
        <v>321</v>
      </c>
      <c r="L147" s="12"/>
      <c r="M147" s="12"/>
      <c r="N147" s="12"/>
      <c r="O147" s="12"/>
      <c r="P147" s="12"/>
    </row>
    <row r="148" ht="46" customHeight="1" spans="1:16">
      <c r="A148" s="5" t="s">
        <v>1377</v>
      </c>
      <c r="B148" s="17" t="s">
        <v>279</v>
      </c>
      <c r="C148" s="18" t="s">
        <v>686</v>
      </c>
      <c r="D148" s="19" t="s">
        <v>1378</v>
      </c>
      <c r="E148" s="5" t="s">
        <v>1379</v>
      </c>
      <c r="F148" s="5" t="s">
        <v>932</v>
      </c>
      <c r="G148" s="5" t="s">
        <v>890</v>
      </c>
      <c r="H148" s="5" t="s">
        <v>1380</v>
      </c>
      <c r="I148" s="5" t="s">
        <v>867</v>
      </c>
      <c r="J148" s="5" t="s">
        <v>682</v>
      </c>
      <c r="K148" s="12" t="s">
        <v>321</v>
      </c>
      <c r="L148" s="12"/>
      <c r="M148" s="12"/>
      <c r="N148" s="12"/>
      <c r="O148" s="12"/>
      <c r="P148" s="12"/>
    </row>
    <row r="149" ht="46" customHeight="1" spans="1:16">
      <c r="A149" s="5" t="s">
        <v>1381</v>
      </c>
      <c r="B149" s="17" t="s">
        <v>279</v>
      </c>
      <c r="C149" s="18" t="s">
        <v>686</v>
      </c>
      <c r="D149" s="19" t="s">
        <v>1378</v>
      </c>
      <c r="E149" s="5" t="s">
        <v>1382</v>
      </c>
      <c r="F149" s="5" t="s">
        <v>976</v>
      </c>
      <c r="G149" s="5" t="s">
        <v>865</v>
      </c>
      <c r="H149" s="5" t="s">
        <v>1383</v>
      </c>
      <c r="I149" s="5" t="s">
        <v>867</v>
      </c>
      <c r="J149" s="5" t="s">
        <v>682</v>
      </c>
      <c r="K149" s="12" t="s">
        <v>321</v>
      </c>
      <c r="L149" s="12"/>
      <c r="M149" s="12"/>
      <c r="N149" s="12"/>
      <c r="O149" s="12"/>
      <c r="P149" s="12"/>
    </row>
    <row r="150" ht="46" customHeight="1" spans="1:16">
      <c r="A150" s="5" t="s">
        <v>1384</v>
      </c>
      <c r="B150" s="17" t="s">
        <v>279</v>
      </c>
      <c r="C150" s="18" t="s">
        <v>686</v>
      </c>
      <c r="D150" s="5" t="s">
        <v>18</v>
      </c>
      <c r="E150" s="5" t="s">
        <v>18</v>
      </c>
      <c r="F150" s="5" t="s">
        <v>921</v>
      </c>
      <c r="G150" s="5" t="s">
        <v>865</v>
      </c>
      <c r="H150" s="5" t="s">
        <v>1385</v>
      </c>
      <c r="I150" s="5" t="s">
        <v>867</v>
      </c>
      <c r="J150" s="5" t="s">
        <v>682</v>
      </c>
      <c r="K150" s="12" t="s">
        <v>321</v>
      </c>
      <c r="L150" s="12"/>
      <c r="M150" s="12"/>
      <c r="N150" s="12"/>
      <c r="O150" s="12"/>
      <c r="P150" s="12"/>
    </row>
    <row r="151" ht="46" customHeight="1" spans="1:16">
      <c r="A151" s="5" t="s">
        <v>1386</v>
      </c>
      <c r="B151" s="17" t="s">
        <v>279</v>
      </c>
      <c r="C151" s="18" t="s">
        <v>693</v>
      </c>
      <c r="D151" s="5" t="s">
        <v>909</v>
      </c>
      <c r="E151" s="5" t="s">
        <v>1387</v>
      </c>
      <c r="F151" s="5" t="s">
        <v>872</v>
      </c>
      <c r="G151" s="5" t="s">
        <v>890</v>
      </c>
      <c r="H151" s="5" t="s">
        <v>1388</v>
      </c>
      <c r="I151" s="5" t="s">
        <v>867</v>
      </c>
      <c r="J151" s="5" t="s">
        <v>1389</v>
      </c>
      <c r="K151" s="12" t="s">
        <v>321</v>
      </c>
      <c r="L151" s="12"/>
      <c r="M151" s="12"/>
      <c r="N151" s="12"/>
      <c r="O151" s="12"/>
      <c r="P151" s="12"/>
    </row>
    <row r="152" ht="46" customHeight="1" spans="1:16">
      <c r="A152" s="5" t="s">
        <v>1390</v>
      </c>
      <c r="B152" s="17" t="s">
        <v>279</v>
      </c>
      <c r="C152" s="18" t="s">
        <v>693</v>
      </c>
      <c r="D152" s="19" t="s">
        <v>1391</v>
      </c>
      <c r="E152" s="5" t="s">
        <v>1392</v>
      </c>
      <c r="F152" s="5" t="s">
        <v>872</v>
      </c>
      <c r="G152" s="5" t="s">
        <v>890</v>
      </c>
      <c r="H152" s="5" t="s">
        <v>1393</v>
      </c>
      <c r="I152" s="5" t="s">
        <v>867</v>
      </c>
      <c r="J152" s="5" t="s">
        <v>1389</v>
      </c>
      <c r="K152" s="12" t="s">
        <v>321</v>
      </c>
      <c r="L152" s="12"/>
      <c r="M152" s="12"/>
      <c r="N152" s="12"/>
      <c r="O152" s="12"/>
      <c r="P152" s="12"/>
    </row>
    <row r="153" ht="46" customHeight="1" spans="1:16">
      <c r="A153" s="5" t="s">
        <v>1394</v>
      </c>
      <c r="B153" s="17" t="s">
        <v>279</v>
      </c>
      <c r="C153" s="18" t="s">
        <v>693</v>
      </c>
      <c r="D153" s="19" t="s">
        <v>1391</v>
      </c>
      <c r="E153" s="5" t="s">
        <v>1357</v>
      </c>
      <c r="F153" s="5" t="s">
        <v>880</v>
      </c>
      <c r="G153" s="5" t="s">
        <v>890</v>
      </c>
      <c r="H153" s="5" t="s">
        <v>1395</v>
      </c>
      <c r="I153" s="5" t="s">
        <v>867</v>
      </c>
      <c r="J153" s="5" t="s">
        <v>1389</v>
      </c>
      <c r="K153" s="12" t="s">
        <v>321</v>
      </c>
      <c r="L153" s="12"/>
      <c r="M153" s="12"/>
      <c r="N153" s="12"/>
      <c r="O153" s="12"/>
      <c r="P153" s="12"/>
    </row>
    <row r="154" ht="46" customHeight="1" spans="1:16">
      <c r="A154" s="5" t="s">
        <v>1396</v>
      </c>
      <c r="B154" s="17" t="s">
        <v>279</v>
      </c>
      <c r="C154" s="18" t="s">
        <v>693</v>
      </c>
      <c r="D154" s="19" t="s">
        <v>1397</v>
      </c>
      <c r="E154" s="5" t="s">
        <v>1398</v>
      </c>
      <c r="F154" s="5" t="s">
        <v>872</v>
      </c>
      <c r="G154" s="5" t="s">
        <v>890</v>
      </c>
      <c r="H154" s="5" t="s">
        <v>1399</v>
      </c>
      <c r="I154" s="5" t="s">
        <v>867</v>
      </c>
      <c r="J154" s="5" t="s">
        <v>1389</v>
      </c>
      <c r="K154" s="12" t="s">
        <v>321</v>
      </c>
      <c r="L154" s="12"/>
      <c r="M154" s="12"/>
      <c r="N154" s="12"/>
      <c r="O154" s="12"/>
      <c r="P154" s="12"/>
    </row>
    <row r="155" ht="46" customHeight="1" spans="1:16">
      <c r="A155" s="5" t="s">
        <v>1400</v>
      </c>
      <c r="B155" s="17" t="s">
        <v>279</v>
      </c>
      <c r="C155" s="18" t="s">
        <v>693</v>
      </c>
      <c r="D155" s="19" t="s">
        <v>1397</v>
      </c>
      <c r="E155" s="5" t="s">
        <v>1401</v>
      </c>
      <c r="F155" s="5" t="s">
        <v>1219</v>
      </c>
      <c r="G155" s="5" t="s">
        <v>890</v>
      </c>
      <c r="H155" s="5" t="s">
        <v>1402</v>
      </c>
      <c r="I155" s="5" t="s">
        <v>867</v>
      </c>
      <c r="J155" s="5" t="s">
        <v>1389</v>
      </c>
      <c r="K155" s="12" t="s">
        <v>321</v>
      </c>
      <c r="L155" s="12"/>
      <c r="M155" s="12"/>
      <c r="N155" s="12"/>
      <c r="O155" s="12"/>
      <c r="P155" s="12"/>
    </row>
    <row r="156" ht="46" customHeight="1" spans="1:16">
      <c r="A156" s="5" t="s">
        <v>1403</v>
      </c>
      <c r="B156" s="17" t="s">
        <v>279</v>
      </c>
      <c r="C156" s="18" t="s">
        <v>693</v>
      </c>
      <c r="D156" s="19" t="s">
        <v>1397</v>
      </c>
      <c r="E156" s="5" t="s">
        <v>1404</v>
      </c>
      <c r="F156" s="5" t="s">
        <v>880</v>
      </c>
      <c r="G156" s="5" t="s">
        <v>890</v>
      </c>
      <c r="H156" s="5" t="s">
        <v>1405</v>
      </c>
      <c r="I156" s="5" t="s">
        <v>867</v>
      </c>
      <c r="J156" s="5" t="s">
        <v>1389</v>
      </c>
      <c r="K156" s="12" t="s">
        <v>321</v>
      </c>
      <c r="L156" s="12"/>
      <c r="M156" s="12"/>
      <c r="N156" s="12"/>
      <c r="O156" s="12"/>
      <c r="P156" s="12"/>
    </row>
    <row r="157" ht="46" customHeight="1" spans="1:16">
      <c r="A157" s="5" t="s">
        <v>1406</v>
      </c>
      <c r="B157" s="17" t="s">
        <v>279</v>
      </c>
      <c r="C157" s="18" t="s">
        <v>693</v>
      </c>
      <c r="D157" s="19" t="s">
        <v>1397</v>
      </c>
      <c r="E157" s="5" t="s">
        <v>1407</v>
      </c>
      <c r="F157" s="5" t="s">
        <v>1044</v>
      </c>
      <c r="G157" s="5" t="s">
        <v>1095</v>
      </c>
      <c r="H157" s="5" t="s">
        <v>1408</v>
      </c>
      <c r="I157" s="5" t="s">
        <v>867</v>
      </c>
      <c r="J157" s="5" t="s">
        <v>1389</v>
      </c>
      <c r="K157" s="12" t="s">
        <v>321</v>
      </c>
      <c r="L157" s="12"/>
      <c r="M157" s="12"/>
      <c r="N157" s="12"/>
      <c r="O157" s="12"/>
      <c r="P157" s="12"/>
    </row>
    <row r="158" ht="46" customHeight="1" spans="1:16">
      <c r="A158" s="5" t="s">
        <v>1409</v>
      </c>
      <c r="B158" s="17" t="s">
        <v>279</v>
      </c>
      <c r="C158" s="18" t="s">
        <v>705</v>
      </c>
      <c r="D158" s="19" t="s">
        <v>1410</v>
      </c>
      <c r="E158" s="5" t="s">
        <v>1411</v>
      </c>
      <c r="F158" s="5" t="s">
        <v>872</v>
      </c>
      <c r="G158" s="5" t="s">
        <v>890</v>
      </c>
      <c r="H158" s="5" t="s">
        <v>1412</v>
      </c>
      <c r="I158" s="5" t="s">
        <v>867</v>
      </c>
      <c r="J158" s="5" t="s">
        <v>701</v>
      </c>
      <c r="K158" s="12" t="s">
        <v>321</v>
      </c>
      <c r="L158" s="12"/>
      <c r="M158" s="12"/>
      <c r="N158" s="12"/>
      <c r="O158" s="12"/>
      <c r="P158" s="12"/>
    </row>
    <row r="159" ht="46" customHeight="1" spans="1:16">
      <c r="A159" s="5" t="s">
        <v>1413</v>
      </c>
      <c r="B159" s="17" t="s">
        <v>279</v>
      </c>
      <c r="C159" s="18" t="s">
        <v>705</v>
      </c>
      <c r="D159" s="19" t="s">
        <v>1410</v>
      </c>
      <c r="E159" s="5" t="s">
        <v>1414</v>
      </c>
      <c r="F159" s="5" t="s">
        <v>880</v>
      </c>
      <c r="G159" s="5" t="s">
        <v>890</v>
      </c>
      <c r="H159" s="5" t="s">
        <v>1415</v>
      </c>
      <c r="I159" s="5" t="s">
        <v>867</v>
      </c>
      <c r="J159" s="5" t="s">
        <v>701</v>
      </c>
      <c r="K159" s="12" t="s">
        <v>321</v>
      </c>
      <c r="L159" s="12"/>
      <c r="M159" s="12"/>
      <c r="N159" s="12"/>
      <c r="O159" s="12"/>
      <c r="P159" s="12"/>
    </row>
    <row r="160" ht="46" customHeight="1" spans="1:16">
      <c r="A160" s="5" t="s">
        <v>1416</v>
      </c>
      <c r="B160" s="17" t="s">
        <v>279</v>
      </c>
      <c r="C160" s="18" t="s">
        <v>705</v>
      </c>
      <c r="D160" s="19" t="s">
        <v>1417</v>
      </c>
      <c r="E160" s="5" t="s">
        <v>1418</v>
      </c>
      <c r="F160" s="5" t="s">
        <v>1419</v>
      </c>
      <c r="G160" s="5" t="s">
        <v>890</v>
      </c>
      <c r="H160" s="5" t="s">
        <v>1420</v>
      </c>
      <c r="I160" s="5" t="s">
        <v>867</v>
      </c>
      <c r="J160" s="5" t="s">
        <v>701</v>
      </c>
      <c r="K160" s="12" t="s">
        <v>321</v>
      </c>
      <c r="L160" s="12"/>
      <c r="M160" s="12"/>
      <c r="N160" s="12"/>
      <c r="O160" s="12"/>
      <c r="P160" s="12"/>
    </row>
    <row r="161" ht="46" customHeight="1" spans="1:16">
      <c r="A161" s="5" t="s">
        <v>1421</v>
      </c>
      <c r="B161" s="17" t="s">
        <v>279</v>
      </c>
      <c r="C161" s="18" t="s">
        <v>705</v>
      </c>
      <c r="D161" s="19" t="s">
        <v>1417</v>
      </c>
      <c r="E161" s="5" t="s">
        <v>1422</v>
      </c>
      <c r="F161" s="5" t="s">
        <v>880</v>
      </c>
      <c r="G161" s="5" t="s">
        <v>890</v>
      </c>
      <c r="H161" s="5" t="s">
        <v>1423</v>
      </c>
      <c r="I161" s="5" t="s">
        <v>867</v>
      </c>
      <c r="J161" s="5" t="s">
        <v>701</v>
      </c>
      <c r="K161" s="12" t="s">
        <v>321</v>
      </c>
      <c r="L161" s="12"/>
      <c r="M161" s="12"/>
      <c r="N161" s="12"/>
      <c r="O161" s="12"/>
      <c r="P161" s="12"/>
    </row>
    <row r="162" ht="46" customHeight="1" spans="1:16">
      <c r="A162" s="5" t="s">
        <v>1424</v>
      </c>
      <c r="B162" s="17" t="s">
        <v>279</v>
      </c>
      <c r="C162" s="18" t="s">
        <v>705</v>
      </c>
      <c r="D162" s="19" t="s">
        <v>1417</v>
      </c>
      <c r="E162" s="5" t="s">
        <v>1425</v>
      </c>
      <c r="F162" s="5" t="s">
        <v>901</v>
      </c>
      <c r="G162" s="5" t="s">
        <v>865</v>
      </c>
      <c r="H162" s="5" t="s">
        <v>1070</v>
      </c>
      <c r="I162" s="5" t="s">
        <v>867</v>
      </c>
      <c r="J162" s="5" t="s">
        <v>701</v>
      </c>
      <c r="K162" s="12" t="s">
        <v>321</v>
      </c>
      <c r="L162" s="12"/>
      <c r="M162" s="12"/>
      <c r="N162" s="12"/>
      <c r="O162" s="12"/>
      <c r="P162" s="12"/>
    </row>
    <row r="163" ht="46" customHeight="1" spans="1:16">
      <c r="A163" s="5" t="s">
        <v>1426</v>
      </c>
      <c r="B163" s="17" t="s">
        <v>279</v>
      </c>
      <c r="C163" s="18" t="s">
        <v>705</v>
      </c>
      <c r="D163" s="19" t="s">
        <v>1417</v>
      </c>
      <c r="E163" s="5" t="s">
        <v>1427</v>
      </c>
      <c r="F163" s="5" t="s">
        <v>885</v>
      </c>
      <c r="G163" s="5" t="s">
        <v>865</v>
      </c>
      <c r="H163" s="5" t="s">
        <v>1428</v>
      </c>
      <c r="I163" s="5" t="s">
        <v>867</v>
      </c>
      <c r="J163" s="5" t="s">
        <v>701</v>
      </c>
      <c r="K163" s="12" t="s">
        <v>321</v>
      </c>
      <c r="L163" s="12"/>
      <c r="M163" s="12"/>
      <c r="N163" s="12"/>
      <c r="O163" s="12"/>
      <c r="P163" s="12"/>
    </row>
    <row r="164" ht="46" customHeight="1" spans="1:16">
      <c r="A164" s="5" t="s">
        <v>1429</v>
      </c>
      <c r="B164" s="17" t="s">
        <v>286</v>
      </c>
      <c r="C164" s="18" t="s">
        <v>735</v>
      </c>
      <c r="D164" s="5" t="s">
        <v>997</v>
      </c>
      <c r="E164" s="5" t="s">
        <v>1430</v>
      </c>
      <c r="F164" s="5" t="s">
        <v>872</v>
      </c>
      <c r="G164" s="5" t="s">
        <v>890</v>
      </c>
      <c r="H164" s="5" t="s">
        <v>1431</v>
      </c>
      <c r="I164" s="5" t="s">
        <v>867</v>
      </c>
      <c r="J164" s="5" t="s">
        <v>730</v>
      </c>
      <c r="K164" s="12" t="s">
        <v>321</v>
      </c>
      <c r="L164" s="12"/>
      <c r="M164" s="12"/>
      <c r="N164" s="12"/>
      <c r="O164" s="12"/>
      <c r="P164" s="12"/>
    </row>
    <row r="165" ht="46" customHeight="1" spans="1:16">
      <c r="A165" s="5" t="s">
        <v>1432</v>
      </c>
      <c r="B165" s="17" t="s">
        <v>286</v>
      </c>
      <c r="C165" s="18" t="s">
        <v>735</v>
      </c>
      <c r="D165" s="5" t="s">
        <v>1324</v>
      </c>
      <c r="E165" s="5" t="s">
        <v>1433</v>
      </c>
      <c r="F165" s="5" t="s">
        <v>872</v>
      </c>
      <c r="G165" s="5" t="s">
        <v>865</v>
      </c>
      <c r="H165" s="5" t="s">
        <v>1434</v>
      </c>
      <c r="I165" s="5" t="s">
        <v>867</v>
      </c>
      <c r="J165" s="5" t="s">
        <v>730</v>
      </c>
      <c r="K165" s="12" t="s">
        <v>321</v>
      </c>
      <c r="L165" s="12"/>
      <c r="M165" s="12"/>
      <c r="N165" s="12"/>
      <c r="O165" s="12"/>
      <c r="P165" s="12"/>
    </row>
    <row r="166" ht="46" customHeight="1" spans="1:16">
      <c r="A166" s="5" t="s">
        <v>1435</v>
      </c>
      <c r="B166" s="17" t="s">
        <v>286</v>
      </c>
      <c r="C166" s="18" t="s">
        <v>735</v>
      </c>
      <c r="D166" s="19" t="s">
        <v>1436</v>
      </c>
      <c r="E166" s="5" t="s">
        <v>1437</v>
      </c>
      <c r="F166" s="5" t="s">
        <v>977</v>
      </c>
      <c r="G166" s="5" t="s">
        <v>890</v>
      </c>
      <c r="H166" s="5" t="s">
        <v>1438</v>
      </c>
      <c r="I166" s="5" t="s">
        <v>867</v>
      </c>
      <c r="J166" s="5" t="s">
        <v>730</v>
      </c>
      <c r="K166" s="12" t="s">
        <v>321</v>
      </c>
      <c r="L166" s="12"/>
      <c r="M166" s="12"/>
      <c r="N166" s="12"/>
      <c r="O166" s="12"/>
      <c r="P166" s="12"/>
    </row>
    <row r="167" ht="46" customHeight="1" spans="1:16">
      <c r="A167" s="5" t="s">
        <v>1439</v>
      </c>
      <c r="B167" s="17" t="s">
        <v>286</v>
      </c>
      <c r="C167" s="18" t="s">
        <v>735</v>
      </c>
      <c r="D167" s="19" t="s">
        <v>1436</v>
      </c>
      <c r="E167" s="5" t="s">
        <v>1440</v>
      </c>
      <c r="F167" s="5" t="s">
        <v>910</v>
      </c>
      <c r="G167" s="5" t="s">
        <v>865</v>
      </c>
      <c r="H167" s="5" t="s">
        <v>1441</v>
      </c>
      <c r="I167" s="5" t="s">
        <v>867</v>
      </c>
      <c r="J167" s="5" t="s">
        <v>730</v>
      </c>
      <c r="K167" s="12" t="s">
        <v>321</v>
      </c>
      <c r="L167" s="12"/>
      <c r="M167" s="12"/>
      <c r="N167" s="12"/>
      <c r="O167" s="12"/>
      <c r="P167" s="12"/>
    </row>
    <row r="168" ht="46" customHeight="1" spans="1:16">
      <c r="A168" s="5" t="s">
        <v>1442</v>
      </c>
      <c r="B168" s="17" t="s">
        <v>286</v>
      </c>
      <c r="C168" s="18" t="s">
        <v>735</v>
      </c>
      <c r="D168" s="5" t="s">
        <v>1443</v>
      </c>
      <c r="E168" s="5" t="s">
        <v>1444</v>
      </c>
      <c r="F168" s="5" t="s">
        <v>1445</v>
      </c>
      <c r="G168" s="5" t="s">
        <v>865</v>
      </c>
      <c r="H168" s="5" t="s">
        <v>1446</v>
      </c>
      <c r="I168" s="5" t="s">
        <v>867</v>
      </c>
      <c r="J168" s="5" t="s">
        <v>730</v>
      </c>
      <c r="K168" s="12" t="s">
        <v>321</v>
      </c>
      <c r="L168" s="12"/>
      <c r="M168" s="12"/>
      <c r="N168" s="12"/>
      <c r="O168" s="12"/>
      <c r="P168" s="12"/>
    </row>
    <row r="169" ht="46" customHeight="1" spans="1:16">
      <c r="A169" s="5" t="s">
        <v>1447</v>
      </c>
      <c r="B169" s="17" t="s">
        <v>286</v>
      </c>
      <c r="C169" s="18" t="s">
        <v>735</v>
      </c>
      <c r="D169" s="5" t="s">
        <v>976</v>
      </c>
      <c r="E169" s="5" t="s">
        <v>1448</v>
      </c>
      <c r="F169" s="5" t="s">
        <v>880</v>
      </c>
      <c r="G169" s="5" t="s">
        <v>890</v>
      </c>
      <c r="H169" s="5" t="s">
        <v>1449</v>
      </c>
      <c r="I169" s="5" t="s">
        <v>867</v>
      </c>
      <c r="J169" s="5" t="s">
        <v>730</v>
      </c>
      <c r="K169" s="12" t="s">
        <v>321</v>
      </c>
      <c r="L169" s="12"/>
      <c r="M169" s="12"/>
      <c r="N169" s="12"/>
      <c r="O169" s="12"/>
      <c r="P169" s="12"/>
    </row>
    <row r="170" ht="46" customHeight="1" spans="1:16">
      <c r="A170" s="5" t="s">
        <v>1450</v>
      </c>
      <c r="B170" s="17" t="s">
        <v>286</v>
      </c>
      <c r="C170" s="18" t="s">
        <v>735</v>
      </c>
      <c r="D170" s="5" t="s">
        <v>1451</v>
      </c>
      <c r="E170" s="5" t="s">
        <v>1452</v>
      </c>
      <c r="F170" s="5" t="s">
        <v>901</v>
      </c>
      <c r="G170" s="5" t="s">
        <v>865</v>
      </c>
      <c r="H170" s="5" t="s">
        <v>1453</v>
      </c>
      <c r="I170" s="5" t="s">
        <v>867</v>
      </c>
      <c r="J170" s="5" t="s">
        <v>730</v>
      </c>
      <c r="K170" s="12" t="s">
        <v>321</v>
      </c>
      <c r="L170" s="12"/>
      <c r="M170" s="12"/>
      <c r="N170" s="12"/>
      <c r="O170" s="12"/>
      <c r="P170" s="12"/>
    </row>
    <row r="171" ht="46" customHeight="1" spans="1:16">
      <c r="A171" s="5" t="s">
        <v>1454</v>
      </c>
      <c r="B171" s="17" t="s">
        <v>286</v>
      </c>
      <c r="C171" s="18" t="s">
        <v>742</v>
      </c>
      <c r="D171" s="19" t="s">
        <v>909</v>
      </c>
      <c r="E171" s="5" t="s">
        <v>1455</v>
      </c>
      <c r="F171" s="5" t="s">
        <v>872</v>
      </c>
      <c r="G171" s="5" t="s">
        <v>890</v>
      </c>
      <c r="H171" s="5" t="s">
        <v>1456</v>
      </c>
      <c r="I171" s="5" t="s">
        <v>867</v>
      </c>
      <c r="J171" s="5" t="s">
        <v>738</v>
      </c>
      <c r="K171" s="12" t="s">
        <v>321</v>
      </c>
      <c r="L171" s="12"/>
      <c r="M171" s="12"/>
      <c r="N171" s="12"/>
      <c r="O171" s="12"/>
      <c r="P171" s="12"/>
    </row>
    <row r="172" ht="46" customHeight="1" spans="1:16">
      <c r="A172" s="5" t="s">
        <v>1457</v>
      </c>
      <c r="B172" s="17" t="s">
        <v>286</v>
      </c>
      <c r="C172" s="18" t="s">
        <v>742</v>
      </c>
      <c r="D172" s="19" t="s">
        <v>909</v>
      </c>
      <c r="E172" s="5" t="s">
        <v>1458</v>
      </c>
      <c r="F172" s="5" t="s">
        <v>880</v>
      </c>
      <c r="G172" s="5" t="s">
        <v>890</v>
      </c>
      <c r="H172" s="5" t="s">
        <v>1459</v>
      </c>
      <c r="I172" s="5" t="s">
        <v>867</v>
      </c>
      <c r="J172" s="5" t="s">
        <v>738</v>
      </c>
      <c r="K172" s="12" t="s">
        <v>321</v>
      </c>
      <c r="L172" s="12"/>
      <c r="M172" s="12"/>
      <c r="N172" s="12"/>
      <c r="O172" s="12"/>
      <c r="P172" s="12"/>
    </row>
    <row r="173" ht="46" customHeight="1" spans="1:16">
      <c r="A173" s="5" t="s">
        <v>1460</v>
      </c>
      <c r="B173" s="17" t="s">
        <v>286</v>
      </c>
      <c r="C173" s="18" t="s">
        <v>742</v>
      </c>
      <c r="D173" s="5" t="s">
        <v>1461</v>
      </c>
      <c r="E173" s="5" t="s">
        <v>1462</v>
      </c>
      <c r="F173" s="5" t="s">
        <v>872</v>
      </c>
      <c r="G173" s="5" t="s">
        <v>865</v>
      </c>
      <c r="H173" s="5" t="s">
        <v>1463</v>
      </c>
      <c r="I173" s="5" t="s">
        <v>867</v>
      </c>
      <c r="J173" s="5" t="s">
        <v>738</v>
      </c>
      <c r="K173" s="12" t="s">
        <v>321</v>
      </c>
      <c r="L173" s="12"/>
      <c r="M173" s="12"/>
      <c r="N173" s="12"/>
      <c r="O173" s="12"/>
      <c r="P173" s="12"/>
    </row>
    <row r="174" ht="46" customHeight="1" spans="1:16">
      <c r="A174" s="5" t="s">
        <v>1464</v>
      </c>
      <c r="B174" s="17" t="s">
        <v>286</v>
      </c>
      <c r="C174" s="18" t="s">
        <v>742</v>
      </c>
      <c r="D174" s="5" t="s">
        <v>1465</v>
      </c>
      <c r="E174" s="5" t="s">
        <v>1466</v>
      </c>
      <c r="F174" s="5" t="s">
        <v>872</v>
      </c>
      <c r="G174" s="5" t="s">
        <v>865</v>
      </c>
      <c r="H174" s="5" t="s">
        <v>1467</v>
      </c>
      <c r="I174" s="5" t="s">
        <v>867</v>
      </c>
      <c r="J174" s="5" t="s">
        <v>738</v>
      </c>
      <c r="K174" s="12" t="s">
        <v>321</v>
      </c>
      <c r="L174" s="12"/>
      <c r="M174" s="12"/>
      <c r="N174" s="12"/>
      <c r="O174" s="12"/>
      <c r="P174" s="12"/>
    </row>
    <row r="175" ht="46" customHeight="1" spans="1:16">
      <c r="A175" s="5" t="s">
        <v>1468</v>
      </c>
      <c r="B175" s="17" t="s">
        <v>286</v>
      </c>
      <c r="C175" s="18" t="s">
        <v>742</v>
      </c>
      <c r="D175" s="19" t="s">
        <v>952</v>
      </c>
      <c r="E175" s="5" t="s">
        <v>1469</v>
      </c>
      <c r="F175" s="5" t="s">
        <v>1210</v>
      </c>
      <c r="G175" s="5" t="s">
        <v>890</v>
      </c>
      <c r="H175" s="5" t="s">
        <v>1470</v>
      </c>
      <c r="I175" s="5" t="s">
        <v>867</v>
      </c>
      <c r="J175" s="5" t="s">
        <v>738</v>
      </c>
      <c r="K175" s="12" t="s">
        <v>321</v>
      </c>
      <c r="L175" s="12"/>
      <c r="M175" s="12"/>
      <c r="N175" s="12"/>
      <c r="O175" s="12"/>
      <c r="P175" s="12"/>
    </row>
    <row r="176" ht="46" customHeight="1" spans="1:16">
      <c r="A176" s="5" t="s">
        <v>1471</v>
      </c>
      <c r="B176" s="17" t="s">
        <v>286</v>
      </c>
      <c r="C176" s="18" t="s">
        <v>742</v>
      </c>
      <c r="D176" s="19" t="s">
        <v>952</v>
      </c>
      <c r="E176" s="5" t="s">
        <v>1472</v>
      </c>
      <c r="F176" s="5" t="s">
        <v>894</v>
      </c>
      <c r="G176" s="5" t="s">
        <v>865</v>
      </c>
      <c r="H176" s="5" t="s">
        <v>1473</v>
      </c>
      <c r="I176" s="5" t="s">
        <v>867</v>
      </c>
      <c r="J176" s="5" t="s">
        <v>738</v>
      </c>
      <c r="K176" s="12" t="s">
        <v>321</v>
      </c>
      <c r="L176" s="12"/>
      <c r="M176" s="12"/>
      <c r="N176" s="12"/>
      <c r="O176" s="12"/>
      <c r="P176" s="12"/>
    </row>
    <row r="177" ht="46" customHeight="1" spans="1:16">
      <c r="A177" s="5" t="s">
        <v>1474</v>
      </c>
      <c r="B177" s="17" t="s">
        <v>286</v>
      </c>
      <c r="C177" s="18" t="s">
        <v>742</v>
      </c>
      <c r="D177" s="5" t="s">
        <v>1475</v>
      </c>
      <c r="E177" s="5" t="s">
        <v>1476</v>
      </c>
      <c r="F177" s="5" t="s">
        <v>1477</v>
      </c>
      <c r="G177" s="5" t="s">
        <v>865</v>
      </c>
      <c r="H177" s="5" t="s">
        <v>1478</v>
      </c>
      <c r="I177" s="5" t="s">
        <v>867</v>
      </c>
      <c r="J177" s="5" t="s">
        <v>738</v>
      </c>
      <c r="K177" s="12" t="s">
        <v>321</v>
      </c>
      <c r="L177" s="12"/>
      <c r="M177" s="12"/>
      <c r="N177" s="12"/>
      <c r="O177" s="12"/>
      <c r="P177" s="12"/>
    </row>
    <row r="178" ht="46" customHeight="1" spans="1:16">
      <c r="A178" s="5" t="s">
        <v>1479</v>
      </c>
      <c r="B178" s="17" t="s">
        <v>286</v>
      </c>
      <c r="C178" s="18" t="s">
        <v>742</v>
      </c>
      <c r="D178" s="5" t="s">
        <v>1397</v>
      </c>
      <c r="E178" s="5" t="s">
        <v>1480</v>
      </c>
      <c r="F178" s="5" t="s">
        <v>1481</v>
      </c>
      <c r="G178" s="5" t="s">
        <v>865</v>
      </c>
      <c r="H178" s="5" t="s">
        <v>1482</v>
      </c>
      <c r="I178" s="5" t="s">
        <v>867</v>
      </c>
      <c r="J178" s="5" t="s">
        <v>738</v>
      </c>
      <c r="K178" s="12" t="s">
        <v>321</v>
      </c>
      <c r="L178" s="12"/>
      <c r="M178" s="12"/>
      <c r="N178" s="12"/>
      <c r="O178" s="12"/>
      <c r="P178" s="12"/>
    </row>
    <row r="179" ht="46" customHeight="1" spans="1:16">
      <c r="A179" s="5" t="s">
        <v>1483</v>
      </c>
      <c r="B179" s="17" t="s">
        <v>286</v>
      </c>
      <c r="C179" s="18" t="s">
        <v>749</v>
      </c>
      <c r="D179" s="19" t="s">
        <v>946</v>
      </c>
      <c r="E179" s="5" t="s">
        <v>1484</v>
      </c>
      <c r="F179" s="5" t="s">
        <v>880</v>
      </c>
      <c r="G179" s="5" t="s">
        <v>890</v>
      </c>
      <c r="H179" s="5" t="s">
        <v>1485</v>
      </c>
      <c r="I179" s="5" t="s">
        <v>867</v>
      </c>
      <c r="J179" s="5" t="s">
        <v>1486</v>
      </c>
      <c r="K179" s="12" t="s">
        <v>321</v>
      </c>
      <c r="L179" s="12"/>
      <c r="M179" s="12"/>
      <c r="N179" s="12"/>
      <c r="O179" s="12"/>
      <c r="P179" s="12"/>
    </row>
    <row r="180" ht="46" customHeight="1" spans="1:16">
      <c r="A180" s="5" t="s">
        <v>1487</v>
      </c>
      <c r="B180" s="17" t="s">
        <v>286</v>
      </c>
      <c r="C180" s="18" t="s">
        <v>749</v>
      </c>
      <c r="D180" s="19" t="s">
        <v>946</v>
      </c>
      <c r="E180" s="5" t="s">
        <v>1488</v>
      </c>
      <c r="F180" s="5" t="s">
        <v>872</v>
      </c>
      <c r="G180" s="5" t="s">
        <v>890</v>
      </c>
      <c r="H180" s="5" t="s">
        <v>1489</v>
      </c>
      <c r="I180" s="5" t="s">
        <v>867</v>
      </c>
      <c r="J180" s="5" t="s">
        <v>1486</v>
      </c>
      <c r="K180" s="12" t="s">
        <v>321</v>
      </c>
      <c r="L180" s="12"/>
      <c r="M180" s="12"/>
      <c r="N180" s="12"/>
      <c r="O180" s="12"/>
      <c r="P180" s="12"/>
    </row>
    <row r="181" ht="46" customHeight="1" spans="1:16">
      <c r="A181" s="5" t="s">
        <v>1490</v>
      </c>
      <c r="B181" s="17" t="s">
        <v>286</v>
      </c>
      <c r="C181" s="18" t="s">
        <v>749</v>
      </c>
      <c r="D181" s="19" t="s">
        <v>946</v>
      </c>
      <c r="E181" s="5" t="s">
        <v>1491</v>
      </c>
      <c r="F181" s="5" t="s">
        <v>872</v>
      </c>
      <c r="G181" s="5" t="s">
        <v>890</v>
      </c>
      <c r="H181" s="5" t="s">
        <v>1492</v>
      </c>
      <c r="I181" s="5" t="s">
        <v>867</v>
      </c>
      <c r="J181" s="5" t="s">
        <v>1486</v>
      </c>
      <c r="K181" s="12" t="s">
        <v>321</v>
      </c>
      <c r="L181" s="12"/>
      <c r="M181" s="12"/>
      <c r="N181" s="12"/>
      <c r="O181" s="12"/>
      <c r="P181" s="12"/>
    </row>
    <row r="182" ht="46" customHeight="1" spans="1:16">
      <c r="A182" s="5" t="s">
        <v>1493</v>
      </c>
      <c r="B182" s="17" t="s">
        <v>286</v>
      </c>
      <c r="C182" s="18" t="s">
        <v>749</v>
      </c>
      <c r="D182" s="19" t="s">
        <v>946</v>
      </c>
      <c r="E182" s="5" t="s">
        <v>1494</v>
      </c>
      <c r="F182" s="5" t="s">
        <v>1044</v>
      </c>
      <c r="G182" s="5" t="s">
        <v>865</v>
      </c>
      <c r="H182" s="5" t="s">
        <v>1495</v>
      </c>
      <c r="I182" s="5" t="s">
        <v>867</v>
      </c>
      <c r="J182" s="5" t="s">
        <v>1486</v>
      </c>
      <c r="K182" s="12" t="s">
        <v>321</v>
      </c>
      <c r="L182" s="12"/>
      <c r="M182" s="12"/>
      <c r="N182" s="12"/>
      <c r="O182" s="12"/>
      <c r="P182" s="12"/>
    </row>
    <row r="183" ht="46" customHeight="1" spans="1:16">
      <c r="A183" s="5" t="s">
        <v>1496</v>
      </c>
      <c r="B183" s="17" t="s">
        <v>286</v>
      </c>
      <c r="C183" s="18" t="s">
        <v>749</v>
      </c>
      <c r="D183" s="19" t="s">
        <v>946</v>
      </c>
      <c r="E183" s="5" t="s">
        <v>1497</v>
      </c>
      <c r="F183" s="5" t="s">
        <v>905</v>
      </c>
      <c r="G183" s="5" t="s">
        <v>890</v>
      </c>
      <c r="H183" s="5" t="s">
        <v>1498</v>
      </c>
      <c r="I183" s="5" t="s">
        <v>867</v>
      </c>
      <c r="J183" s="5" t="s">
        <v>1486</v>
      </c>
      <c r="K183" s="12" t="s">
        <v>321</v>
      </c>
      <c r="L183" s="12"/>
      <c r="M183" s="12"/>
      <c r="N183" s="12"/>
      <c r="O183" s="12"/>
      <c r="P183" s="12"/>
    </row>
    <row r="184" ht="46" customHeight="1" spans="1:16">
      <c r="A184" s="5" t="s">
        <v>1499</v>
      </c>
      <c r="B184" s="17" t="s">
        <v>286</v>
      </c>
      <c r="C184" s="18" t="s">
        <v>749</v>
      </c>
      <c r="D184" s="5" t="s">
        <v>1475</v>
      </c>
      <c r="E184" s="5" t="s">
        <v>1500</v>
      </c>
      <c r="F184" s="5" t="s">
        <v>1501</v>
      </c>
      <c r="G184" s="5" t="s">
        <v>865</v>
      </c>
      <c r="H184" s="5" t="s">
        <v>1502</v>
      </c>
      <c r="I184" s="5" t="s">
        <v>867</v>
      </c>
      <c r="J184" s="5" t="s">
        <v>1486</v>
      </c>
      <c r="K184" s="12" t="s">
        <v>321</v>
      </c>
      <c r="L184" s="12"/>
      <c r="M184" s="12"/>
      <c r="N184" s="12"/>
      <c r="O184" s="12"/>
      <c r="P184" s="12"/>
    </row>
    <row r="185" ht="46" customHeight="1" spans="1:16">
      <c r="A185" s="5" t="s">
        <v>1503</v>
      </c>
      <c r="B185" s="17" t="s">
        <v>286</v>
      </c>
      <c r="C185" s="18" t="s">
        <v>761</v>
      </c>
      <c r="D185" s="19" t="s">
        <v>1504</v>
      </c>
      <c r="E185" s="5" t="s">
        <v>1505</v>
      </c>
      <c r="F185" s="5" t="s">
        <v>880</v>
      </c>
      <c r="G185" s="5" t="s">
        <v>890</v>
      </c>
      <c r="H185" s="5" t="s">
        <v>1506</v>
      </c>
      <c r="I185" s="5" t="s">
        <v>867</v>
      </c>
      <c r="J185" s="5" t="s">
        <v>757</v>
      </c>
      <c r="K185" s="12" t="s">
        <v>321</v>
      </c>
      <c r="L185" s="12"/>
      <c r="M185" s="12"/>
      <c r="N185" s="12"/>
      <c r="O185" s="12"/>
      <c r="P185" s="12"/>
    </row>
    <row r="186" ht="46" customHeight="1" spans="1:16">
      <c r="A186" s="5" t="s">
        <v>1507</v>
      </c>
      <c r="B186" s="17" t="s">
        <v>286</v>
      </c>
      <c r="C186" s="18" t="s">
        <v>761</v>
      </c>
      <c r="D186" s="19" t="s">
        <v>1504</v>
      </c>
      <c r="E186" s="5" t="s">
        <v>1508</v>
      </c>
      <c r="F186" s="5" t="s">
        <v>1509</v>
      </c>
      <c r="G186" s="5" t="s">
        <v>890</v>
      </c>
      <c r="H186" s="5" t="s">
        <v>1510</v>
      </c>
      <c r="I186" s="5" t="s">
        <v>867</v>
      </c>
      <c r="J186" s="5" t="s">
        <v>757</v>
      </c>
      <c r="K186" s="12" t="s">
        <v>321</v>
      </c>
      <c r="L186" s="12"/>
      <c r="M186" s="12"/>
      <c r="N186" s="12"/>
      <c r="O186" s="12"/>
      <c r="P186" s="12"/>
    </row>
    <row r="187" ht="46" customHeight="1" spans="1:16">
      <c r="A187" s="5" t="s">
        <v>1511</v>
      </c>
      <c r="B187" s="17" t="s">
        <v>286</v>
      </c>
      <c r="C187" s="18" t="s">
        <v>761</v>
      </c>
      <c r="D187" s="19" t="s">
        <v>1504</v>
      </c>
      <c r="E187" s="5" t="s">
        <v>1512</v>
      </c>
      <c r="F187" s="5" t="s">
        <v>880</v>
      </c>
      <c r="G187" s="5" t="s">
        <v>890</v>
      </c>
      <c r="H187" s="5" t="s">
        <v>1513</v>
      </c>
      <c r="I187" s="5" t="s">
        <v>867</v>
      </c>
      <c r="J187" s="5" t="s">
        <v>757</v>
      </c>
      <c r="K187" s="12" t="s">
        <v>321</v>
      </c>
      <c r="L187" s="12"/>
      <c r="M187" s="12"/>
      <c r="N187" s="12"/>
      <c r="O187" s="12"/>
      <c r="P187" s="12"/>
    </row>
    <row r="188" ht="46" customHeight="1" spans="1:16">
      <c r="A188" s="5" t="s">
        <v>1514</v>
      </c>
      <c r="B188" s="17" t="s">
        <v>286</v>
      </c>
      <c r="C188" s="18" t="s">
        <v>761</v>
      </c>
      <c r="D188" s="19" t="s">
        <v>1515</v>
      </c>
      <c r="E188" s="5" t="s">
        <v>1516</v>
      </c>
      <c r="F188" s="5" t="s">
        <v>1044</v>
      </c>
      <c r="G188" s="5" t="s">
        <v>865</v>
      </c>
      <c r="H188" s="5" t="s">
        <v>1517</v>
      </c>
      <c r="I188" s="5" t="s">
        <v>867</v>
      </c>
      <c r="J188" s="5" t="s">
        <v>757</v>
      </c>
      <c r="K188" s="12" t="s">
        <v>321</v>
      </c>
      <c r="L188" s="12"/>
      <c r="M188" s="12"/>
      <c r="N188" s="12"/>
      <c r="O188" s="12"/>
      <c r="P188" s="12"/>
    </row>
    <row r="189" ht="46" customHeight="1" spans="1:16">
      <c r="A189" s="5" t="s">
        <v>1518</v>
      </c>
      <c r="B189" s="17" t="s">
        <v>286</v>
      </c>
      <c r="C189" s="18" t="s">
        <v>761</v>
      </c>
      <c r="D189" s="19" t="s">
        <v>1515</v>
      </c>
      <c r="E189" s="5" t="s">
        <v>1519</v>
      </c>
      <c r="F189" s="5" t="s">
        <v>885</v>
      </c>
      <c r="G189" s="5" t="s">
        <v>865</v>
      </c>
      <c r="H189" s="5" t="s">
        <v>1520</v>
      </c>
      <c r="I189" s="5" t="s">
        <v>867</v>
      </c>
      <c r="J189" s="5" t="s">
        <v>757</v>
      </c>
      <c r="K189" s="12" t="s">
        <v>321</v>
      </c>
      <c r="L189" s="12"/>
      <c r="M189" s="12"/>
      <c r="N189" s="12"/>
      <c r="O189" s="12"/>
      <c r="P189" s="12"/>
    </row>
    <row r="190" ht="46" customHeight="1" spans="1:16">
      <c r="A190" s="5" t="s">
        <v>1521</v>
      </c>
      <c r="B190" s="17" t="s">
        <v>286</v>
      </c>
      <c r="C190" s="18" t="s">
        <v>769</v>
      </c>
      <c r="D190" s="5" t="s">
        <v>1522</v>
      </c>
      <c r="E190" s="5" t="s">
        <v>1523</v>
      </c>
      <c r="F190" s="5" t="s">
        <v>880</v>
      </c>
      <c r="G190" s="5" t="s">
        <v>890</v>
      </c>
      <c r="H190" s="5" t="s">
        <v>1524</v>
      </c>
      <c r="I190" s="5" t="s">
        <v>867</v>
      </c>
      <c r="J190" s="5" t="s">
        <v>764</v>
      </c>
      <c r="K190" s="12" t="s">
        <v>321</v>
      </c>
      <c r="L190" s="12"/>
      <c r="M190" s="12"/>
      <c r="N190" s="12"/>
      <c r="O190" s="12"/>
      <c r="P190" s="12"/>
    </row>
    <row r="191" ht="46" customHeight="1" spans="1:16">
      <c r="A191" s="5" t="s">
        <v>1525</v>
      </c>
      <c r="B191" s="17" t="s">
        <v>286</v>
      </c>
      <c r="C191" s="18" t="s">
        <v>769</v>
      </c>
      <c r="D191" s="19" t="s">
        <v>1508</v>
      </c>
      <c r="E191" s="5" t="s">
        <v>1526</v>
      </c>
      <c r="F191" s="5" t="s">
        <v>1419</v>
      </c>
      <c r="G191" s="5" t="s">
        <v>890</v>
      </c>
      <c r="H191" s="5" t="s">
        <v>1527</v>
      </c>
      <c r="I191" s="5" t="s">
        <v>867</v>
      </c>
      <c r="J191" s="5" t="s">
        <v>764</v>
      </c>
      <c r="K191" s="12" t="s">
        <v>321</v>
      </c>
      <c r="L191" s="12"/>
      <c r="M191" s="12"/>
      <c r="N191" s="12"/>
      <c r="O191" s="12"/>
      <c r="P191" s="12"/>
    </row>
    <row r="192" ht="46" customHeight="1" spans="1:16">
      <c r="A192" s="5" t="s">
        <v>1528</v>
      </c>
      <c r="B192" s="17" t="s">
        <v>286</v>
      </c>
      <c r="C192" s="18" t="s">
        <v>769</v>
      </c>
      <c r="D192" s="19" t="s">
        <v>1508</v>
      </c>
      <c r="E192" s="5" t="s">
        <v>1529</v>
      </c>
      <c r="F192" s="5" t="s">
        <v>1044</v>
      </c>
      <c r="G192" s="5" t="s">
        <v>890</v>
      </c>
      <c r="H192" s="5" t="s">
        <v>1530</v>
      </c>
      <c r="I192" s="5" t="s">
        <v>867</v>
      </c>
      <c r="J192" s="5" t="s">
        <v>764</v>
      </c>
      <c r="K192" s="12" t="s">
        <v>321</v>
      </c>
      <c r="L192" s="12"/>
      <c r="M192" s="12"/>
      <c r="N192" s="12"/>
      <c r="O192" s="12"/>
      <c r="P192" s="12"/>
    </row>
    <row r="193" ht="46" customHeight="1" spans="1:16">
      <c r="A193" s="5" t="s">
        <v>1531</v>
      </c>
      <c r="B193" s="17" t="s">
        <v>286</v>
      </c>
      <c r="C193" s="18" t="s">
        <v>769</v>
      </c>
      <c r="D193" s="5" t="s">
        <v>1532</v>
      </c>
      <c r="E193" s="5" t="s">
        <v>1533</v>
      </c>
      <c r="F193" s="5" t="s">
        <v>1044</v>
      </c>
      <c r="G193" s="5" t="s">
        <v>890</v>
      </c>
      <c r="H193" s="5" t="s">
        <v>1534</v>
      </c>
      <c r="I193" s="5" t="s">
        <v>867</v>
      </c>
      <c r="J193" s="5" t="s">
        <v>764</v>
      </c>
      <c r="K193" s="12" t="s">
        <v>321</v>
      </c>
      <c r="L193" s="12"/>
      <c r="M193" s="12"/>
      <c r="N193" s="12"/>
      <c r="O193" s="12"/>
      <c r="P193" s="12"/>
    </row>
    <row r="194" ht="46" customHeight="1" spans="1:16">
      <c r="A194" s="5" t="s">
        <v>1535</v>
      </c>
      <c r="B194" s="17" t="s">
        <v>286</v>
      </c>
      <c r="C194" s="18" t="s">
        <v>769</v>
      </c>
      <c r="D194" s="5" t="s">
        <v>1536</v>
      </c>
      <c r="E194" s="5" t="s">
        <v>1537</v>
      </c>
      <c r="F194" s="5" t="s">
        <v>1044</v>
      </c>
      <c r="G194" s="5" t="s">
        <v>890</v>
      </c>
      <c r="H194" s="5" t="s">
        <v>1538</v>
      </c>
      <c r="I194" s="5" t="s">
        <v>867</v>
      </c>
      <c r="J194" s="5" t="s">
        <v>764</v>
      </c>
      <c r="K194" s="12" t="s">
        <v>321</v>
      </c>
      <c r="L194" s="12"/>
      <c r="M194" s="12"/>
      <c r="N194" s="12"/>
      <c r="O194" s="12"/>
      <c r="P194" s="12"/>
    </row>
    <row r="195" ht="46" customHeight="1" spans="1:16">
      <c r="A195" s="5" t="s">
        <v>1539</v>
      </c>
      <c r="B195" s="17" t="s">
        <v>286</v>
      </c>
      <c r="C195" s="18" t="s">
        <v>769</v>
      </c>
      <c r="D195" s="5" t="s">
        <v>1540</v>
      </c>
      <c r="E195" s="5" t="s">
        <v>1541</v>
      </c>
      <c r="F195" s="5" t="s">
        <v>1501</v>
      </c>
      <c r="G195" s="5" t="s">
        <v>890</v>
      </c>
      <c r="H195" s="5" t="s">
        <v>1542</v>
      </c>
      <c r="I195" s="5" t="s">
        <v>867</v>
      </c>
      <c r="J195" s="5" t="s">
        <v>764</v>
      </c>
      <c r="K195" s="12" t="s">
        <v>321</v>
      </c>
      <c r="L195" s="12"/>
      <c r="M195" s="12"/>
      <c r="N195" s="12"/>
      <c r="O195" s="12"/>
      <c r="P195" s="12"/>
    </row>
    <row r="196" ht="46" customHeight="1" spans="1:16">
      <c r="A196" s="5" t="s">
        <v>1543</v>
      </c>
      <c r="B196" s="17" t="s">
        <v>286</v>
      </c>
      <c r="C196" s="18" t="s">
        <v>769</v>
      </c>
      <c r="D196" s="5" t="s">
        <v>1544</v>
      </c>
      <c r="E196" s="5" t="s">
        <v>1545</v>
      </c>
      <c r="F196" s="5" t="s">
        <v>1501</v>
      </c>
      <c r="G196" s="5" t="s">
        <v>865</v>
      </c>
      <c r="H196" s="5" t="s">
        <v>1546</v>
      </c>
      <c r="I196" s="5" t="s">
        <v>867</v>
      </c>
      <c r="J196" s="5" t="s">
        <v>764</v>
      </c>
      <c r="K196" s="12" t="s">
        <v>321</v>
      </c>
      <c r="L196" s="12"/>
      <c r="M196" s="12"/>
      <c r="N196" s="12"/>
      <c r="O196" s="12"/>
      <c r="P196" s="12"/>
    </row>
    <row r="197" ht="46" customHeight="1" spans="1:16">
      <c r="A197" s="5" t="s">
        <v>1547</v>
      </c>
      <c r="B197" s="17" t="s">
        <v>286</v>
      </c>
      <c r="C197" s="18" t="s">
        <v>713</v>
      </c>
      <c r="D197" s="5" t="s">
        <v>1548</v>
      </c>
      <c r="E197" s="5" t="s">
        <v>1549</v>
      </c>
      <c r="F197" s="5" t="s">
        <v>1550</v>
      </c>
      <c r="G197" s="5" t="s">
        <v>865</v>
      </c>
      <c r="H197" s="5" t="s">
        <v>1551</v>
      </c>
      <c r="I197" s="5" t="s">
        <v>867</v>
      </c>
      <c r="J197" s="5" t="s">
        <v>1552</v>
      </c>
      <c r="K197" s="12" t="s">
        <v>321</v>
      </c>
      <c r="L197" s="12"/>
      <c r="M197" s="12"/>
      <c r="N197" s="12"/>
      <c r="O197" s="12"/>
      <c r="P197" s="12"/>
    </row>
    <row r="198" ht="46" customHeight="1" spans="1:16">
      <c r="A198" s="5" t="s">
        <v>1553</v>
      </c>
      <c r="B198" s="17" t="s">
        <v>286</v>
      </c>
      <c r="C198" s="18" t="s">
        <v>713</v>
      </c>
      <c r="D198" s="5" t="s">
        <v>1554</v>
      </c>
      <c r="E198" s="5" t="s">
        <v>1555</v>
      </c>
      <c r="F198" s="5" t="s">
        <v>880</v>
      </c>
      <c r="G198" s="5" t="s">
        <v>890</v>
      </c>
      <c r="H198" s="5" t="s">
        <v>1556</v>
      </c>
      <c r="I198" s="5" t="s">
        <v>867</v>
      </c>
      <c r="J198" s="5" t="s">
        <v>1552</v>
      </c>
      <c r="K198" s="12" t="s">
        <v>321</v>
      </c>
      <c r="L198" s="12"/>
      <c r="M198" s="12"/>
      <c r="N198" s="12"/>
      <c r="O198" s="12"/>
      <c r="P198" s="12"/>
    </row>
    <row r="199" ht="46" customHeight="1" spans="1:16">
      <c r="A199" s="5" t="s">
        <v>1557</v>
      </c>
      <c r="B199" s="17" t="s">
        <v>286</v>
      </c>
      <c r="C199" s="18" t="s">
        <v>713</v>
      </c>
      <c r="D199" s="19" t="s">
        <v>1558</v>
      </c>
      <c r="E199" s="5" t="s">
        <v>1559</v>
      </c>
      <c r="F199" s="5" t="s">
        <v>864</v>
      </c>
      <c r="G199" s="5" t="s">
        <v>890</v>
      </c>
      <c r="H199" s="5" t="s">
        <v>1560</v>
      </c>
      <c r="I199" s="5" t="s">
        <v>867</v>
      </c>
      <c r="J199" s="5" t="s">
        <v>1552</v>
      </c>
      <c r="K199" s="12" t="s">
        <v>321</v>
      </c>
      <c r="L199" s="12"/>
      <c r="M199" s="12"/>
      <c r="N199" s="12"/>
      <c r="O199" s="12"/>
      <c r="P199" s="12"/>
    </row>
    <row r="200" ht="46" customHeight="1" spans="1:16">
      <c r="A200" s="5" t="s">
        <v>1561</v>
      </c>
      <c r="B200" s="17" t="s">
        <v>286</v>
      </c>
      <c r="C200" s="18" t="s">
        <v>713</v>
      </c>
      <c r="D200" s="19" t="s">
        <v>1558</v>
      </c>
      <c r="E200" s="5" t="s">
        <v>1562</v>
      </c>
      <c r="F200" s="5" t="s">
        <v>864</v>
      </c>
      <c r="G200" s="5" t="s">
        <v>865</v>
      </c>
      <c r="H200" s="5" t="s">
        <v>1563</v>
      </c>
      <c r="I200" s="5" t="s">
        <v>867</v>
      </c>
      <c r="J200" s="5" t="s">
        <v>1552</v>
      </c>
      <c r="K200" s="12" t="s">
        <v>321</v>
      </c>
      <c r="L200" s="12"/>
      <c r="M200" s="12"/>
      <c r="N200" s="12"/>
      <c r="O200" s="12"/>
      <c r="P200" s="12"/>
    </row>
    <row r="201" ht="46" customHeight="1" spans="1:16">
      <c r="A201" s="5" t="s">
        <v>1564</v>
      </c>
      <c r="B201" s="17" t="s">
        <v>286</v>
      </c>
      <c r="C201" s="18" t="s">
        <v>713</v>
      </c>
      <c r="D201" s="5" t="s">
        <v>1565</v>
      </c>
      <c r="E201" s="5" t="s">
        <v>1566</v>
      </c>
      <c r="F201" s="5" t="s">
        <v>864</v>
      </c>
      <c r="G201" s="5" t="s">
        <v>865</v>
      </c>
      <c r="H201" s="5" t="s">
        <v>1567</v>
      </c>
      <c r="I201" s="5" t="s">
        <v>867</v>
      </c>
      <c r="J201" s="5" t="s">
        <v>1552</v>
      </c>
      <c r="K201" s="12" t="s">
        <v>321</v>
      </c>
      <c r="L201" s="12"/>
      <c r="M201" s="12"/>
      <c r="N201" s="12"/>
      <c r="O201" s="12"/>
      <c r="P201" s="12"/>
    </row>
    <row r="202" ht="46" customHeight="1" spans="1:16">
      <c r="A202" s="5" t="s">
        <v>1568</v>
      </c>
      <c r="B202" s="17" t="s">
        <v>286</v>
      </c>
      <c r="C202" s="18" t="s">
        <v>713</v>
      </c>
      <c r="D202" s="5" t="s">
        <v>1137</v>
      </c>
      <c r="E202" s="5" t="s">
        <v>1569</v>
      </c>
      <c r="F202" s="5" t="s">
        <v>864</v>
      </c>
      <c r="G202" s="5" t="s">
        <v>865</v>
      </c>
      <c r="H202" s="5" t="s">
        <v>1570</v>
      </c>
      <c r="I202" s="5" t="s">
        <v>867</v>
      </c>
      <c r="J202" s="5" t="s">
        <v>1552</v>
      </c>
      <c r="K202" s="12" t="s">
        <v>321</v>
      </c>
      <c r="L202" s="12"/>
      <c r="M202" s="12"/>
      <c r="N202" s="12"/>
      <c r="O202" s="12"/>
      <c r="P202" s="12"/>
    </row>
    <row r="203" ht="46" customHeight="1" spans="1:16">
      <c r="A203" s="5" t="s">
        <v>1571</v>
      </c>
      <c r="B203" s="17" t="s">
        <v>286</v>
      </c>
      <c r="C203" s="18" t="s">
        <v>776</v>
      </c>
      <c r="D203" s="19" t="s">
        <v>1572</v>
      </c>
      <c r="E203" s="5" t="s">
        <v>1573</v>
      </c>
      <c r="F203" s="5" t="s">
        <v>1181</v>
      </c>
      <c r="G203" s="5" t="s">
        <v>890</v>
      </c>
      <c r="H203" s="5" t="s">
        <v>1574</v>
      </c>
      <c r="I203" s="5" t="s">
        <v>867</v>
      </c>
      <c r="J203" s="5" t="s">
        <v>772</v>
      </c>
      <c r="K203" s="12" t="s">
        <v>321</v>
      </c>
      <c r="L203" s="12"/>
      <c r="M203" s="12"/>
      <c r="N203" s="12"/>
      <c r="O203" s="12"/>
      <c r="P203" s="12"/>
    </row>
    <row r="204" ht="46" customHeight="1" spans="1:16">
      <c r="A204" s="5" t="s">
        <v>1575</v>
      </c>
      <c r="B204" s="17" t="s">
        <v>286</v>
      </c>
      <c r="C204" s="18" t="s">
        <v>776</v>
      </c>
      <c r="D204" s="19" t="s">
        <v>1572</v>
      </c>
      <c r="E204" s="5" t="s">
        <v>1576</v>
      </c>
      <c r="F204" s="5" t="s">
        <v>1576</v>
      </c>
      <c r="G204" s="5" t="s">
        <v>1577</v>
      </c>
      <c r="H204" s="5" t="s">
        <v>1578</v>
      </c>
      <c r="I204" s="5" t="s">
        <v>867</v>
      </c>
      <c r="J204" s="5" t="s">
        <v>772</v>
      </c>
      <c r="K204" s="12" t="s">
        <v>321</v>
      </c>
      <c r="L204" s="12"/>
      <c r="M204" s="12"/>
      <c r="N204" s="12"/>
      <c r="O204" s="12"/>
      <c r="P204" s="12"/>
    </row>
    <row r="205" ht="46" customHeight="1" spans="1:16">
      <c r="A205" s="5" t="s">
        <v>1579</v>
      </c>
      <c r="B205" s="17" t="s">
        <v>286</v>
      </c>
      <c r="C205" s="18" t="s">
        <v>776</v>
      </c>
      <c r="D205" s="5" t="s">
        <v>1580</v>
      </c>
      <c r="E205" s="5" t="s">
        <v>1581</v>
      </c>
      <c r="F205" s="5" t="s">
        <v>880</v>
      </c>
      <c r="G205" s="5" t="s">
        <v>890</v>
      </c>
      <c r="H205" s="5" t="s">
        <v>1438</v>
      </c>
      <c r="I205" s="5" t="s">
        <v>867</v>
      </c>
      <c r="J205" s="5" t="s">
        <v>772</v>
      </c>
      <c r="K205" s="12" t="s">
        <v>321</v>
      </c>
      <c r="L205" s="12"/>
      <c r="M205" s="12"/>
      <c r="N205" s="12"/>
      <c r="O205" s="12"/>
      <c r="P205" s="12"/>
    </row>
    <row r="206" ht="46" customHeight="1" spans="1:16">
      <c r="A206" s="5" t="s">
        <v>1582</v>
      </c>
      <c r="B206" s="17" t="s">
        <v>286</v>
      </c>
      <c r="C206" s="18" t="s">
        <v>776</v>
      </c>
      <c r="D206" s="19" t="s">
        <v>1436</v>
      </c>
      <c r="E206" s="5" t="s">
        <v>1583</v>
      </c>
      <c r="F206" s="5" t="s">
        <v>864</v>
      </c>
      <c r="G206" s="5" t="s">
        <v>890</v>
      </c>
      <c r="H206" s="5" t="s">
        <v>1584</v>
      </c>
      <c r="I206" s="5" t="s">
        <v>867</v>
      </c>
      <c r="J206" s="5" t="s">
        <v>772</v>
      </c>
      <c r="K206" s="12" t="s">
        <v>321</v>
      </c>
      <c r="L206" s="12"/>
      <c r="M206" s="12"/>
      <c r="N206" s="12"/>
      <c r="O206" s="12"/>
      <c r="P206" s="12"/>
    </row>
    <row r="207" ht="46" customHeight="1" spans="1:16">
      <c r="A207" s="5" t="s">
        <v>1585</v>
      </c>
      <c r="B207" s="17" t="s">
        <v>286</v>
      </c>
      <c r="C207" s="18" t="s">
        <v>776</v>
      </c>
      <c r="D207" s="19" t="s">
        <v>1436</v>
      </c>
      <c r="E207" s="5" t="s">
        <v>1441</v>
      </c>
      <c r="F207" s="5" t="s">
        <v>864</v>
      </c>
      <c r="G207" s="5" t="s">
        <v>890</v>
      </c>
      <c r="H207" s="5" t="s">
        <v>1586</v>
      </c>
      <c r="I207" s="5" t="s">
        <v>867</v>
      </c>
      <c r="J207" s="5" t="s">
        <v>772</v>
      </c>
      <c r="K207" s="12" t="s">
        <v>321</v>
      </c>
      <c r="L207" s="12"/>
      <c r="M207" s="12"/>
      <c r="N207" s="12"/>
      <c r="O207" s="12"/>
      <c r="P207" s="12"/>
    </row>
    <row r="208" ht="46" customHeight="1" spans="1:16">
      <c r="A208" s="5" t="s">
        <v>1587</v>
      </c>
      <c r="B208" s="17" t="s">
        <v>294</v>
      </c>
      <c r="C208" s="18" t="s">
        <v>784</v>
      </c>
      <c r="D208" s="19" t="s">
        <v>1475</v>
      </c>
      <c r="E208" s="5" t="s">
        <v>1588</v>
      </c>
      <c r="F208" s="5" t="s">
        <v>880</v>
      </c>
      <c r="G208" s="5" t="s">
        <v>890</v>
      </c>
      <c r="H208" s="5" t="s">
        <v>1589</v>
      </c>
      <c r="I208" s="5" t="s">
        <v>867</v>
      </c>
      <c r="J208" s="5" t="s">
        <v>779</v>
      </c>
      <c r="K208" s="12" t="s">
        <v>321</v>
      </c>
      <c r="L208" s="12"/>
      <c r="M208" s="12"/>
      <c r="N208" s="12"/>
      <c r="O208" s="12"/>
      <c r="P208" s="12"/>
    </row>
    <row r="209" ht="46" customHeight="1" spans="1:16">
      <c r="A209" s="5" t="s">
        <v>1590</v>
      </c>
      <c r="B209" s="17" t="s">
        <v>294</v>
      </c>
      <c r="C209" s="18" t="s">
        <v>784</v>
      </c>
      <c r="D209" s="19" t="s">
        <v>1475</v>
      </c>
      <c r="E209" s="5" t="s">
        <v>1591</v>
      </c>
      <c r="F209" s="5" t="s">
        <v>880</v>
      </c>
      <c r="G209" s="5" t="s">
        <v>865</v>
      </c>
      <c r="H209" s="5" t="s">
        <v>1592</v>
      </c>
      <c r="I209" s="5" t="s">
        <v>867</v>
      </c>
      <c r="J209" s="5" t="s">
        <v>779</v>
      </c>
      <c r="K209" s="12" t="s">
        <v>321</v>
      </c>
      <c r="L209" s="12"/>
      <c r="M209" s="12"/>
      <c r="N209" s="12"/>
      <c r="O209" s="12"/>
      <c r="P209" s="12"/>
    </row>
    <row r="210" ht="46" customHeight="1" spans="1:16">
      <c r="A210" s="5" t="s">
        <v>1593</v>
      </c>
      <c r="B210" s="17" t="s">
        <v>294</v>
      </c>
      <c r="C210" s="18" t="s">
        <v>784</v>
      </c>
      <c r="D210" s="19" t="s">
        <v>1475</v>
      </c>
      <c r="E210" s="5" t="s">
        <v>1594</v>
      </c>
      <c r="F210" s="5" t="s">
        <v>872</v>
      </c>
      <c r="G210" s="5" t="s">
        <v>890</v>
      </c>
      <c r="H210" s="5" t="s">
        <v>1595</v>
      </c>
      <c r="I210" s="5" t="s">
        <v>867</v>
      </c>
      <c r="J210" s="5" t="s">
        <v>779</v>
      </c>
      <c r="K210" s="12" t="s">
        <v>321</v>
      </c>
      <c r="L210" s="12"/>
      <c r="M210" s="12"/>
      <c r="N210" s="12"/>
      <c r="O210" s="12"/>
      <c r="P210" s="12"/>
    </row>
    <row r="211" ht="46" customHeight="1" spans="1:16">
      <c r="A211" s="5" t="s">
        <v>1596</v>
      </c>
      <c r="B211" s="17" t="s">
        <v>294</v>
      </c>
      <c r="C211" s="18" t="s">
        <v>784</v>
      </c>
      <c r="D211" s="19" t="s">
        <v>1475</v>
      </c>
      <c r="E211" s="5" t="s">
        <v>1597</v>
      </c>
      <c r="F211" s="5" t="s">
        <v>1044</v>
      </c>
      <c r="G211" s="5" t="s">
        <v>890</v>
      </c>
      <c r="H211" s="5" t="s">
        <v>1598</v>
      </c>
      <c r="I211" s="5" t="s">
        <v>867</v>
      </c>
      <c r="J211" s="5" t="s">
        <v>779</v>
      </c>
      <c r="K211" s="12" t="s">
        <v>321</v>
      </c>
      <c r="L211" s="12"/>
      <c r="M211" s="12"/>
      <c r="N211" s="12"/>
      <c r="O211" s="12"/>
      <c r="P211" s="12"/>
    </row>
    <row r="212" ht="46" customHeight="1" spans="1:16">
      <c r="A212" s="5" t="s">
        <v>1599</v>
      </c>
      <c r="B212" s="17" t="s">
        <v>294</v>
      </c>
      <c r="C212" s="18" t="s">
        <v>784</v>
      </c>
      <c r="D212" s="19" t="s">
        <v>1475</v>
      </c>
      <c r="E212" s="5" t="s">
        <v>1497</v>
      </c>
      <c r="F212" s="5" t="s">
        <v>905</v>
      </c>
      <c r="G212" s="5" t="s">
        <v>890</v>
      </c>
      <c r="H212" s="5" t="s">
        <v>1600</v>
      </c>
      <c r="I212" s="5" t="s">
        <v>867</v>
      </c>
      <c r="J212" s="5" t="s">
        <v>779</v>
      </c>
      <c r="K212" s="12" t="s">
        <v>321</v>
      </c>
      <c r="L212" s="12"/>
      <c r="M212" s="12"/>
      <c r="N212" s="12"/>
      <c r="O212" s="12"/>
      <c r="P212" s="12"/>
    </row>
    <row r="213" ht="46" customHeight="1" spans="1:16">
      <c r="A213" s="5" t="s">
        <v>1601</v>
      </c>
      <c r="B213" s="17" t="s">
        <v>294</v>
      </c>
      <c r="C213" s="18" t="s">
        <v>794</v>
      </c>
      <c r="D213" s="5" t="s">
        <v>1548</v>
      </c>
      <c r="E213" s="5" t="s">
        <v>1602</v>
      </c>
      <c r="F213" s="5" t="s">
        <v>910</v>
      </c>
      <c r="G213" s="5" t="s">
        <v>890</v>
      </c>
      <c r="H213" s="5" t="s">
        <v>1603</v>
      </c>
      <c r="I213" s="5" t="s">
        <v>867</v>
      </c>
      <c r="J213" s="5" t="s">
        <v>789</v>
      </c>
      <c r="K213" s="12" t="s">
        <v>321</v>
      </c>
      <c r="L213" s="12"/>
      <c r="M213" s="12"/>
      <c r="N213" s="12"/>
      <c r="O213" s="12"/>
      <c r="P213" s="12"/>
    </row>
    <row r="214" ht="46" customHeight="1" spans="1:16">
      <c r="A214" s="5" t="s">
        <v>1604</v>
      </c>
      <c r="B214" s="17" t="s">
        <v>294</v>
      </c>
      <c r="C214" s="18" t="s">
        <v>794</v>
      </c>
      <c r="D214" s="19" t="s">
        <v>1475</v>
      </c>
      <c r="E214" s="5" t="s">
        <v>1605</v>
      </c>
      <c r="F214" s="5" t="s">
        <v>905</v>
      </c>
      <c r="G214" s="5" t="s">
        <v>890</v>
      </c>
      <c r="H214" s="5" t="s">
        <v>1606</v>
      </c>
      <c r="I214" s="5" t="s">
        <v>867</v>
      </c>
      <c r="J214" s="5" t="s">
        <v>789</v>
      </c>
      <c r="K214" s="12" t="s">
        <v>321</v>
      </c>
      <c r="L214" s="12"/>
      <c r="M214" s="12"/>
      <c r="N214" s="12"/>
      <c r="O214" s="12"/>
      <c r="P214" s="12"/>
    </row>
    <row r="215" ht="46" customHeight="1" spans="1:16">
      <c r="A215" s="5" t="s">
        <v>1607</v>
      </c>
      <c r="B215" s="17" t="s">
        <v>294</v>
      </c>
      <c r="C215" s="18" t="s">
        <v>794</v>
      </c>
      <c r="D215" s="19" t="s">
        <v>1475</v>
      </c>
      <c r="E215" s="5" t="s">
        <v>1608</v>
      </c>
      <c r="F215" s="5" t="s">
        <v>921</v>
      </c>
      <c r="G215" s="5" t="s">
        <v>890</v>
      </c>
      <c r="H215" s="5" t="s">
        <v>1609</v>
      </c>
      <c r="I215" s="5" t="s">
        <v>867</v>
      </c>
      <c r="J215" s="5" t="s">
        <v>789</v>
      </c>
      <c r="K215" s="12" t="s">
        <v>321</v>
      </c>
      <c r="L215" s="12"/>
      <c r="M215" s="12"/>
      <c r="N215" s="12"/>
      <c r="O215" s="12"/>
      <c r="P215" s="12"/>
    </row>
    <row r="216" ht="46" customHeight="1" spans="1:16">
      <c r="A216" s="5" t="s">
        <v>1610</v>
      </c>
      <c r="B216" s="17" t="s">
        <v>294</v>
      </c>
      <c r="C216" s="18" t="s">
        <v>794</v>
      </c>
      <c r="D216" s="19" t="s">
        <v>1475</v>
      </c>
      <c r="E216" s="5" t="s">
        <v>1611</v>
      </c>
      <c r="F216" s="5" t="s">
        <v>1612</v>
      </c>
      <c r="G216" s="5" t="s">
        <v>865</v>
      </c>
      <c r="H216" s="5" t="s">
        <v>1613</v>
      </c>
      <c r="I216" s="5" t="s">
        <v>867</v>
      </c>
      <c r="J216" s="5" t="s">
        <v>789</v>
      </c>
      <c r="K216" s="12" t="s">
        <v>321</v>
      </c>
      <c r="L216" s="12"/>
      <c r="M216" s="12"/>
      <c r="N216" s="12"/>
      <c r="O216" s="12"/>
      <c r="P216" s="12"/>
    </row>
    <row r="217" ht="46" customHeight="1" spans="1:16">
      <c r="A217" s="5" t="s">
        <v>1614</v>
      </c>
      <c r="B217" s="17" t="s">
        <v>294</v>
      </c>
      <c r="C217" s="18" t="s">
        <v>794</v>
      </c>
      <c r="D217" s="19" t="s">
        <v>1475</v>
      </c>
      <c r="E217" s="5" t="s">
        <v>1402</v>
      </c>
      <c r="F217" s="5" t="s">
        <v>1550</v>
      </c>
      <c r="G217" s="5" t="s">
        <v>865</v>
      </c>
      <c r="H217" s="5" t="s">
        <v>1615</v>
      </c>
      <c r="I217" s="5" t="s">
        <v>867</v>
      </c>
      <c r="J217" s="5" t="s">
        <v>789</v>
      </c>
      <c r="K217" s="12" t="s">
        <v>321</v>
      </c>
      <c r="L217" s="12"/>
      <c r="M217" s="12"/>
      <c r="N217" s="12"/>
      <c r="O217" s="12"/>
      <c r="P217" s="12"/>
    </row>
    <row r="218" ht="46" customHeight="1" spans="1:16">
      <c r="A218" s="5" t="s">
        <v>1616</v>
      </c>
      <c r="B218" s="17" t="s">
        <v>294</v>
      </c>
      <c r="C218" s="18" t="s">
        <v>803</v>
      </c>
      <c r="D218" s="19" t="s">
        <v>1475</v>
      </c>
      <c r="E218" s="5" t="s">
        <v>1617</v>
      </c>
      <c r="F218" s="5" t="s">
        <v>880</v>
      </c>
      <c r="G218" s="5" t="s">
        <v>890</v>
      </c>
      <c r="H218" s="5" t="s">
        <v>1618</v>
      </c>
      <c r="I218" s="5" t="s">
        <v>867</v>
      </c>
      <c r="J218" s="5" t="s">
        <v>797</v>
      </c>
      <c r="K218" s="12" t="s">
        <v>321</v>
      </c>
      <c r="L218" s="12"/>
      <c r="M218" s="12"/>
      <c r="N218" s="12"/>
      <c r="O218" s="12"/>
      <c r="P218" s="12"/>
    </row>
    <row r="219" ht="46" customHeight="1" spans="1:16">
      <c r="A219" s="5" t="s">
        <v>1619</v>
      </c>
      <c r="B219" s="17" t="s">
        <v>294</v>
      </c>
      <c r="C219" s="18" t="s">
        <v>803</v>
      </c>
      <c r="D219" s="19" t="s">
        <v>1475</v>
      </c>
      <c r="E219" s="5" t="s">
        <v>1620</v>
      </c>
      <c r="F219" s="5" t="s">
        <v>1621</v>
      </c>
      <c r="G219" s="5" t="s">
        <v>890</v>
      </c>
      <c r="H219" s="5" t="s">
        <v>1622</v>
      </c>
      <c r="I219" s="5" t="s">
        <v>867</v>
      </c>
      <c r="J219" s="5" t="s">
        <v>797</v>
      </c>
      <c r="K219" s="12" t="s">
        <v>321</v>
      </c>
      <c r="L219" s="12"/>
      <c r="M219" s="12"/>
      <c r="N219" s="12"/>
      <c r="O219" s="12"/>
      <c r="P219" s="12"/>
    </row>
    <row r="220" ht="46" customHeight="1" spans="1:16">
      <c r="A220" s="5" t="s">
        <v>1623</v>
      </c>
      <c r="B220" s="17" t="s">
        <v>294</v>
      </c>
      <c r="C220" s="18" t="s">
        <v>803</v>
      </c>
      <c r="D220" s="5" t="s">
        <v>1624</v>
      </c>
      <c r="E220" s="5" t="s">
        <v>893</v>
      </c>
      <c r="F220" s="5" t="s">
        <v>1419</v>
      </c>
      <c r="G220" s="5" t="s">
        <v>890</v>
      </c>
      <c r="H220" s="5" t="s">
        <v>1625</v>
      </c>
      <c r="I220" s="5" t="s">
        <v>867</v>
      </c>
      <c r="J220" s="5" t="s">
        <v>797</v>
      </c>
      <c r="K220" s="12" t="s">
        <v>321</v>
      </c>
      <c r="L220" s="12"/>
      <c r="M220" s="12"/>
      <c r="N220" s="12"/>
      <c r="O220" s="12"/>
      <c r="P220" s="12"/>
    </row>
    <row r="221" ht="46" customHeight="1" spans="1:16">
      <c r="A221" s="5" t="s">
        <v>1626</v>
      </c>
      <c r="B221" s="17" t="s">
        <v>294</v>
      </c>
      <c r="C221" s="18" t="s">
        <v>803</v>
      </c>
      <c r="D221" s="5" t="s">
        <v>1627</v>
      </c>
      <c r="E221" s="5" t="s">
        <v>1628</v>
      </c>
      <c r="F221" s="5" t="s">
        <v>1419</v>
      </c>
      <c r="G221" s="5" t="s">
        <v>890</v>
      </c>
      <c r="H221" s="5" t="s">
        <v>1629</v>
      </c>
      <c r="I221" s="5" t="s">
        <v>867</v>
      </c>
      <c r="J221" s="5" t="s">
        <v>797</v>
      </c>
      <c r="K221" s="12" t="s">
        <v>321</v>
      </c>
      <c r="L221" s="12"/>
      <c r="M221" s="12"/>
      <c r="N221" s="12"/>
      <c r="O221" s="12"/>
      <c r="P221" s="12"/>
    </row>
    <row r="222" ht="46" customHeight="1" spans="1:16">
      <c r="A222" s="5" t="s">
        <v>1630</v>
      </c>
      <c r="B222" s="17" t="s">
        <v>294</v>
      </c>
      <c r="C222" s="18" t="s">
        <v>803</v>
      </c>
      <c r="D222" s="5" t="s">
        <v>976</v>
      </c>
      <c r="E222" s="5" t="s">
        <v>1497</v>
      </c>
      <c r="F222" s="5" t="s">
        <v>905</v>
      </c>
      <c r="G222" s="5" t="s">
        <v>890</v>
      </c>
      <c r="H222" s="5" t="s">
        <v>1631</v>
      </c>
      <c r="I222" s="5" t="s">
        <v>867</v>
      </c>
      <c r="J222" s="5" t="s">
        <v>797</v>
      </c>
      <c r="K222" s="12" t="s">
        <v>321</v>
      </c>
      <c r="L222" s="12"/>
      <c r="M222" s="12"/>
      <c r="N222" s="12"/>
      <c r="O222" s="12"/>
      <c r="P222" s="12"/>
    </row>
    <row r="223" ht="46" customHeight="1" spans="1:16">
      <c r="A223" s="5" t="s">
        <v>1632</v>
      </c>
      <c r="B223" s="17" t="s">
        <v>294</v>
      </c>
      <c r="C223" s="18" t="s">
        <v>810</v>
      </c>
      <c r="D223" s="5" t="s">
        <v>1028</v>
      </c>
      <c r="E223" s="5" t="s">
        <v>1633</v>
      </c>
      <c r="F223" s="5" t="s">
        <v>1343</v>
      </c>
      <c r="G223" s="5" t="s">
        <v>890</v>
      </c>
      <c r="H223" s="5" t="s">
        <v>1634</v>
      </c>
      <c r="I223" s="5" t="s">
        <v>867</v>
      </c>
      <c r="J223" s="5" t="s">
        <v>806</v>
      </c>
      <c r="K223" s="12" t="s">
        <v>321</v>
      </c>
      <c r="L223" s="12"/>
      <c r="M223" s="12"/>
      <c r="N223" s="12"/>
      <c r="O223" s="12"/>
      <c r="P223" s="12"/>
    </row>
    <row r="224" ht="46" customHeight="1" spans="1:16">
      <c r="A224" s="5" t="s">
        <v>1635</v>
      </c>
      <c r="B224" s="17" t="s">
        <v>294</v>
      </c>
      <c r="C224" s="18" t="s">
        <v>810</v>
      </c>
      <c r="D224" s="5" t="s">
        <v>1636</v>
      </c>
      <c r="E224" s="5" t="s">
        <v>1637</v>
      </c>
      <c r="F224" s="5" t="s">
        <v>1475</v>
      </c>
      <c r="G224" s="5" t="s">
        <v>890</v>
      </c>
      <c r="H224" s="5" t="s">
        <v>1638</v>
      </c>
      <c r="I224" s="5" t="s">
        <v>867</v>
      </c>
      <c r="J224" s="5" t="s">
        <v>806</v>
      </c>
      <c r="K224" s="12" t="s">
        <v>321</v>
      </c>
      <c r="L224" s="12"/>
      <c r="M224" s="12"/>
      <c r="N224" s="12"/>
      <c r="O224" s="12"/>
      <c r="P224" s="12"/>
    </row>
    <row r="225" ht="46" customHeight="1" spans="1:16">
      <c r="A225" s="5" t="s">
        <v>1639</v>
      </c>
      <c r="B225" s="17" t="s">
        <v>294</v>
      </c>
      <c r="C225" s="18" t="s">
        <v>810</v>
      </c>
      <c r="D225" s="19" t="s">
        <v>1063</v>
      </c>
      <c r="E225" s="5" t="s">
        <v>1640</v>
      </c>
      <c r="F225" s="5" t="s">
        <v>1641</v>
      </c>
      <c r="G225" s="5" t="s">
        <v>890</v>
      </c>
      <c r="H225" s="5" t="s">
        <v>1642</v>
      </c>
      <c r="I225" s="5" t="s">
        <v>867</v>
      </c>
      <c r="J225" s="5" t="s">
        <v>806</v>
      </c>
      <c r="K225" s="12" t="s">
        <v>321</v>
      </c>
      <c r="L225" s="12"/>
      <c r="M225" s="12"/>
      <c r="N225" s="12"/>
      <c r="O225" s="12"/>
      <c r="P225" s="12"/>
    </row>
    <row r="226" ht="46" customHeight="1" spans="1:16">
      <c r="A226" s="5" t="s">
        <v>1643</v>
      </c>
      <c r="B226" s="17" t="s">
        <v>294</v>
      </c>
      <c r="C226" s="18" t="s">
        <v>810</v>
      </c>
      <c r="D226" s="19" t="s">
        <v>1063</v>
      </c>
      <c r="E226" s="5" t="s">
        <v>1644</v>
      </c>
      <c r="F226" s="5" t="s">
        <v>921</v>
      </c>
      <c r="G226" s="5" t="s">
        <v>865</v>
      </c>
      <c r="H226" s="5" t="s">
        <v>1645</v>
      </c>
      <c r="I226" s="5" t="s">
        <v>867</v>
      </c>
      <c r="J226" s="5" t="s">
        <v>806</v>
      </c>
      <c r="K226" s="12" t="s">
        <v>321</v>
      </c>
      <c r="L226" s="12"/>
      <c r="M226" s="12"/>
      <c r="N226" s="12"/>
      <c r="O226" s="12"/>
      <c r="P226" s="12"/>
    </row>
    <row r="227" ht="46" customHeight="1" spans="1:16">
      <c r="A227" s="5" t="s">
        <v>1646</v>
      </c>
      <c r="B227" s="17" t="s">
        <v>294</v>
      </c>
      <c r="C227" s="18" t="s">
        <v>810</v>
      </c>
      <c r="D227" s="5" t="s">
        <v>1072</v>
      </c>
      <c r="E227" s="5" t="s">
        <v>1647</v>
      </c>
      <c r="F227" s="5" t="s">
        <v>1648</v>
      </c>
      <c r="G227" s="5" t="s">
        <v>890</v>
      </c>
      <c r="H227" s="5" t="s">
        <v>1649</v>
      </c>
      <c r="I227" s="5" t="s">
        <v>867</v>
      </c>
      <c r="J227" s="5" t="s">
        <v>806</v>
      </c>
      <c r="K227" s="12" t="s">
        <v>321</v>
      </c>
      <c r="L227" s="12"/>
      <c r="M227" s="12"/>
      <c r="N227" s="12"/>
      <c r="O227" s="12"/>
      <c r="P227" s="12"/>
    </row>
    <row r="228" ht="46" customHeight="1" spans="1:16">
      <c r="A228" s="5" t="s">
        <v>1650</v>
      </c>
      <c r="B228" s="17" t="s">
        <v>294</v>
      </c>
      <c r="C228" s="18" t="s">
        <v>818</v>
      </c>
      <c r="D228" s="5" t="s">
        <v>1651</v>
      </c>
      <c r="E228" s="5" t="s">
        <v>1652</v>
      </c>
      <c r="F228" s="5" t="s">
        <v>932</v>
      </c>
      <c r="G228" s="5" t="s">
        <v>890</v>
      </c>
      <c r="H228" s="5" t="s">
        <v>1653</v>
      </c>
      <c r="I228" s="5" t="s">
        <v>867</v>
      </c>
      <c r="J228" s="5" t="s">
        <v>813</v>
      </c>
      <c r="K228" s="12" t="s">
        <v>321</v>
      </c>
      <c r="L228" s="12"/>
      <c r="M228" s="12"/>
      <c r="N228" s="12"/>
      <c r="O228" s="12"/>
      <c r="P228" s="12"/>
    </row>
    <row r="229" ht="46" customHeight="1" spans="1:16">
      <c r="A229" s="5" t="s">
        <v>1654</v>
      </c>
      <c r="B229" s="17" t="s">
        <v>294</v>
      </c>
      <c r="C229" s="18" t="s">
        <v>818</v>
      </c>
      <c r="D229" s="5" t="s">
        <v>894</v>
      </c>
      <c r="E229" s="5" t="s">
        <v>1655</v>
      </c>
      <c r="F229" s="5" t="s">
        <v>894</v>
      </c>
      <c r="G229" s="5" t="s">
        <v>890</v>
      </c>
      <c r="H229" s="5" t="s">
        <v>1656</v>
      </c>
      <c r="I229" s="5" t="s">
        <v>867</v>
      </c>
      <c r="J229" s="5" t="s">
        <v>813</v>
      </c>
      <c r="K229" s="12" t="s">
        <v>321</v>
      </c>
      <c r="L229" s="12"/>
      <c r="M229" s="12"/>
      <c r="N229" s="12"/>
      <c r="O229" s="12"/>
      <c r="P229" s="12"/>
    </row>
    <row r="230" ht="46" customHeight="1" spans="1:16">
      <c r="A230" s="5" t="s">
        <v>1657</v>
      </c>
      <c r="B230" s="17" t="s">
        <v>294</v>
      </c>
      <c r="C230" s="18" t="s">
        <v>818</v>
      </c>
      <c r="D230" s="5" t="s">
        <v>1188</v>
      </c>
      <c r="E230" s="5" t="s">
        <v>1658</v>
      </c>
      <c r="F230" s="5" t="s">
        <v>1659</v>
      </c>
      <c r="G230" s="5" t="s">
        <v>890</v>
      </c>
      <c r="H230" s="5" t="s">
        <v>1660</v>
      </c>
      <c r="I230" s="5" t="s">
        <v>867</v>
      </c>
      <c r="J230" s="5" t="s">
        <v>813</v>
      </c>
      <c r="K230" s="12" t="s">
        <v>321</v>
      </c>
      <c r="L230" s="12"/>
      <c r="M230" s="12"/>
      <c r="N230" s="12"/>
      <c r="O230" s="12"/>
      <c r="P230" s="12"/>
    </row>
    <row r="231" ht="46" customHeight="1" spans="1:16">
      <c r="A231" s="5" t="s">
        <v>1661</v>
      </c>
      <c r="B231" s="17" t="s">
        <v>294</v>
      </c>
      <c r="C231" s="18" t="s">
        <v>818</v>
      </c>
      <c r="D231" s="5" t="s">
        <v>1132</v>
      </c>
      <c r="E231" s="5" t="s">
        <v>1662</v>
      </c>
      <c r="F231" s="5" t="s">
        <v>1663</v>
      </c>
      <c r="G231" s="5" t="s">
        <v>890</v>
      </c>
      <c r="H231" s="5" t="s">
        <v>1664</v>
      </c>
      <c r="I231" s="5" t="s">
        <v>867</v>
      </c>
      <c r="J231" s="5" t="s">
        <v>813</v>
      </c>
      <c r="K231" s="12" t="s">
        <v>321</v>
      </c>
      <c r="L231" s="12"/>
      <c r="M231" s="12"/>
      <c r="N231" s="12"/>
      <c r="O231" s="12"/>
      <c r="P231" s="12"/>
    </row>
    <row r="232" ht="46" customHeight="1" spans="1:16">
      <c r="A232" s="5" t="s">
        <v>1665</v>
      </c>
      <c r="B232" s="17" t="s">
        <v>294</v>
      </c>
      <c r="C232" s="18" t="s">
        <v>818</v>
      </c>
      <c r="D232" s="5" t="s">
        <v>963</v>
      </c>
      <c r="E232" s="5" t="s">
        <v>1666</v>
      </c>
      <c r="F232" s="5" t="s">
        <v>963</v>
      </c>
      <c r="G232" s="5" t="s">
        <v>890</v>
      </c>
      <c r="H232" s="5" t="s">
        <v>1667</v>
      </c>
      <c r="I232" s="5" t="s">
        <v>867</v>
      </c>
      <c r="J232" s="5" t="s">
        <v>813</v>
      </c>
      <c r="K232" s="12" t="s">
        <v>321</v>
      </c>
      <c r="L232" s="12"/>
      <c r="M232" s="12"/>
      <c r="N232" s="12"/>
      <c r="O232" s="12"/>
      <c r="P232" s="12"/>
    </row>
    <row r="233" ht="46" customHeight="1" spans="1:16">
      <c r="A233" s="5" t="s">
        <v>1668</v>
      </c>
      <c r="B233" s="17" t="s">
        <v>294</v>
      </c>
      <c r="C233" s="18" t="s">
        <v>818</v>
      </c>
      <c r="D233" s="5" t="s">
        <v>18</v>
      </c>
      <c r="E233" s="5" t="s">
        <v>1669</v>
      </c>
      <c r="F233" s="5" t="s">
        <v>921</v>
      </c>
      <c r="G233" s="5" t="s">
        <v>865</v>
      </c>
      <c r="H233" s="5" t="s">
        <v>1670</v>
      </c>
      <c r="I233" s="5" t="s">
        <v>867</v>
      </c>
      <c r="J233" s="5" t="s">
        <v>813</v>
      </c>
      <c r="K233" s="12" t="s">
        <v>321</v>
      </c>
      <c r="L233" s="12"/>
      <c r="M233" s="12"/>
      <c r="N233" s="12"/>
      <c r="O233" s="12"/>
      <c r="P233" s="12"/>
    </row>
    <row r="234" ht="46" customHeight="1" spans="1:16">
      <c r="A234" s="5" t="s">
        <v>1671</v>
      </c>
      <c r="B234" s="17" t="s">
        <v>294</v>
      </c>
      <c r="C234" s="18" t="s">
        <v>826</v>
      </c>
      <c r="D234" s="5" t="s">
        <v>1672</v>
      </c>
      <c r="E234" s="5" t="s">
        <v>1673</v>
      </c>
      <c r="F234" s="5" t="s">
        <v>880</v>
      </c>
      <c r="G234" s="5" t="s">
        <v>890</v>
      </c>
      <c r="H234" s="5" t="s">
        <v>1674</v>
      </c>
      <c r="I234" s="5" t="s">
        <v>867</v>
      </c>
      <c r="J234" s="5" t="s">
        <v>822</v>
      </c>
      <c r="K234" s="12" t="s">
        <v>321</v>
      </c>
      <c r="L234" s="12"/>
      <c r="M234" s="12"/>
      <c r="N234" s="12"/>
      <c r="O234" s="12"/>
      <c r="P234" s="12"/>
    </row>
    <row r="235" ht="46" customHeight="1" spans="1:16">
      <c r="A235" s="5" t="s">
        <v>1675</v>
      </c>
      <c r="B235" s="17" t="s">
        <v>294</v>
      </c>
      <c r="C235" s="18" t="s">
        <v>826</v>
      </c>
      <c r="D235" s="5" t="s">
        <v>1676</v>
      </c>
      <c r="E235" s="5" t="s">
        <v>949</v>
      </c>
      <c r="F235" s="5" t="s">
        <v>946</v>
      </c>
      <c r="G235" s="5" t="s">
        <v>890</v>
      </c>
      <c r="H235" s="5" t="s">
        <v>1677</v>
      </c>
      <c r="I235" s="5" t="s">
        <v>867</v>
      </c>
      <c r="J235" s="5" t="s">
        <v>822</v>
      </c>
      <c r="K235" s="12" t="s">
        <v>321</v>
      </c>
      <c r="L235" s="12"/>
      <c r="M235" s="12"/>
      <c r="N235" s="12"/>
      <c r="O235" s="12"/>
      <c r="P235" s="12"/>
    </row>
    <row r="236" ht="46" customHeight="1" spans="1:16">
      <c r="A236" s="5" t="s">
        <v>1678</v>
      </c>
      <c r="B236" s="17" t="s">
        <v>294</v>
      </c>
      <c r="C236" s="18" t="s">
        <v>826</v>
      </c>
      <c r="D236" s="19" t="s">
        <v>1475</v>
      </c>
      <c r="E236" s="5" t="s">
        <v>1679</v>
      </c>
      <c r="F236" s="5" t="s">
        <v>921</v>
      </c>
      <c r="G236" s="5" t="s">
        <v>890</v>
      </c>
      <c r="H236" s="5" t="s">
        <v>1680</v>
      </c>
      <c r="I236" s="5" t="s">
        <v>867</v>
      </c>
      <c r="J236" s="5" t="s">
        <v>822</v>
      </c>
      <c r="K236" s="12" t="s">
        <v>321</v>
      </c>
      <c r="L236" s="12"/>
      <c r="M236" s="12"/>
      <c r="N236" s="12"/>
      <c r="O236" s="12"/>
      <c r="P236" s="12"/>
    </row>
    <row r="237" ht="46" customHeight="1" spans="1:16">
      <c r="A237" s="5" t="s">
        <v>1681</v>
      </c>
      <c r="B237" s="17" t="s">
        <v>294</v>
      </c>
      <c r="C237" s="18" t="s">
        <v>826</v>
      </c>
      <c r="D237" s="19" t="s">
        <v>1475</v>
      </c>
      <c r="E237" s="5" t="s">
        <v>1682</v>
      </c>
      <c r="F237" s="5" t="s">
        <v>1219</v>
      </c>
      <c r="G237" s="5" t="s">
        <v>890</v>
      </c>
      <c r="H237" s="5" t="s">
        <v>1683</v>
      </c>
      <c r="I237" s="5" t="s">
        <v>867</v>
      </c>
      <c r="J237" s="5" t="s">
        <v>822</v>
      </c>
      <c r="K237" s="12" t="s">
        <v>321</v>
      </c>
      <c r="L237" s="12"/>
      <c r="M237" s="12"/>
      <c r="N237" s="12"/>
      <c r="O237" s="12"/>
      <c r="P237" s="12"/>
    </row>
    <row r="238" ht="46" customHeight="1" spans="1:16">
      <c r="A238" s="5" t="s">
        <v>1684</v>
      </c>
      <c r="B238" s="17" t="s">
        <v>294</v>
      </c>
      <c r="C238" s="18" t="s">
        <v>826</v>
      </c>
      <c r="D238" s="5" t="s">
        <v>976</v>
      </c>
      <c r="E238" s="5" t="s">
        <v>1497</v>
      </c>
      <c r="F238" s="5" t="s">
        <v>905</v>
      </c>
      <c r="G238" s="5" t="s">
        <v>890</v>
      </c>
      <c r="H238" s="5" t="s">
        <v>1685</v>
      </c>
      <c r="I238" s="5" t="s">
        <v>867</v>
      </c>
      <c r="J238" s="5" t="s">
        <v>822</v>
      </c>
      <c r="K238" s="12" t="s">
        <v>321</v>
      </c>
      <c r="L238" s="12"/>
      <c r="M238" s="12"/>
      <c r="N238" s="12"/>
      <c r="O238" s="12"/>
      <c r="P238" s="12"/>
    </row>
    <row r="239" ht="46" customHeight="1" spans="1:16">
      <c r="A239" s="5" t="s">
        <v>1686</v>
      </c>
      <c r="B239" s="17" t="s">
        <v>294</v>
      </c>
      <c r="C239" s="18" t="s">
        <v>836</v>
      </c>
      <c r="D239" s="19" t="s">
        <v>931</v>
      </c>
      <c r="E239" s="5" t="s">
        <v>1687</v>
      </c>
      <c r="F239" s="5" t="s">
        <v>872</v>
      </c>
      <c r="G239" s="5" t="s">
        <v>865</v>
      </c>
      <c r="H239" s="5" t="s">
        <v>1688</v>
      </c>
      <c r="I239" s="5" t="s">
        <v>867</v>
      </c>
      <c r="J239" s="5" t="s">
        <v>831</v>
      </c>
      <c r="K239" s="12" t="s">
        <v>321</v>
      </c>
      <c r="L239" s="12"/>
      <c r="M239" s="12"/>
      <c r="N239" s="12"/>
      <c r="O239" s="12"/>
      <c r="P239" s="12"/>
    </row>
    <row r="240" ht="46" customHeight="1" spans="1:16">
      <c r="A240" s="5" t="s">
        <v>1689</v>
      </c>
      <c r="B240" s="17" t="s">
        <v>294</v>
      </c>
      <c r="C240" s="18" t="s">
        <v>836</v>
      </c>
      <c r="D240" s="19" t="s">
        <v>931</v>
      </c>
      <c r="E240" s="5" t="s">
        <v>871</v>
      </c>
      <c r="F240" s="5" t="s">
        <v>872</v>
      </c>
      <c r="G240" s="5" t="s">
        <v>890</v>
      </c>
      <c r="H240" s="5" t="s">
        <v>1690</v>
      </c>
      <c r="I240" s="5" t="s">
        <v>867</v>
      </c>
      <c r="J240" s="5" t="s">
        <v>831</v>
      </c>
      <c r="K240" s="12" t="s">
        <v>321</v>
      </c>
      <c r="L240" s="12"/>
      <c r="M240" s="12"/>
      <c r="N240" s="12"/>
      <c r="O240" s="12"/>
      <c r="P240" s="12"/>
    </row>
    <row r="241" ht="46" customHeight="1" spans="1:16">
      <c r="A241" s="5" t="s">
        <v>1691</v>
      </c>
      <c r="B241" s="17" t="s">
        <v>294</v>
      </c>
      <c r="C241" s="18" t="s">
        <v>836</v>
      </c>
      <c r="D241" s="19" t="s">
        <v>931</v>
      </c>
      <c r="E241" s="5" t="s">
        <v>935</v>
      </c>
      <c r="F241" s="5" t="s">
        <v>872</v>
      </c>
      <c r="G241" s="5" t="s">
        <v>1095</v>
      </c>
      <c r="H241" s="5" t="s">
        <v>1692</v>
      </c>
      <c r="I241" s="5" t="s">
        <v>867</v>
      </c>
      <c r="J241" s="5" t="s">
        <v>831</v>
      </c>
      <c r="K241" s="12" t="s">
        <v>321</v>
      </c>
      <c r="L241" s="12"/>
      <c r="M241" s="12"/>
      <c r="N241" s="12"/>
      <c r="O241" s="12"/>
      <c r="P241" s="12"/>
    </row>
    <row r="242" ht="46" customHeight="1" spans="1:16">
      <c r="A242" s="5" t="s">
        <v>1693</v>
      </c>
      <c r="B242" s="17" t="s">
        <v>294</v>
      </c>
      <c r="C242" s="18" t="s">
        <v>836</v>
      </c>
      <c r="D242" s="19" t="s">
        <v>931</v>
      </c>
      <c r="E242" s="5" t="s">
        <v>1694</v>
      </c>
      <c r="F242" s="5" t="s">
        <v>872</v>
      </c>
      <c r="G242" s="5" t="s">
        <v>865</v>
      </c>
      <c r="H242" s="5" t="s">
        <v>1695</v>
      </c>
      <c r="I242" s="5" t="s">
        <v>867</v>
      </c>
      <c r="J242" s="5" t="s">
        <v>831</v>
      </c>
      <c r="K242" s="12" t="s">
        <v>321</v>
      </c>
      <c r="L242" s="12"/>
      <c r="M242" s="12"/>
      <c r="N242" s="12"/>
      <c r="O242" s="12"/>
      <c r="P242" s="12"/>
    </row>
    <row r="243" ht="46" customHeight="1" spans="1:16">
      <c r="A243" s="5" t="s">
        <v>1696</v>
      </c>
      <c r="B243" s="17" t="s">
        <v>294</v>
      </c>
      <c r="C243" s="18" t="s">
        <v>836</v>
      </c>
      <c r="D243" s="5" t="s">
        <v>1697</v>
      </c>
      <c r="E243" s="5" t="s">
        <v>1698</v>
      </c>
      <c r="F243" s="5" t="s">
        <v>880</v>
      </c>
      <c r="G243" s="5" t="s">
        <v>890</v>
      </c>
      <c r="H243" s="5" t="s">
        <v>1699</v>
      </c>
      <c r="I243" s="5" t="s">
        <v>867</v>
      </c>
      <c r="J243" s="5" t="s">
        <v>831</v>
      </c>
      <c r="K243" s="12" t="s">
        <v>321</v>
      </c>
      <c r="L243" s="12"/>
      <c r="M243" s="12"/>
      <c r="N243" s="12"/>
      <c r="O243" s="12"/>
      <c r="P243" s="12"/>
    </row>
    <row r="244" ht="46" customHeight="1" spans="1:16">
      <c r="A244" s="5" t="s">
        <v>1700</v>
      </c>
      <c r="B244" s="17" t="s">
        <v>294</v>
      </c>
      <c r="C244" s="18" t="s">
        <v>845</v>
      </c>
      <c r="D244" s="5" t="s">
        <v>1548</v>
      </c>
      <c r="E244" s="5" t="s">
        <v>1701</v>
      </c>
      <c r="F244" s="5" t="s">
        <v>1419</v>
      </c>
      <c r="G244" s="5" t="s">
        <v>890</v>
      </c>
      <c r="H244" s="5" t="s">
        <v>1702</v>
      </c>
      <c r="I244" s="5" t="s">
        <v>867</v>
      </c>
      <c r="J244" s="5" t="s">
        <v>839</v>
      </c>
      <c r="K244" s="12" t="s">
        <v>321</v>
      </c>
      <c r="L244" s="12"/>
      <c r="M244" s="12"/>
      <c r="N244" s="12"/>
      <c r="O244" s="12"/>
      <c r="P244" s="12"/>
    </row>
    <row r="245" ht="46" customHeight="1" spans="1:16">
      <c r="A245" s="5" t="s">
        <v>1703</v>
      </c>
      <c r="B245" s="17" t="s">
        <v>294</v>
      </c>
      <c r="C245" s="18" t="s">
        <v>845</v>
      </c>
      <c r="D245" s="5" t="s">
        <v>1095</v>
      </c>
      <c r="E245" s="5" t="s">
        <v>1704</v>
      </c>
      <c r="F245" s="5" t="s">
        <v>1475</v>
      </c>
      <c r="G245" s="5" t="s">
        <v>890</v>
      </c>
      <c r="H245" s="5" t="s">
        <v>1705</v>
      </c>
      <c r="I245" s="5" t="s">
        <v>867</v>
      </c>
      <c r="J245" s="5" t="s">
        <v>839</v>
      </c>
      <c r="K245" s="12" t="s">
        <v>321</v>
      </c>
      <c r="L245" s="12"/>
      <c r="M245" s="12"/>
      <c r="N245" s="12"/>
      <c r="O245" s="12"/>
      <c r="P245" s="12"/>
    </row>
    <row r="246" ht="46" customHeight="1" spans="1:16">
      <c r="A246" s="5" t="s">
        <v>1706</v>
      </c>
      <c r="B246" s="17" t="s">
        <v>294</v>
      </c>
      <c r="C246" s="18" t="s">
        <v>845</v>
      </c>
      <c r="D246" s="5" t="s">
        <v>1536</v>
      </c>
      <c r="E246" s="5" t="s">
        <v>1707</v>
      </c>
      <c r="F246" s="5" t="s">
        <v>1621</v>
      </c>
      <c r="G246" s="5" t="s">
        <v>890</v>
      </c>
      <c r="H246" s="5" t="s">
        <v>1708</v>
      </c>
      <c r="I246" s="5" t="s">
        <v>867</v>
      </c>
      <c r="J246" s="5" t="s">
        <v>839</v>
      </c>
      <c r="K246" s="12" t="s">
        <v>321</v>
      </c>
      <c r="L246" s="12"/>
      <c r="M246" s="12"/>
      <c r="N246" s="12"/>
      <c r="O246" s="12"/>
      <c r="P246" s="12"/>
    </row>
    <row r="247" ht="46" customHeight="1" spans="1:16">
      <c r="A247" s="5" t="s">
        <v>1709</v>
      </c>
      <c r="B247" s="17" t="s">
        <v>294</v>
      </c>
      <c r="C247" s="18" t="s">
        <v>845</v>
      </c>
      <c r="D247" s="5" t="s">
        <v>1540</v>
      </c>
      <c r="E247" s="5" t="s">
        <v>1710</v>
      </c>
      <c r="F247" s="5" t="s">
        <v>1501</v>
      </c>
      <c r="G247" s="5" t="s">
        <v>890</v>
      </c>
      <c r="H247" s="5" t="s">
        <v>1711</v>
      </c>
      <c r="I247" s="5" t="s">
        <v>867</v>
      </c>
      <c r="J247" s="5" t="s">
        <v>839</v>
      </c>
      <c r="K247" s="12" t="s">
        <v>321</v>
      </c>
      <c r="L247" s="12"/>
      <c r="M247" s="12"/>
      <c r="N247" s="12"/>
      <c r="O247" s="12"/>
      <c r="P247" s="12"/>
    </row>
    <row r="248" ht="46" customHeight="1" spans="1:16">
      <c r="A248" s="5" t="s">
        <v>1712</v>
      </c>
      <c r="B248" s="17" t="s">
        <v>294</v>
      </c>
      <c r="C248" s="18" t="s">
        <v>845</v>
      </c>
      <c r="D248" s="5" t="s">
        <v>1713</v>
      </c>
      <c r="E248" s="5" t="s">
        <v>1714</v>
      </c>
      <c r="F248" s="5" t="s">
        <v>885</v>
      </c>
      <c r="G248" s="5" t="s">
        <v>865</v>
      </c>
      <c r="H248" s="5" t="s">
        <v>1715</v>
      </c>
      <c r="I248" s="5" t="s">
        <v>867</v>
      </c>
      <c r="J248" s="5" t="s">
        <v>839</v>
      </c>
      <c r="K248" s="12" t="s">
        <v>321</v>
      </c>
      <c r="L248" s="12"/>
      <c r="M248" s="12"/>
      <c r="N248" s="12"/>
      <c r="O248" s="12"/>
      <c r="P248" s="12"/>
    </row>
  </sheetData>
  <mergeCells count="103">
    <mergeCell ref="A1:P1"/>
    <mergeCell ref="A2:P2"/>
    <mergeCell ref="B5:B14"/>
    <mergeCell ref="B15:B49"/>
    <mergeCell ref="B50:B64"/>
    <mergeCell ref="B65:B90"/>
    <mergeCell ref="B91:B98"/>
    <mergeCell ref="B99:B109"/>
    <mergeCell ref="B110:B122"/>
    <mergeCell ref="B123:B135"/>
    <mergeCell ref="B136:B163"/>
    <mergeCell ref="B164:B207"/>
    <mergeCell ref="B208:B248"/>
    <mergeCell ref="C5:C9"/>
    <mergeCell ref="C10:C14"/>
    <mergeCell ref="C15:C20"/>
    <mergeCell ref="C21:C32"/>
    <mergeCell ref="C33:C40"/>
    <mergeCell ref="C41:C49"/>
    <mergeCell ref="C50:C59"/>
    <mergeCell ref="C60:C64"/>
    <mergeCell ref="C65:C70"/>
    <mergeCell ref="C71:C82"/>
    <mergeCell ref="C83:C90"/>
    <mergeCell ref="C91:C98"/>
    <mergeCell ref="C99:C109"/>
    <mergeCell ref="C110:C117"/>
    <mergeCell ref="C118:C122"/>
    <mergeCell ref="C123:C130"/>
    <mergeCell ref="C131:C135"/>
    <mergeCell ref="C136:C143"/>
    <mergeCell ref="C144:C150"/>
    <mergeCell ref="C151:C157"/>
    <mergeCell ref="C158:C163"/>
    <mergeCell ref="C164:C170"/>
    <mergeCell ref="C171:C178"/>
    <mergeCell ref="C179:C184"/>
    <mergeCell ref="C185:C189"/>
    <mergeCell ref="C190:C196"/>
    <mergeCell ref="C197:C202"/>
    <mergeCell ref="C203:C207"/>
    <mergeCell ref="C208:C212"/>
    <mergeCell ref="C213:C217"/>
    <mergeCell ref="C218:C222"/>
    <mergeCell ref="C223:C227"/>
    <mergeCell ref="C228:C233"/>
    <mergeCell ref="C234:C238"/>
    <mergeCell ref="C239:C243"/>
    <mergeCell ref="C244:C248"/>
    <mergeCell ref="D6:D7"/>
    <mergeCell ref="D10:D14"/>
    <mergeCell ref="D15:D18"/>
    <mergeCell ref="D19:D20"/>
    <mergeCell ref="D21:D22"/>
    <mergeCell ref="D23:D24"/>
    <mergeCell ref="D25:D26"/>
    <mergeCell ref="D27:D28"/>
    <mergeCell ref="D29:D31"/>
    <mergeCell ref="D33:D38"/>
    <mergeCell ref="D39:D40"/>
    <mergeCell ref="D41:D42"/>
    <mergeCell ref="D47:D48"/>
    <mergeCell ref="D50:D51"/>
    <mergeCell ref="D52:D55"/>
    <mergeCell ref="D56:D58"/>
    <mergeCell ref="D60:D62"/>
    <mergeCell ref="D63:D64"/>
    <mergeCell ref="D65:D67"/>
    <mergeCell ref="D69:D70"/>
    <mergeCell ref="D71:D72"/>
    <mergeCell ref="D73:D77"/>
    <mergeCell ref="D78:D79"/>
    <mergeCell ref="D83:D84"/>
    <mergeCell ref="D86:D88"/>
    <mergeCell ref="D91:D92"/>
    <mergeCell ref="D93:D95"/>
    <mergeCell ref="D96:D98"/>
    <mergeCell ref="D99:D100"/>
    <mergeCell ref="D120:D122"/>
    <mergeCell ref="D125:D126"/>
    <mergeCell ref="D133:D134"/>
    <mergeCell ref="D145:D147"/>
    <mergeCell ref="D148:D149"/>
    <mergeCell ref="D152:D153"/>
    <mergeCell ref="D154:D157"/>
    <mergeCell ref="D158:D159"/>
    <mergeCell ref="D160:D163"/>
    <mergeCell ref="D166:D167"/>
    <mergeCell ref="D171:D172"/>
    <mergeCell ref="D175:D176"/>
    <mergeCell ref="D179:D183"/>
    <mergeCell ref="D185:D187"/>
    <mergeCell ref="D188:D189"/>
    <mergeCell ref="D191:D192"/>
    <mergeCell ref="D199:D200"/>
    <mergeCell ref="D203:D204"/>
    <mergeCell ref="D206:D207"/>
    <mergeCell ref="D208:D212"/>
    <mergeCell ref="D214:D217"/>
    <mergeCell ref="D218:D219"/>
    <mergeCell ref="D225:D226"/>
    <mergeCell ref="D236:D237"/>
    <mergeCell ref="D239:D242"/>
  </mergeCells>
  <dataValidations count="2">
    <dataValidation type="list" sqref="K5:K248">
      <formula1>"未決定,同意,有條件同意,需調整,不納入"</formula1>
    </dataValidation>
    <dataValidation type="list" sqref="N5:N248">
      <formula1>"是,否,條件必填,待確認"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A580C"/>
  </sheetPr>
  <dimension ref="A1:J30"/>
  <sheetViews>
    <sheetView showGridLines="0" workbookViewId="0">
      <pane xSplit="3" ySplit="4" topLeftCell="D5" activePane="bottomRight" state="frozen"/>
      <selection/>
      <selection pane="topRight"/>
      <selection pane="bottomLeft"/>
      <selection pane="bottomRight" activeCell="A1" sqref="A1:J1"/>
    </sheetView>
  </sheetViews>
  <sheetFormatPr defaultColWidth="9" defaultRowHeight="16.8"/>
  <cols>
    <col min="1" max="1" width="14" customWidth="1"/>
    <col min="2" max="2" width="16" customWidth="1"/>
    <col min="3" max="3" width="25" customWidth="1"/>
    <col min="4" max="4" width="38" customWidth="1"/>
    <col min="5" max="5" width="25" customWidth="1"/>
    <col min="6" max="6" width="18" customWidth="1"/>
    <col min="7" max="7" width="30" customWidth="1"/>
    <col min="8" max="8" width="13" customWidth="1"/>
    <col min="9" max="9" width="15" customWidth="1"/>
    <col min="10" max="10" width="30" customWidth="1"/>
  </cols>
  <sheetData>
    <row r="1" ht="38" customHeight="1" spans="1:10">
      <c r="A1" s="1" t="s">
        <v>1716</v>
      </c>
      <c r="B1" s="1" t="s">
        <v>1716</v>
      </c>
      <c r="C1" s="1" t="s">
        <v>1716</v>
      </c>
      <c r="D1" s="1" t="s">
        <v>1716</v>
      </c>
      <c r="E1" s="1" t="s">
        <v>1716</v>
      </c>
      <c r="F1" s="1" t="s">
        <v>1716</v>
      </c>
      <c r="G1" s="1" t="s">
        <v>1716</v>
      </c>
      <c r="H1" s="1" t="s">
        <v>1716</v>
      </c>
      <c r="I1" s="1" t="s">
        <v>1716</v>
      </c>
      <c r="J1" s="1" t="s">
        <v>1716</v>
      </c>
    </row>
    <row r="2" ht="28" customHeight="1" spans="1:10">
      <c r="A2" s="2" t="s">
        <v>1717</v>
      </c>
      <c r="B2" s="2" t="s">
        <v>1717</v>
      </c>
      <c r="C2" s="2" t="s">
        <v>1717</v>
      </c>
      <c r="D2" s="2" t="s">
        <v>1717</v>
      </c>
      <c r="E2" s="2" t="s">
        <v>1717</v>
      </c>
      <c r="F2" s="2" t="s">
        <v>1717</v>
      </c>
      <c r="G2" s="2" t="s">
        <v>1717</v>
      </c>
      <c r="H2" s="2" t="s">
        <v>1717</v>
      </c>
      <c r="I2" s="2" t="s">
        <v>1717</v>
      </c>
      <c r="J2" s="2" t="s">
        <v>1717</v>
      </c>
    </row>
    <row r="3" spans="1:10">
      <c r="A3" s="3"/>
      <c r="B3" s="3"/>
      <c r="C3" s="3"/>
      <c r="D3" s="3"/>
      <c r="E3" s="3"/>
      <c r="F3" s="3"/>
      <c r="G3" s="3"/>
      <c r="H3" s="3"/>
      <c r="I3" s="3"/>
      <c r="J3" s="3"/>
    </row>
    <row r="4" ht="30" customHeight="1" spans="1:10">
      <c r="A4" s="10" t="s">
        <v>1718</v>
      </c>
      <c r="B4" s="10" t="s">
        <v>1437</v>
      </c>
      <c r="C4" s="10" t="s">
        <v>1719</v>
      </c>
      <c r="D4" s="10" t="s">
        <v>1720</v>
      </c>
      <c r="E4" s="10" t="s">
        <v>1441</v>
      </c>
      <c r="F4" s="10" t="s">
        <v>1721</v>
      </c>
      <c r="G4" s="10" t="s">
        <v>1722</v>
      </c>
      <c r="H4" s="10" t="s">
        <v>97</v>
      </c>
      <c r="I4" s="10" t="s">
        <v>312</v>
      </c>
      <c r="J4" s="10" t="s">
        <v>214</v>
      </c>
    </row>
    <row r="5" ht="46" customHeight="1" spans="1:10">
      <c r="A5" s="5" t="s">
        <v>1723</v>
      </c>
      <c r="B5" s="5" t="s">
        <v>219</v>
      </c>
      <c r="C5" s="5" t="s">
        <v>216</v>
      </c>
      <c r="D5" s="5" t="s">
        <v>1724</v>
      </c>
      <c r="E5" s="12" t="s">
        <v>1725</v>
      </c>
      <c r="F5" s="12" t="s">
        <v>10</v>
      </c>
      <c r="G5" s="5" t="s">
        <v>1726</v>
      </c>
      <c r="H5" s="12" t="s">
        <v>10</v>
      </c>
      <c r="I5" s="12" t="s">
        <v>321</v>
      </c>
      <c r="J5" s="12"/>
    </row>
    <row r="6" ht="46" customHeight="1" spans="1:10">
      <c r="A6" s="5" t="s">
        <v>1727</v>
      </c>
      <c r="B6" s="15" t="s">
        <v>354</v>
      </c>
      <c r="C6" s="5" t="s">
        <v>108</v>
      </c>
      <c r="D6" s="5" t="s">
        <v>1728</v>
      </c>
      <c r="E6" s="12" t="s">
        <v>1729</v>
      </c>
      <c r="F6" s="12" t="s">
        <v>10</v>
      </c>
      <c r="G6" s="5" t="s">
        <v>115</v>
      </c>
      <c r="H6" s="12" t="s">
        <v>10</v>
      </c>
      <c r="I6" s="12" t="s">
        <v>321</v>
      </c>
      <c r="J6" s="12"/>
    </row>
    <row r="7" ht="46" customHeight="1" spans="1:10">
      <c r="A7" s="5" t="s">
        <v>1730</v>
      </c>
      <c r="B7" s="15" t="s">
        <v>354</v>
      </c>
      <c r="C7" s="5" t="s">
        <v>1731</v>
      </c>
      <c r="D7" s="5" t="s">
        <v>1732</v>
      </c>
      <c r="E7" s="12" t="s">
        <v>1733</v>
      </c>
      <c r="F7" s="12" t="s">
        <v>10</v>
      </c>
      <c r="G7" s="5" t="s">
        <v>115</v>
      </c>
      <c r="H7" s="12" t="s">
        <v>10</v>
      </c>
      <c r="I7" s="12" t="s">
        <v>321</v>
      </c>
      <c r="J7" s="12"/>
    </row>
    <row r="8" ht="46" customHeight="1" spans="1:10">
      <c r="A8" s="5" t="s">
        <v>1734</v>
      </c>
      <c r="B8" s="15" t="s">
        <v>354</v>
      </c>
      <c r="C8" s="5" t="s">
        <v>1735</v>
      </c>
      <c r="D8" s="5" t="s">
        <v>1736</v>
      </c>
      <c r="E8" s="12" t="s">
        <v>1737</v>
      </c>
      <c r="F8" s="12" t="s">
        <v>10</v>
      </c>
      <c r="G8" s="5" t="s">
        <v>1738</v>
      </c>
      <c r="H8" s="12" t="s">
        <v>10</v>
      </c>
      <c r="I8" s="12" t="s">
        <v>321</v>
      </c>
      <c r="J8" s="12"/>
    </row>
    <row r="9" ht="46" customHeight="1" spans="1:10">
      <c r="A9" s="5" t="s">
        <v>1739</v>
      </c>
      <c r="B9" s="15" t="s">
        <v>1740</v>
      </c>
      <c r="C9" s="5" t="s">
        <v>1741</v>
      </c>
      <c r="D9" s="5" t="s">
        <v>1742</v>
      </c>
      <c r="E9" s="12" t="s">
        <v>1743</v>
      </c>
      <c r="F9" s="12" t="s">
        <v>10</v>
      </c>
      <c r="G9" s="5" t="s">
        <v>115</v>
      </c>
      <c r="H9" s="12" t="s">
        <v>10</v>
      </c>
      <c r="I9" s="12" t="s">
        <v>321</v>
      </c>
      <c r="J9" s="12"/>
    </row>
    <row r="10" ht="46" customHeight="1" spans="1:10">
      <c r="A10" s="5" t="s">
        <v>1744</v>
      </c>
      <c r="B10" s="15" t="s">
        <v>1740</v>
      </c>
      <c r="C10" s="5" t="s">
        <v>1745</v>
      </c>
      <c r="D10" s="5" t="s">
        <v>1746</v>
      </c>
      <c r="E10" s="12" t="s">
        <v>1747</v>
      </c>
      <c r="F10" s="12" t="s">
        <v>10</v>
      </c>
      <c r="G10" s="5" t="s">
        <v>1748</v>
      </c>
      <c r="H10" s="12" t="s">
        <v>10</v>
      </c>
      <c r="I10" s="12" t="s">
        <v>321</v>
      </c>
      <c r="J10" s="12"/>
    </row>
    <row r="11" ht="46" customHeight="1" spans="1:10">
      <c r="A11" s="5" t="s">
        <v>1749</v>
      </c>
      <c r="B11" s="15" t="s">
        <v>1740</v>
      </c>
      <c r="C11" s="5" t="s">
        <v>1750</v>
      </c>
      <c r="D11" s="5" t="s">
        <v>1751</v>
      </c>
      <c r="E11" s="12" t="s">
        <v>1752</v>
      </c>
      <c r="F11" s="12" t="s">
        <v>10</v>
      </c>
      <c r="G11" s="5" t="s">
        <v>348</v>
      </c>
      <c r="H11" s="12" t="s">
        <v>10</v>
      </c>
      <c r="I11" s="12" t="s">
        <v>321</v>
      </c>
      <c r="J11" s="12"/>
    </row>
    <row r="12" ht="46" customHeight="1" spans="1:10">
      <c r="A12" s="5" t="s">
        <v>1753</v>
      </c>
      <c r="B12" s="15" t="s">
        <v>1740</v>
      </c>
      <c r="C12" s="5" t="s">
        <v>48</v>
      </c>
      <c r="D12" s="5" t="s">
        <v>1754</v>
      </c>
      <c r="E12" s="12" t="s">
        <v>1755</v>
      </c>
      <c r="F12" s="12" t="s">
        <v>10</v>
      </c>
      <c r="G12" s="5" t="s">
        <v>141</v>
      </c>
      <c r="H12" s="12" t="s">
        <v>10</v>
      </c>
      <c r="I12" s="12" t="s">
        <v>321</v>
      </c>
      <c r="J12" s="12"/>
    </row>
    <row r="13" ht="46" customHeight="1" spans="1:10">
      <c r="A13" s="5" t="s">
        <v>1756</v>
      </c>
      <c r="B13" s="15" t="s">
        <v>454</v>
      </c>
      <c r="C13" s="5" t="s">
        <v>1745</v>
      </c>
      <c r="D13" s="5" t="s">
        <v>1757</v>
      </c>
      <c r="E13" s="12" t="s">
        <v>1758</v>
      </c>
      <c r="F13" s="12" t="s">
        <v>1759</v>
      </c>
      <c r="G13" s="5" t="s">
        <v>115</v>
      </c>
      <c r="H13" s="12" t="s">
        <v>10</v>
      </c>
      <c r="I13" s="12" t="s">
        <v>321</v>
      </c>
      <c r="J13" s="12"/>
    </row>
    <row r="14" ht="46" customHeight="1" spans="1:10">
      <c r="A14" s="5" t="s">
        <v>1760</v>
      </c>
      <c r="B14" s="15" t="s">
        <v>454</v>
      </c>
      <c r="C14" s="5" t="s">
        <v>48</v>
      </c>
      <c r="D14" s="5" t="s">
        <v>1761</v>
      </c>
      <c r="E14" s="12" t="s">
        <v>1758</v>
      </c>
      <c r="F14" s="12" t="s">
        <v>1759</v>
      </c>
      <c r="G14" s="5" t="s">
        <v>141</v>
      </c>
      <c r="H14" s="12" t="s">
        <v>10</v>
      </c>
      <c r="I14" s="12" t="s">
        <v>321</v>
      </c>
      <c r="J14" s="12"/>
    </row>
    <row r="15" ht="46" customHeight="1" spans="1:10">
      <c r="A15" s="5" t="s">
        <v>1762</v>
      </c>
      <c r="B15" s="15" t="s">
        <v>454</v>
      </c>
      <c r="C15" s="5" t="s">
        <v>1763</v>
      </c>
      <c r="D15" s="5" t="s">
        <v>1764</v>
      </c>
      <c r="E15" s="12" t="s">
        <v>1758</v>
      </c>
      <c r="F15" s="12" t="s">
        <v>1759</v>
      </c>
      <c r="G15" s="5" t="s">
        <v>786</v>
      </c>
      <c r="H15" s="12" t="s">
        <v>10</v>
      </c>
      <c r="I15" s="12" t="s">
        <v>321</v>
      </c>
      <c r="J15" s="12"/>
    </row>
    <row r="16" ht="46" customHeight="1" spans="1:10">
      <c r="A16" s="5" t="s">
        <v>1765</v>
      </c>
      <c r="B16" s="15" t="s">
        <v>446</v>
      </c>
      <c r="C16" s="5" t="s">
        <v>1766</v>
      </c>
      <c r="D16" s="5" t="s">
        <v>1767</v>
      </c>
      <c r="E16" s="12" t="s">
        <v>1768</v>
      </c>
      <c r="F16" s="12" t="s">
        <v>1769</v>
      </c>
      <c r="G16" s="5" t="s">
        <v>115</v>
      </c>
      <c r="H16" s="12" t="s">
        <v>10</v>
      </c>
      <c r="I16" s="12" t="s">
        <v>321</v>
      </c>
      <c r="J16" s="12"/>
    </row>
    <row r="17" ht="46" customHeight="1" spans="1:10">
      <c r="A17" s="5" t="s">
        <v>1770</v>
      </c>
      <c r="B17" s="15" t="s">
        <v>446</v>
      </c>
      <c r="C17" s="5" t="s">
        <v>1771</v>
      </c>
      <c r="D17" s="5" t="s">
        <v>1772</v>
      </c>
      <c r="E17" s="12" t="s">
        <v>1773</v>
      </c>
      <c r="F17" s="12" t="s">
        <v>1774</v>
      </c>
      <c r="G17" s="5" t="s">
        <v>133</v>
      </c>
      <c r="H17" s="12" t="s">
        <v>10</v>
      </c>
      <c r="I17" s="12" t="s">
        <v>321</v>
      </c>
      <c r="J17" s="12"/>
    </row>
    <row r="18" ht="46" customHeight="1" spans="1:10">
      <c r="A18" s="5" t="s">
        <v>1775</v>
      </c>
      <c r="B18" s="15" t="s">
        <v>446</v>
      </c>
      <c r="C18" s="5" t="s">
        <v>1177</v>
      </c>
      <c r="D18" s="5" t="s">
        <v>1776</v>
      </c>
      <c r="E18" s="12" t="s">
        <v>1768</v>
      </c>
      <c r="F18" s="12" t="s">
        <v>1774</v>
      </c>
      <c r="G18" s="5" t="s">
        <v>141</v>
      </c>
      <c r="H18" s="12" t="s">
        <v>10</v>
      </c>
      <c r="I18" s="12" t="s">
        <v>321</v>
      </c>
      <c r="J18" s="12"/>
    </row>
    <row r="19" ht="46" customHeight="1" spans="1:10">
      <c r="A19" s="5" t="s">
        <v>1777</v>
      </c>
      <c r="B19" s="15" t="s">
        <v>559</v>
      </c>
      <c r="C19" s="5" t="s">
        <v>254</v>
      </c>
      <c r="D19" s="5" t="s">
        <v>1778</v>
      </c>
      <c r="E19" s="12" t="s">
        <v>1779</v>
      </c>
      <c r="F19" s="12" t="s">
        <v>10</v>
      </c>
      <c r="G19" s="5" t="s">
        <v>115</v>
      </c>
      <c r="H19" s="12" t="s">
        <v>10</v>
      </c>
      <c r="I19" s="12" t="s">
        <v>321</v>
      </c>
      <c r="J19" s="12"/>
    </row>
    <row r="20" ht="46" customHeight="1" spans="1:10">
      <c r="A20" s="5" t="s">
        <v>1780</v>
      </c>
      <c r="B20" s="15" t="s">
        <v>559</v>
      </c>
      <c r="C20" s="5" t="s">
        <v>1781</v>
      </c>
      <c r="D20" s="5" t="s">
        <v>1782</v>
      </c>
      <c r="E20" s="12" t="s">
        <v>1779</v>
      </c>
      <c r="F20" s="12" t="s">
        <v>10</v>
      </c>
      <c r="G20" s="5" t="s">
        <v>141</v>
      </c>
      <c r="H20" s="12" t="s">
        <v>10</v>
      </c>
      <c r="I20" s="12" t="s">
        <v>321</v>
      </c>
      <c r="J20" s="12"/>
    </row>
    <row r="21" ht="46" customHeight="1" spans="1:10">
      <c r="A21" s="5" t="s">
        <v>1783</v>
      </c>
      <c r="B21" s="15" t="s">
        <v>596</v>
      </c>
      <c r="C21" s="5" t="s">
        <v>262</v>
      </c>
      <c r="D21" s="5" t="s">
        <v>1784</v>
      </c>
      <c r="E21" s="12" t="s">
        <v>1785</v>
      </c>
      <c r="F21" s="12" t="s">
        <v>10</v>
      </c>
      <c r="G21" s="5" t="s">
        <v>115</v>
      </c>
      <c r="H21" s="12" t="s">
        <v>10</v>
      </c>
      <c r="I21" s="12" t="s">
        <v>321</v>
      </c>
      <c r="J21" s="12"/>
    </row>
    <row r="22" ht="46" customHeight="1" spans="1:10">
      <c r="A22" s="5" t="s">
        <v>1786</v>
      </c>
      <c r="B22" s="15" t="s">
        <v>596</v>
      </c>
      <c r="C22" s="5" t="s">
        <v>1787</v>
      </c>
      <c r="D22" s="5" t="s">
        <v>1788</v>
      </c>
      <c r="E22" s="12" t="s">
        <v>1785</v>
      </c>
      <c r="F22" s="12" t="s">
        <v>10</v>
      </c>
      <c r="G22" s="5" t="s">
        <v>141</v>
      </c>
      <c r="H22" s="12" t="s">
        <v>10</v>
      </c>
      <c r="I22" s="12" t="s">
        <v>321</v>
      </c>
      <c r="J22" s="12"/>
    </row>
    <row r="23" ht="46" customHeight="1" spans="1:10">
      <c r="A23" s="5" t="s">
        <v>1789</v>
      </c>
      <c r="B23" s="5" t="s">
        <v>1790</v>
      </c>
      <c r="C23" s="5" t="s">
        <v>1791</v>
      </c>
      <c r="D23" s="5" t="s">
        <v>1792</v>
      </c>
      <c r="E23" s="12" t="s">
        <v>1793</v>
      </c>
      <c r="F23" s="12" t="s">
        <v>1794</v>
      </c>
      <c r="G23" s="5" t="s">
        <v>1795</v>
      </c>
      <c r="H23" s="12" t="s">
        <v>10</v>
      </c>
      <c r="I23" s="12" t="s">
        <v>321</v>
      </c>
      <c r="J23" s="12"/>
    </row>
    <row r="24" ht="46" customHeight="1" spans="1:10">
      <c r="A24" s="5" t="s">
        <v>1796</v>
      </c>
      <c r="B24" s="5" t="s">
        <v>1797</v>
      </c>
      <c r="C24" s="5" t="s">
        <v>1750</v>
      </c>
      <c r="D24" s="5" t="s">
        <v>1798</v>
      </c>
      <c r="E24" s="12" t="s">
        <v>10</v>
      </c>
      <c r="F24" s="12" t="s">
        <v>10</v>
      </c>
      <c r="G24" s="5" t="s">
        <v>1799</v>
      </c>
      <c r="H24" s="12" t="s">
        <v>10</v>
      </c>
      <c r="I24" s="12" t="s">
        <v>321</v>
      </c>
      <c r="J24" s="12"/>
    </row>
    <row r="25" ht="46" customHeight="1" spans="1:10">
      <c r="A25" s="5" t="s">
        <v>1800</v>
      </c>
      <c r="B25" s="15" t="s">
        <v>672</v>
      </c>
      <c r="C25" s="5" t="s">
        <v>1801</v>
      </c>
      <c r="D25" s="5" t="s">
        <v>1802</v>
      </c>
      <c r="E25" s="12" t="s">
        <v>1803</v>
      </c>
      <c r="F25" s="12" t="s">
        <v>1794</v>
      </c>
      <c r="G25" s="5" t="s">
        <v>348</v>
      </c>
      <c r="H25" s="12" t="s">
        <v>10</v>
      </c>
      <c r="I25" s="12" t="s">
        <v>321</v>
      </c>
      <c r="J25" s="12"/>
    </row>
    <row r="26" ht="46" customHeight="1" spans="1:10">
      <c r="A26" s="5" t="s">
        <v>1804</v>
      </c>
      <c r="B26" s="15" t="s">
        <v>672</v>
      </c>
      <c r="C26" s="5" t="s">
        <v>686</v>
      </c>
      <c r="D26" s="5" t="s">
        <v>1805</v>
      </c>
      <c r="E26" s="12" t="s">
        <v>1803</v>
      </c>
      <c r="F26" s="12" t="s">
        <v>1794</v>
      </c>
      <c r="G26" s="5" t="s">
        <v>348</v>
      </c>
      <c r="H26" s="12" t="s">
        <v>10</v>
      </c>
      <c r="I26" s="12" t="s">
        <v>321</v>
      </c>
      <c r="J26" s="12"/>
    </row>
    <row r="27" ht="46" customHeight="1" spans="1:10">
      <c r="A27" s="5" t="s">
        <v>1806</v>
      </c>
      <c r="B27" s="15" t="s">
        <v>733</v>
      </c>
      <c r="C27" s="5" t="s">
        <v>1807</v>
      </c>
      <c r="D27" s="5" t="s">
        <v>1808</v>
      </c>
      <c r="E27" s="12" t="s">
        <v>1809</v>
      </c>
      <c r="F27" s="12" t="s">
        <v>1809</v>
      </c>
      <c r="G27" s="5" t="s">
        <v>115</v>
      </c>
      <c r="H27" s="12" t="s">
        <v>10</v>
      </c>
      <c r="I27" s="12" t="s">
        <v>321</v>
      </c>
      <c r="J27" s="12"/>
    </row>
    <row r="28" ht="46" customHeight="1" spans="1:10">
      <c r="A28" s="5" t="s">
        <v>1810</v>
      </c>
      <c r="B28" s="15" t="s">
        <v>733</v>
      </c>
      <c r="C28" s="5" t="s">
        <v>1811</v>
      </c>
      <c r="D28" s="5" t="s">
        <v>1812</v>
      </c>
      <c r="E28" s="12" t="s">
        <v>1809</v>
      </c>
      <c r="F28" s="12" t="s">
        <v>1809</v>
      </c>
      <c r="G28" s="5" t="s">
        <v>1813</v>
      </c>
      <c r="H28" s="12" t="s">
        <v>10</v>
      </c>
      <c r="I28" s="12" t="s">
        <v>321</v>
      </c>
      <c r="J28" s="12"/>
    </row>
    <row r="29" ht="46" customHeight="1" spans="1:10">
      <c r="A29" s="5" t="s">
        <v>1814</v>
      </c>
      <c r="B29" s="5" t="s">
        <v>1815</v>
      </c>
      <c r="C29" s="5" t="s">
        <v>713</v>
      </c>
      <c r="D29" s="5" t="s">
        <v>1816</v>
      </c>
      <c r="E29" s="12" t="s">
        <v>1817</v>
      </c>
      <c r="F29" s="12" t="s">
        <v>10</v>
      </c>
      <c r="G29" s="5" t="s">
        <v>115</v>
      </c>
      <c r="H29" s="12" t="s">
        <v>10</v>
      </c>
      <c r="I29" s="12" t="s">
        <v>321</v>
      </c>
      <c r="J29" s="12"/>
    </row>
    <row r="30" ht="46" customHeight="1" spans="1:10">
      <c r="A30" s="5" t="s">
        <v>1818</v>
      </c>
      <c r="B30" s="5" t="s">
        <v>1819</v>
      </c>
      <c r="C30" s="5" t="s">
        <v>1820</v>
      </c>
      <c r="D30" s="5" t="s">
        <v>1821</v>
      </c>
      <c r="E30" s="12" t="s">
        <v>1822</v>
      </c>
      <c r="F30" s="12" t="s">
        <v>1794</v>
      </c>
      <c r="G30" s="5" t="s">
        <v>194</v>
      </c>
      <c r="H30" s="12" t="s">
        <v>10</v>
      </c>
      <c r="I30" s="12" t="s">
        <v>321</v>
      </c>
      <c r="J30" s="12"/>
    </row>
  </sheetData>
  <mergeCells count="10">
    <mergeCell ref="A1:J1"/>
    <mergeCell ref="A2:J2"/>
    <mergeCell ref="B6:B8"/>
    <mergeCell ref="B9:B12"/>
    <mergeCell ref="B13:B15"/>
    <mergeCell ref="B16:B18"/>
    <mergeCell ref="B19:B20"/>
    <mergeCell ref="B21:B22"/>
    <mergeCell ref="B25:B26"/>
    <mergeCell ref="B27:B28"/>
  </mergeCells>
  <dataValidations count="2">
    <dataValidation type="list" sqref="H5:H30">
      <formula1>"草案,評審中,待確認,已批准,已廢棄"</formula1>
    </dataValidation>
    <dataValidation type="list" sqref="I5:I30">
      <formula1>"未決定,同意,有條件同意,需調整,不納入"</formula1>
    </dataValidation>
  </dataValidation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5803D"/>
  </sheetPr>
  <dimension ref="A1:L84"/>
  <sheetViews>
    <sheetView showGridLines="0" workbookViewId="0">
      <pane xSplit="3" ySplit="4" topLeftCell="D5" activePane="bottomRight" state="frozen"/>
      <selection/>
      <selection pane="topRight"/>
      <selection pane="bottomLeft"/>
      <selection pane="bottomRight" activeCell="A1" sqref="A1:L1"/>
    </sheetView>
  </sheetViews>
  <sheetFormatPr defaultColWidth="9" defaultRowHeight="16.8"/>
  <cols>
    <col min="1" max="1" width="12" customWidth="1"/>
    <col min="2" max="2" width="25" customWidth="1"/>
    <col min="3" max="3" width="42" customWidth="1"/>
    <col min="4" max="4" width="16" customWidth="1"/>
    <col min="5" max="7" width="15" customWidth="1"/>
    <col min="8" max="8" width="13" customWidth="1"/>
    <col min="9" max="11" width="15" customWidth="1"/>
    <col min="12" max="12" width="38" customWidth="1"/>
  </cols>
  <sheetData>
    <row r="1" ht="38" customHeight="1" spans="1:12">
      <c r="A1" s="1" t="s">
        <v>1823</v>
      </c>
      <c r="B1" s="1" t="s">
        <v>1823</v>
      </c>
      <c r="C1" s="1" t="s">
        <v>1823</v>
      </c>
      <c r="D1" s="1" t="s">
        <v>1823</v>
      </c>
      <c r="E1" s="1" t="s">
        <v>1823</v>
      </c>
      <c r="F1" s="1" t="s">
        <v>1823</v>
      </c>
      <c r="G1" s="1" t="s">
        <v>1823</v>
      </c>
      <c r="H1" s="1" t="s">
        <v>1823</v>
      </c>
      <c r="I1" s="1" t="s">
        <v>1823</v>
      </c>
      <c r="J1" s="1" t="s">
        <v>1823</v>
      </c>
      <c r="K1" s="1" t="s">
        <v>1823</v>
      </c>
      <c r="L1" s="1" t="s">
        <v>1823</v>
      </c>
    </row>
    <row r="2" ht="28" customHeight="1" spans="1:12">
      <c r="A2" s="2" t="s">
        <v>1824</v>
      </c>
      <c r="B2" s="2" t="s">
        <v>1824</v>
      </c>
      <c r="C2" s="2" t="s">
        <v>1824</v>
      </c>
      <c r="D2" s="2" t="s">
        <v>1824</v>
      </c>
      <c r="E2" s="2" t="s">
        <v>1824</v>
      </c>
      <c r="F2" s="2" t="s">
        <v>1824</v>
      </c>
      <c r="G2" s="2" t="s">
        <v>1824</v>
      </c>
      <c r="H2" s="2" t="s">
        <v>1824</v>
      </c>
      <c r="I2" s="2" t="s">
        <v>1824</v>
      </c>
      <c r="J2" s="2" t="s">
        <v>1824</v>
      </c>
      <c r="K2" s="2" t="s">
        <v>1824</v>
      </c>
      <c r="L2" s="2" t="s">
        <v>1824</v>
      </c>
    </row>
    <row r="3" spans="1:1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30" customHeight="1" spans="1:12">
      <c r="A4" s="13" t="s">
        <v>304</v>
      </c>
      <c r="B4" s="13" t="s">
        <v>306</v>
      </c>
      <c r="C4" s="13" t="s">
        <v>1825</v>
      </c>
      <c r="D4" s="13" t="s">
        <v>1826</v>
      </c>
      <c r="E4" s="13" t="s">
        <v>1827</v>
      </c>
      <c r="F4" s="13" t="s">
        <v>1828</v>
      </c>
      <c r="G4" s="13" t="s">
        <v>1829</v>
      </c>
      <c r="H4" s="13" t="s">
        <v>1830</v>
      </c>
      <c r="I4" s="13" t="s">
        <v>1831</v>
      </c>
      <c r="J4" s="13" t="s">
        <v>1832</v>
      </c>
      <c r="K4" s="13" t="s">
        <v>1833</v>
      </c>
      <c r="L4" s="13" t="s">
        <v>1834</v>
      </c>
    </row>
    <row r="5" ht="42" customHeight="1" spans="1:12">
      <c r="A5" s="5" t="s">
        <v>315</v>
      </c>
      <c r="B5" s="5" t="s">
        <v>216</v>
      </c>
      <c r="C5" s="5" t="s">
        <v>316</v>
      </c>
      <c r="D5" s="12"/>
      <c r="E5" s="12" t="s">
        <v>37</v>
      </c>
      <c r="F5" s="12" t="s">
        <v>37</v>
      </c>
      <c r="G5" s="12" t="s">
        <v>37</v>
      </c>
      <c r="H5" s="14">
        <f t="shared" ref="H5:H68" si="0">IF(G5="已驗收",100%,IF(G5="驗收中",90%,IF(F5="已通過",85%,IF(F5="測試中",70%,IF(E5="已完成",60%,IF(E5="開發中",35%,IF(E5="設計中",10%,0%)))))))</f>
        <v>0</v>
      </c>
      <c r="I5" s="12"/>
      <c r="J5" s="12"/>
      <c r="K5" s="12"/>
      <c r="L5" s="12"/>
    </row>
    <row r="6" ht="42" customHeight="1" spans="1:12">
      <c r="A6" s="5" t="s">
        <v>324</v>
      </c>
      <c r="B6" s="5" t="s">
        <v>216</v>
      </c>
      <c r="C6" s="5" t="s">
        <v>325</v>
      </c>
      <c r="D6" s="12"/>
      <c r="E6" s="12" t="s">
        <v>37</v>
      </c>
      <c r="F6" s="12" t="s">
        <v>37</v>
      </c>
      <c r="G6" s="12" t="s">
        <v>37</v>
      </c>
      <c r="H6" s="14">
        <f t="shared" si="0"/>
        <v>0</v>
      </c>
      <c r="I6" s="12"/>
      <c r="J6" s="12"/>
      <c r="K6" s="12"/>
      <c r="L6" s="12"/>
    </row>
    <row r="7" ht="42" customHeight="1" spans="1:12">
      <c r="A7" s="5" t="s">
        <v>330</v>
      </c>
      <c r="B7" s="5" t="s">
        <v>216</v>
      </c>
      <c r="C7" s="5" t="s">
        <v>331</v>
      </c>
      <c r="D7" s="12"/>
      <c r="E7" s="12" t="s">
        <v>37</v>
      </c>
      <c r="F7" s="12" t="s">
        <v>37</v>
      </c>
      <c r="G7" s="12" t="s">
        <v>37</v>
      </c>
      <c r="H7" s="14">
        <f t="shared" si="0"/>
        <v>0</v>
      </c>
      <c r="I7" s="12"/>
      <c r="J7" s="12"/>
      <c r="K7" s="12"/>
      <c r="L7" s="12"/>
    </row>
    <row r="8" ht="42" customHeight="1" spans="1:12">
      <c r="A8" s="5" t="s">
        <v>336</v>
      </c>
      <c r="B8" s="5" t="s">
        <v>216</v>
      </c>
      <c r="C8" s="5" t="s">
        <v>337</v>
      </c>
      <c r="D8" s="12"/>
      <c r="E8" s="12" t="s">
        <v>37</v>
      </c>
      <c r="F8" s="12" t="s">
        <v>37</v>
      </c>
      <c r="G8" s="12" t="s">
        <v>37</v>
      </c>
      <c r="H8" s="14">
        <f t="shared" si="0"/>
        <v>0</v>
      </c>
      <c r="I8" s="12"/>
      <c r="J8" s="12"/>
      <c r="K8" s="12"/>
      <c r="L8" s="12"/>
    </row>
    <row r="9" ht="42" customHeight="1" spans="1:12">
      <c r="A9" s="5" t="s">
        <v>341</v>
      </c>
      <c r="B9" s="5" t="s">
        <v>216</v>
      </c>
      <c r="C9" s="5" t="s">
        <v>342</v>
      </c>
      <c r="D9" s="12"/>
      <c r="E9" s="12" t="s">
        <v>37</v>
      </c>
      <c r="F9" s="12" t="s">
        <v>37</v>
      </c>
      <c r="G9" s="12" t="s">
        <v>37</v>
      </c>
      <c r="H9" s="14">
        <f t="shared" si="0"/>
        <v>0</v>
      </c>
      <c r="I9" s="12"/>
      <c r="J9" s="12"/>
      <c r="K9" s="12"/>
      <c r="L9" s="12" t="s">
        <v>1835</v>
      </c>
    </row>
    <row r="10" ht="42" customHeight="1" spans="1:12">
      <c r="A10" s="5" t="s">
        <v>350</v>
      </c>
      <c r="B10" s="5" t="s">
        <v>351</v>
      </c>
      <c r="C10" s="5" t="s">
        <v>352</v>
      </c>
      <c r="D10" s="12"/>
      <c r="E10" s="12" t="s">
        <v>37</v>
      </c>
      <c r="F10" s="12" t="s">
        <v>37</v>
      </c>
      <c r="G10" s="12" t="s">
        <v>37</v>
      </c>
      <c r="H10" s="14">
        <f t="shared" si="0"/>
        <v>0</v>
      </c>
      <c r="I10" s="12"/>
      <c r="J10" s="12"/>
      <c r="K10" s="12"/>
      <c r="L10" s="12"/>
    </row>
    <row r="11" ht="42" customHeight="1" spans="1:12">
      <c r="A11" s="5" t="s">
        <v>359</v>
      </c>
      <c r="B11" s="5" t="s">
        <v>351</v>
      </c>
      <c r="C11" s="5" t="s">
        <v>360</v>
      </c>
      <c r="D11" s="12"/>
      <c r="E11" s="12" t="s">
        <v>37</v>
      </c>
      <c r="F11" s="12" t="s">
        <v>37</v>
      </c>
      <c r="G11" s="12" t="s">
        <v>37</v>
      </c>
      <c r="H11" s="14">
        <f t="shared" si="0"/>
        <v>0</v>
      </c>
      <c r="I11" s="12"/>
      <c r="J11" s="12"/>
      <c r="K11" s="12"/>
      <c r="L11" s="12"/>
    </row>
    <row r="12" ht="42" customHeight="1" spans="1:12">
      <c r="A12" s="5" t="s">
        <v>367</v>
      </c>
      <c r="B12" s="5" t="s">
        <v>351</v>
      </c>
      <c r="C12" s="5" t="s">
        <v>368</v>
      </c>
      <c r="D12" s="12"/>
      <c r="E12" s="12" t="s">
        <v>37</v>
      </c>
      <c r="F12" s="12" t="s">
        <v>37</v>
      </c>
      <c r="G12" s="12" t="s">
        <v>37</v>
      </c>
      <c r="H12" s="14">
        <f t="shared" si="0"/>
        <v>0</v>
      </c>
      <c r="I12" s="12"/>
      <c r="J12" s="12"/>
      <c r="K12" s="12"/>
      <c r="L12" s="12"/>
    </row>
    <row r="13" ht="42" customHeight="1" spans="1:12">
      <c r="A13" s="5" t="s">
        <v>372</v>
      </c>
      <c r="B13" s="5" t="s">
        <v>351</v>
      </c>
      <c r="C13" s="5" t="s">
        <v>373</v>
      </c>
      <c r="D13" s="12"/>
      <c r="E13" s="12" t="s">
        <v>37</v>
      </c>
      <c r="F13" s="12" t="s">
        <v>37</v>
      </c>
      <c r="G13" s="12" t="s">
        <v>37</v>
      </c>
      <c r="H13" s="14">
        <f t="shared" si="0"/>
        <v>0</v>
      </c>
      <c r="I13" s="12"/>
      <c r="J13" s="12"/>
      <c r="K13" s="12"/>
      <c r="L13" s="12"/>
    </row>
    <row r="14" ht="42" customHeight="1" spans="1:12">
      <c r="A14" s="5" t="s">
        <v>377</v>
      </c>
      <c r="B14" s="5" t="s">
        <v>351</v>
      </c>
      <c r="C14" s="5" t="s">
        <v>378</v>
      </c>
      <c r="D14" s="12"/>
      <c r="E14" s="12" t="s">
        <v>37</v>
      </c>
      <c r="F14" s="12" t="s">
        <v>37</v>
      </c>
      <c r="G14" s="12" t="s">
        <v>37</v>
      </c>
      <c r="H14" s="14">
        <f t="shared" si="0"/>
        <v>0</v>
      </c>
      <c r="I14" s="12"/>
      <c r="J14" s="12"/>
      <c r="K14" s="12"/>
      <c r="L14" s="12"/>
    </row>
    <row r="15" ht="42" customHeight="1" spans="1:12">
      <c r="A15" s="5" t="s">
        <v>384</v>
      </c>
      <c r="B15" s="5" t="s">
        <v>351</v>
      </c>
      <c r="C15" s="5" t="s">
        <v>385</v>
      </c>
      <c r="D15" s="12"/>
      <c r="E15" s="12" t="s">
        <v>37</v>
      </c>
      <c r="F15" s="12" t="s">
        <v>37</v>
      </c>
      <c r="G15" s="12" t="s">
        <v>37</v>
      </c>
      <c r="H15" s="14">
        <f t="shared" si="0"/>
        <v>0</v>
      </c>
      <c r="I15" s="12"/>
      <c r="J15" s="12"/>
      <c r="K15" s="12"/>
      <c r="L15" s="12"/>
    </row>
    <row r="16" ht="42" customHeight="1" spans="1:12">
      <c r="A16" s="5" t="s">
        <v>392</v>
      </c>
      <c r="B16" s="5" t="s">
        <v>351</v>
      </c>
      <c r="C16" s="5" t="s">
        <v>393</v>
      </c>
      <c r="D16" s="12"/>
      <c r="E16" s="12" t="s">
        <v>37</v>
      </c>
      <c r="F16" s="12" t="s">
        <v>37</v>
      </c>
      <c r="G16" s="12" t="s">
        <v>37</v>
      </c>
      <c r="H16" s="14">
        <f t="shared" si="0"/>
        <v>0</v>
      </c>
      <c r="I16" s="12"/>
      <c r="J16" s="12"/>
      <c r="K16" s="12"/>
      <c r="L16" s="12"/>
    </row>
    <row r="17" ht="42" customHeight="1" spans="1:12">
      <c r="A17" s="5" t="s">
        <v>397</v>
      </c>
      <c r="B17" s="5" t="s">
        <v>351</v>
      </c>
      <c r="C17" s="5" t="s">
        <v>399</v>
      </c>
      <c r="D17" s="12"/>
      <c r="E17" s="12" t="s">
        <v>37</v>
      </c>
      <c r="F17" s="12" t="s">
        <v>37</v>
      </c>
      <c r="G17" s="12" t="s">
        <v>37</v>
      </c>
      <c r="H17" s="14">
        <f t="shared" si="0"/>
        <v>0</v>
      </c>
      <c r="I17" s="12"/>
      <c r="J17" s="12"/>
      <c r="K17" s="12"/>
      <c r="L17" s="12" t="s">
        <v>1836</v>
      </c>
    </row>
    <row r="18" ht="42" customHeight="1" spans="1:12">
      <c r="A18" s="5" t="s">
        <v>406</v>
      </c>
      <c r="B18" s="5" t="s">
        <v>231</v>
      </c>
      <c r="C18" s="5" t="s">
        <v>408</v>
      </c>
      <c r="D18" s="12"/>
      <c r="E18" s="12" t="s">
        <v>37</v>
      </c>
      <c r="F18" s="12" t="s">
        <v>37</v>
      </c>
      <c r="G18" s="12" t="s">
        <v>37</v>
      </c>
      <c r="H18" s="14">
        <f t="shared" si="0"/>
        <v>0</v>
      </c>
      <c r="I18" s="12"/>
      <c r="J18" s="12"/>
      <c r="K18" s="12"/>
      <c r="L18" s="12"/>
    </row>
    <row r="19" ht="42" customHeight="1" spans="1:12">
      <c r="A19" s="5" t="s">
        <v>412</v>
      </c>
      <c r="B19" s="5" t="s">
        <v>231</v>
      </c>
      <c r="C19" s="5" t="s">
        <v>413</v>
      </c>
      <c r="D19" s="12"/>
      <c r="E19" s="12" t="s">
        <v>37</v>
      </c>
      <c r="F19" s="12" t="s">
        <v>37</v>
      </c>
      <c r="G19" s="12" t="s">
        <v>37</v>
      </c>
      <c r="H19" s="14">
        <f t="shared" si="0"/>
        <v>0</v>
      </c>
      <c r="I19" s="12"/>
      <c r="J19" s="12"/>
      <c r="K19" s="12"/>
      <c r="L19" s="12"/>
    </row>
    <row r="20" ht="42" customHeight="1" spans="1:12">
      <c r="A20" s="5" t="s">
        <v>418</v>
      </c>
      <c r="B20" s="5" t="s">
        <v>231</v>
      </c>
      <c r="C20" s="5" t="s">
        <v>419</v>
      </c>
      <c r="D20" s="12"/>
      <c r="E20" s="12" t="s">
        <v>37</v>
      </c>
      <c r="F20" s="12" t="s">
        <v>37</v>
      </c>
      <c r="G20" s="12" t="s">
        <v>37</v>
      </c>
      <c r="H20" s="14">
        <f t="shared" si="0"/>
        <v>0</v>
      </c>
      <c r="I20" s="12"/>
      <c r="J20" s="12"/>
      <c r="K20" s="12"/>
      <c r="L20" s="12" t="s">
        <v>1837</v>
      </c>
    </row>
    <row r="21" ht="42" customHeight="1" spans="1:12">
      <c r="A21" s="5" t="s">
        <v>422</v>
      </c>
      <c r="B21" s="5" t="s">
        <v>231</v>
      </c>
      <c r="C21" s="5" t="s">
        <v>423</v>
      </c>
      <c r="D21" s="12"/>
      <c r="E21" s="12" t="s">
        <v>37</v>
      </c>
      <c r="F21" s="12" t="s">
        <v>37</v>
      </c>
      <c r="G21" s="12" t="s">
        <v>37</v>
      </c>
      <c r="H21" s="14">
        <f t="shared" si="0"/>
        <v>0</v>
      </c>
      <c r="I21" s="12"/>
      <c r="J21" s="12"/>
      <c r="K21" s="12"/>
      <c r="L21" s="12" t="s">
        <v>1838</v>
      </c>
    </row>
    <row r="22" ht="42" customHeight="1" spans="1:12">
      <c r="A22" s="5" t="s">
        <v>426</v>
      </c>
      <c r="B22" s="5" t="s">
        <v>231</v>
      </c>
      <c r="C22" s="5" t="s">
        <v>427</v>
      </c>
      <c r="D22" s="12"/>
      <c r="E22" s="12" t="s">
        <v>37</v>
      </c>
      <c r="F22" s="12" t="s">
        <v>37</v>
      </c>
      <c r="G22" s="12" t="s">
        <v>37</v>
      </c>
      <c r="H22" s="14">
        <f t="shared" si="0"/>
        <v>0</v>
      </c>
      <c r="I22" s="12"/>
      <c r="J22" s="12"/>
      <c r="K22" s="12"/>
      <c r="L22" s="12" t="s">
        <v>1839</v>
      </c>
    </row>
    <row r="23" ht="42" customHeight="1" spans="1:12">
      <c r="A23" s="5" t="s">
        <v>430</v>
      </c>
      <c r="B23" s="5" t="s">
        <v>231</v>
      </c>
      <c r="C23" s="5" t="s">
        <v>431</v>
      </c>
      <c r="D23" s="12"/>
      <c r="E23" s="12" t="s">
        <v>37</v>
      </c>
      <c r="F23" s="12" t="s">
        <v>37</v>
      </c>
      <c r="G23" s="12" t="s">
        <v>37</v>
      </c>
      <c r="H23" s="14">
        <f t="shared" si="0"/>
        <v>0</v>
      </c>
      <c r="I23" s="12"/>
      <c r="J23" s="12"/>
      <c r="K23" s="12"/>
      <c r="L23" s="12"/>
    </row>
    <row r="24" ht="42" customHeight="1" spans="1:12">
      <c r="A24" s="5" t="s">
        <v>435</v>
      </c>
      <c r="B24" s="5" t="s">
        <v>231</v>
      </c>
      <c r="C24" s="5" t="s">
        <v>436</v>
      </c>
      <c r="D24" s="12"/>
      <c r="E24" s="12" t="s">
        <v>37</v>
      </c>
      <c r="F24" s="12" t="s">
        <v>37</v>
      </c>
      <c r="G24" s="12" t="s">
        <v>37</v>
      </c>
      <c r="H24" s="14">
        <f t="shared" si="0"/>
        <v>0</v>
      </c>
      <c r="I24" s="12"/>
      <c r="J24" s="12"/>
      <c r="K24" s="12"/>
      <c r="L24" s="12" t="s">
        <v>1840</v>
      </c>
    </row>
    <row r="25" ht="42" customHeight="1" spans="1:12">
      <c r="A25" s="5" t="s">
        <v>439</v>
      </c>
      <c r="B25" s="5" t="s">
        <v>231</v>
      </c>
      <c r="C25" s="5" t="s">
        <v>440</v>
      </c>
      <c r="D25" s="12"/>
      <c r="E25" s="12" t="s">
        <v>37</v>
      </c>
      <c r="F25" s="12" t="s">
        <v>37</v>
      </c>
      <c r="G25" s="12" t="s">
        <v>37</v>
      </c>
      <c r="H25" s="14">
        <f t="shared" si="0"/>
        <v>0</v>
      </c>
      <c r="I25" s="12"/>
      <c r="J25" s="12"/>
      <c r="K25" s="12"/>
      <c r="L25" s="12" t="s">
        <v>1841</v>
      </c>
    </row>
    <row r="26" ht="42" customHeight="1" spans="1:12">
      <c r="A26" s="5" t="s">
        <v>443</v>
      </c>
      <c r="B26" s="5" t="s">
        <v>231</v>
      </c>
      <c r="C26" s="5" t="s">
        <v>444</v>
      </c>
      <c r="D26" s="12"/>
      <c r="E26" s="12" t="s">
        <v>37</v>
      </c>
      <c r="F26" s="12" t="s">
        <v>37</v>
      </c>
      <c r="G26" s="12" t="s">
        <v>37</v>
      </c>
      <c r="H26" s="14">
        <f t="shared" si="0"/>
        <v>0</v>
      </c>
      <c r="I26" s="12"/>
      <c r="J26" s="12"/>
      <c r="K26" s="12"/>
      <c r="L26" s="12"/>
    </row>
    <row r="27" ht="42" customHeight="1" spans="1:12">
      <c r="A27" s="5" t="s">
        <v>451</v>
      </c>
      <c r="B27" s="5" t="s">
        <v>231</v>
      </c>
      <c r="C27" s="5" t="s">
        <v>452</v>
      </c>
      <c r="D27" s="12"/>
      <c r="E27" s="12" t="s">
        <v>37</v>
      </c>
      <c r="F27" s="12" t="s">
        <v>37</v>
      </c>
      <c r="G27" s="12" t="s">
        <v>37</v>
      </c>
      <c r="H27" s="14">
        <f t="shared" si="0"/>
        <v>0</v>
      </c>
      <c r="I27" s="12"/>
      <c r="J27" s="12"/>
      <c r="K27" s="12"/>
      <c r="L27" s="12" t="s">
        <v>1842</v>
      </c>
    </row>
    <row r="28" ht="42" customHeight="1" spans="1:12">
      <c r="A28" s="5" t="s">
        <v>459</v>
      </c>
      <c r="B28" s="5" t="s">
        <v>238</v>
      </c>
      <c r="C28" s="5" t="s">
        <v>461</v>
      </c>
      <c r="D28" s="12"/>
      <c r="E28" s="12" t="s">
        <v>37</v>
      </c>
      <c r="F28" s="12" t="s">
        <v>37</v>
      </c>
      <c r="G28" s="12" t="s">
        <v>37</v>
      </c>
      <c r="H28" s="14">
        <f t="shared" si="0"/>
        <v>0</v>
      </c>
      <c r="I28" s="12"/>
      <c r="J28" s="12"/>
      <c r="K28" s="12"/>
      <c r="L28" s="12"/>
    </row>
    <row r="29" ht="42" customHeight="1" spans="1:12">
      <c r="A29" s="5" t="s">
        <v>465</v>
      </c>
      <c r="B29" s="5" t="s">
        <v>238</v>
      </c>
      <c r="C29" s="5" t="s">
        <v>466</v>
      </c>
      <c r="D29" s="12"/>
      <c r="E29" s="12" t="s">
        <v>37</v>
      </c>
      <c r="F29" s="12" t="s">
        <v>37</v>
      </c>
      <c r="G29" s="12" t="s">
        <v>37</v>
      </c>
      <c r="H29" s="14">
        <f t="shared" si="0"/>
        <v>0</v>
      </c>
      <c r="I29" s="12"/>
      <c r="J29" s="12"/>
      <c r="K29" s="12"/>
      <c r="L29" s="12"/>
    </row>
    <row r="30" ht="42" customHeight="1" spans="1:12">
      <c r="A30" s="5" t="s">
        <v>470</v>
      </c>
      <c r="B30" s="5" t="s">
        <v>238</v>
      </c>
      <c r="C30" s="5" t="s">
        <v>471</v>
      </c>
      <c r="D30" s="12"/>
      <c r="E30" s="12" t="s">
        <v>37</v>
      </c>
      <c r="F30" s="12" t="s">
        <v>37</v>
      </c>
      <c r="G30" s="12" t="s">
        <v>37</v>
      </c>
      <c r="H30" s="14">
        <f t="shared" si="0"/>
        <v>0</v>
      </c>
      <c r="I30" s="12"/>
      <c r="J30" s="12"/>
      <c r="K30" s="12"/>
      <c r="L30" s="12" t="s">
        <v>1843</v>
      </c>
    </row>
    <row r="31" ht="42" customHeight="1" spans="1:12">
      <c r="A31" s="5" t="s">
        <v>475</v>
      </c>
      <c r="B31" s="5" t="s">
        <v>238</v>
      </c>
      <c r="C31" s="5" t="s">
        <v>476</v>
      </c>
      <c r="D31" s="12"/>
      <c r="E31" s="12" t="s">
        <v>37</v>
      </c>
      <c r="F31" s="12" t="s">
        <v>37</v>
      </c>
      <c r="G31" s="12" t="s">
        <v>37</v>
      </c>
      <c r="H31" s="14">
        <f t="shared" si="0"/>
        <v>0</v>
      </c>
      <c r="I31" s="12"/>
      <c r="J31" s="12"/>
      <c r="K31" s="12"/>
      <c r="L31" s="12"/>
    </row>
    <row r="32" ht="42" customHeight="1" spans="1:12">
      <c r="A32" s="5" t="s">
        <v>482</v>
      </c>
      <c r="B32" s="5" t="s">
        <v>238</v>
      </c>
      <c r="C32" s="5" t="s">
        <v>483</v>
      </c>
      <c r="D32" s="12"/>
      <c r="E32" s="12" t="s">
        <v>37</v>
      </c>
      <c r="F32" s="12" t="s">
        <v>37</v>
      </c>
      <c r="G32" s="12" t="s">
        <v>37</v>
      </c>
      <c r="H32" s="14">
        <f t="shared" si="0"/>
        <v>0</v>
      </c>
      <c r="I32" s="12"/>
      <c r="J32" s="12"/>
      <c r="K32" s="12"/>
      <c r="L32" s="12" t="s">
        <v>1844</v>
      </c>
    </row>
    <row r="33" ht="42" customHeight="1" spans="1:12">
      <c r="A33" s="5" t="s">
        <v>487</v>
      </c>
      <c r="B33" s="5" t="s">
        <v>238</v>
      </c>
      <c r="C33" s="5" t="s">
        <v>488</v>
      </c>
      <c r="D33" s="12"/>
      <c r="E33" s="12" t="s">
        <v>37</v>
      </c>
      <c r="F33" s="12" t="s">
        <v>37</v>
      </c>
      <c r="G33" s="12" t="s">
        <v>37</v>
      </c>
      <c r="H33" s="14">
        <f t="shared" si="0"/>
        <v>0</v>
      </c>
      <c r="I33" s="12"/>
      <c r="J33" s="12"/>
      <c r="K33" s="12"/>
      <c r="L33" s="12" t="s">
        <v>1845</v>
      </c>
    </row>
    <row r="34" ht="42" customHeight="1" spans="1:12">
      <c r="A34" s="5" t="s">
        <v>491</v>
      </c>
      <c r="B34" s="5" t="s">
        <v>238</v>
      </c>
      <c r="C34" s="5" t="s">
        <v>492</v>
      </c>
      <c r="D34" s="12"/>
      <c r="E34" s="12" t="s">
        <v>37</v>
      </c>
      <c r="F34" s="12" t="s">
        <v>37</v>
      </c>
      <c r="G34" s="12" t="s">
        <v>37</v>
      </c>
      <c r="H34" s="14">
        <f t="shared" si="0"/>
        <v>0</v>
      </c>
      <c r="I34" s="12"/>
      <c r="J34" s="12"/>
      <c r="K34" s="12"/>
      <c r="L34" s="12"/>
    </row>
    <row r="35" ht="42" customHeight="1" spans="1:12">
      <c r="A35" s="5" t="s">
        <v>496</v>
      </c>
      <c r="B35" s="5" t="s">
        <v>238</v>
      </c>
      <c r="C35" s="5" t="s">
        <v>498</v>
      </c>
      <c r="D35" s="12"/>
      <c r="E35" s="12" t="s">
        <v>37</v>
      </c>
      <c r="F35" s="12" t="s">
        <v>37</v>
      </c>
      <c r="G35" s="12" t="s">
        <v>37</v>
      </c>
      <c r="H35" s="14">
        <f t="shared" si="0"/>
        <v>0</v>
      </c>
      <c r="I35" s="12"/>
      <c r="J35" s="12"/>
      <c r="K35" s="12"/>
      <c r="L35" s="12" t="s">
        <v>1846</v>
      </c>
    </row>
    <row r="36" ht="42" customHeight="1" spans="1:12">
      <c r="A36" s="5" t="s">
        <v>504</v>
      </c>
      <c r="B36" s="5" t="s">
        <v>238</v>
      </c>
      <c r="C36" s="5" t="s">
        <v>505</v>
      </c>
      <c r="D36" s="12"/>
      <c r="E36" s="12" t="s">
        <v>37</v>
      </c>
      <c r="F36" s="12" t="s">
        <v>37</v>
      </c>
      <c r="G36" s="12" t="s">
        <v>37</v>
      </c>
      <c r="H36" s="14">
        <f t="shared" si="0"/>
        <v>0</v>
      </c>
      <c r="I36" s="12"/>
      <c r="J36" s="12"/>
      <c r="K36" s="12"/>
      <c r="L36" s="12"/>
    </row>
    <row r="37" ht="42" customHeight="1" spans="1:12">
      <c r="A37" s="5" t="s">
        <v>508</v>
      </c>
      <c r="B37" s="5" t="s">
        <v>238</v>
      </c>
      <c r="C37" s="5" t="s">
        <v>509</v>
      </c>
      <c r="D37" s="12"/>
      <c r="E37" s="12" t="s">
        <v>37</v>
      </c>
      <c r="F37" s="12" t="s">
        <v>37</v>
      </c>
      <c r="G37" s="12" t="s">
        <v>37</v>
      </c>
      <c r="H37" s="14">
        <f t="shared" si="0"/>
        <v>0</v>
      </c>
      <c r="I37" s="12"/>
      <c r="J37" s="12"/>
      <c r="K37" s="12"/>
      <c r="L37" s="12"/>
    </row>
    <row r="38" ht="42" customHeight="1" spans="1:12">
      <c r="A38" s="5" t="s">
        <v>516</v>
      </c>
      <c r="B38" s="5" t="s">
        <v>238</v>
      </c>
      <c r="C38" s="5" t="s">
        <v>517</v>
      </c>
      <c r="D38" s="12"/>
      <c r="E38" s="12" t="s">
        <v>37</v>
      </c>
      <c r="F38" s="12" t="s">
        <v>37</v>
      </c>
      <c r="G38" s="12" t="s">
        <v>37</v>
      </c>
      <c r="H38" s="14">
        <f t="shared" si="0"/>
        <v>0</v>
      </c>
      <c r="I38" s="12"/>
      <c r="J38" s="12"/>
      <c r="K38" s="12"/>
      <c r="L38" s="12" t="s">
        <v>1847</v>
      </c>
    </row>
    <row r="39" ht="42" customHeight="1" spans="1:12">
      <c r="A39" s="5" t="s">
        <v>521</v>
      </c>
      <c r="B39" s="5" t="s">
        <v>247</v>
      </c>
      <c r="C39" s="5" t="s">
        <v>523</v>
      </c>
      <c r="D39" s="12"/>
      <c r="E39" s="12" t="s">
        <v>37</v>
      </c>
      <c r="F39" s="12" t="s">
        <v>37</v>
      </c>
      <c r="G39" s="12" t="s">
        <v>37</v>
      </c>
      <c r="H39" s="14">
        <f t="shared" si="0"/>
        <v>0</v>
      </c>
      <c r="I39" s="12"/>
      <c r="J39" s="12"/>
      <c r="K39" s="12"/>
      <c r="L39" s="12"/>
    </row>
    <row r="40" ht="42" customHeight="1" spans="1:12">
      <c r="A40" s="5" t="s">
        <v>529</v>
      </c>
      <c r="B40" s="5" t="s">
        <v>247</v>
      </c>
      <c r="C40" s="5" t="s">
        <v>530</v>
      </c>
      <c r="D40" s="12"/>
      <c r="E40" s="12" t="s">
        <v>37</v>
      </c>
      <c r="F40" s="12" t="s">
        <v>37</v>
      </c>
      <c r="G40" s="12" t="s">
        <v>37</v>
      </c>
      <c r="H40" s="14">
        <f t="shared" si="0"/>
        <v>0</v>
      </c>
      <c r="I40" s="12"/>
      <c r="J40" s="12"/>
      <c r="K40" s="12"/>
      <c r="L40" s="12"/>
    </row>
    <row r="41" ht="42" customHeight="1" spans="1:12">
      <c r="A41" s="5" t="s">
        <v>534</v>
      </c>
      <c r="B41" s="5" t="s">
        <v>247</v>
      </c>
      <c r="C41" s="5" t="s">
        <v>535</v>
      </c>
      <c r="D41" s="12"/>
      <c r="E41" s="12" t="s">
        <v>37</v>
      </c>
      <c r="F41" s="12" t="s">
        <v>37</v>
      </c>
      <c r="G41" s="12" t="s">
        <v>37</v>
      </c>
      <c r="H41" s="14">
        <f t="shared" si="0"/>
        <v>0</v>
      </c>
      <c r="I41" s="12"/>
      <c r="J41" s="12"/>
      <c r="K41" s="12"/>
      <c r="L41" s="12"/>
    </row>
    <row r="42" ht="42" customHeight="1" spans="1:12">
      <c r="A42" s="5" t="s">
        <v>539</v>
      </c>
      <c r="B42" s="5" t="s">
        <v>247</v>
      </c>
      <c r="C42" s="5" t="s">
        <v>540</v>
      </c>
      <c r="D42" s="12"/>
      <c r="E42" s="12" t="s">
        <v>37</v>
      </c>
      <c r="F42" s="12" t="s">
        <v>37</v>
      </c>
      <c r="G42" s="12" t="s">
        <v>37</v>
      </c>
      <c r="H42" s="14">
        <f t="shared" si="0"/>
        <v>0</v>
      </c>
      <c r="I42" s="12"/>
      <c r="J42" s="12"/>
      <c r="K42" s="12"/>
      <c r="L42" s="12" t="s">
        <v>1848</v>
      </c>
    </row>
    <row r="43" ht="42" customHeight="1" spans="1:12">
      <c r="A43" s="5" t="s">
        <v>544</v>
      </c>
      <c r="B43" s="5" t="s">
        <v>247</v>
      </c>
      <c r="C43" s="5" t="s">
        <v>545</v>
      </c>
      <c r="D43" s="12"/>
      <c r="E43" s="12" t="s">
        <v>37</v>
      </c>
      <c r="F43" s="12" t="s">
        <v>37</v>
      </c>
      <c r="G43" s="12" t="s">
        <v>37</v>
      </c>
      <c r="H43" s="14">
        <f t="shared" si="0"/>
        <v>0</v>
      </c>
      <c r="I43" s="12"/>
      <c r="J43" s="12"/>
      <c r="K43" s="12"/>
      <c r="L43" s="12"/>
    </row>
    <row r="44" ht="42" customHeight="1" spans="1:12">
      <c r="A44" s="5" t="s">
        <v>548</v>
      </c>
      <c r="B44" s="5" t="s">
        <v>254</v>
      </c>
      <c r="C44" s="5" t="s">
        <v>549</v>
      </c>
      <c r="D44" s="12"/>
      <c r="E44" s="12" t="s">
        <v>37</v>
      </c>
      <c r="F44" s="12" t="s">
        <v>37</v>
      </c>
      <c r="G44" s="12" t="s">
        <v>37</v>
      </c>
      <c r="H44" s="14">
        <f t="shared" si="0"/>
        <v>0</v>
      </c>
      <c r="I44" s="12"/>
      <c r="J44" s="12"/>
      <c r="K44" s="12"/>
      <c r="L44" s="12"/>
    </row>
    <row r="45" ht="42" customHeight="1" spans="1:12">
      <c r="A45" s="5" t="s">
        <v>556</v>
      </c>
      <c r="B45" s="5" t="s">
        <v>254</v>
      </c>
      <c r="C45" s="5" t="s">
        <v>557</v>
      </c>
      <c r="D45" s="12"/>
      <c r="E45" s="12" t="s">
        <v>37</v>
      </c>
      <c r="F45" s="12" t="s">
        <v>37</v>
      </c>
      <c r="G45" s="12" t="s">
        <v>37</v>
      </c>
      <c r="H45" s="14">
        <f t="shared" si="0"/>
        <v>0</v>
      </c>
      <c r="I45" s="12"/>
      <c r="J45" s="12"/>
      <c r="K45" s="12"/>
      <c r="L45" s="12"/>
    </row>
    <row r="46" ht="42" customHeight="1" spans="1:12">
      <c r="A46" s="5" t="s">
        <v>562</v>
      </c>
      <c r="B46" s="5" t="s">
        <v>254</v>
      </c>
      <c r="C46" s="5" t="s">
        <v>563</v>
      </c>
      <c r="D46" s="12"/>
      <c r="E46" s="12" t="s">
        <v>37</v>
      </c>
      <c r="F46" s="12" t="s">
        <v>37</v>
      </c>
      <c r="G46" s="12" t="s">
        <v>37</v>
      </c>
      <c r="H46" s="14">
        <f t="shared" si="0"/>
        <v>0</v>
      </c>
      <c r="I46" s="12"/>
      <c r="J46" s="12"/>
      <c r="K46" s="12"/>
      <c r="L46" s="12" t="s">
        <v>1849</v>
      </c>
    </row>
    <row r="47" ht="42" customHeight="1" spans="1:12">
      <c r="A47" s="5" t="s">
        <v>567</v>
      </c>
      <c r="B47" s="5" t="s">
        <v>254</v>
      </c>
      <c r="C47" s="5" t="s">
        <v>568</v>
      </c>
      <c r="D47" s="12"/>
      <c r="E47" s="12" t="s">
        <v>37</v>
      </c>
      <c r="F47" s="12" t="s">
        <v>37</v>
      </c>
      <c r="G47" s="12" t="s">
        <v>37</v>
      </c>
      <c r="H47" s="14">
        <f t="shared" si="0"/>
        <v>0</v>
      </c>
      <c r="I47" s="12"/>
      <c r="J47" s="12"/>
      <c r="K47" s="12"/>
      <c r="L47" s="12" t="s">
        <v>1850</v>
      </c>
    </row>
    <row r="48" ht="42" customHeight="1" spans="1:12">
      <c r="A48" s="5" t="s">
        <v>573</v>
      </c>
      <c r="B48" s="5" t="s">
        <v>254</v>
      </c>
      <c r="C48" s="5" t="s">
        <v>574</v>
      </c>
      <c r="D48" s="12"/>
      <c r="E48" s="12" t="s">
        <v>37</v>
      </c>
      <c r="F48" s="12" t="s">
        <v>37</v>
      </c>
      <c r="G48" s="12" t="s">
        <v>37</v>
      </c>
      <c r="H48" s="14">
        <f t="shared" si="0"/>
        <v>0</v>
      </c>
      <c r="I48" s="12"/>
      <c r="J48" s="12"/>
      <c r="K48" s="12"/>
      <c r="L48" s="12"/>
    </row>
    <row r="49" ht="42" customHeight="1" spans="1:12">
      <c r="A49" s="5" t="s">
        <v>579</v>
      </c>
      <c r="B49" s="5" t="s">
        <v>254</v>
      </c>
      <c r="C49" s="5" t="s">
        <v>580</v>
      </c>
      <c r="D49" s="12"/>
      <c r="E49" s="12" t="s">
        <v>37</v>
      </c>
      <c r="F49" s="12" t="s">
        <v>37</v>
      </c>
      <c r="G49" s="12" t="s">
        <v>37</v>
      </c>
      <c r="H49" s="14">
        <f t="shared" si="0"/>
        <v>0</v>
      </c>
      <c r="I49" s="12"/>
      <c r="J49" s="12"/>
      <c r="K49" s="12"/>
      <c r="L49" s="12"/>
    </row>
    <row r="50" ht="42" customHeight="1" spans="1:12">
      <c r="A50" s="5" t="s">
        <v>585</v>
      </c>
      <c r="B50" s="5" t="s">
        <v>262</v>
      </c>
      <c r="C50" s="5" t="s">
        <v>586</v>
      </c>
      <c r="D50" s="12"/>
      <c r="E50" s="12" t="s">
        <v>37</v>
      </c>
      <c r="F50" s="12" t="s">
        <v>37</v>
      </c>
      <c r="G50" s="12" t="s">
        <v>37</v>
      </c>
      <c r="H50" s="14">
        <f t="shared" si="0"/>
        <v>0</v>
      </c>
      <c r="I50" s="12"/>
      <c r="J50" s="12"/>
      <c r="K50" s="12"/>
      <c r="L50" s="12"/>
    </row>
    <row r="51" ht="42" customHeight="1" spans="1:12">
      <c r="A51" s="5" t="s">
        <v>593</v>
      </c>
      <c r="B51" s="5" t="s">
        <v>262</v>
      </c>
      <c r="C51" s="5" t="s">
        <v>594</v>
      </c>
      <c r="D51" s="12"/>
      <c r="E51" s="12" t="s">
        <v>37</v>
      </c>
      <c r="F51" s="12" t="s">
        <v>37</v>
      </c>
      <c r="G51" s="12" t="s">
        <v>37</v>
      </c>
      <c r="H51" s="14">
        <f t="shared" si="0"/>
        <v>0</v>
      </c>
      <c r="I51" s="12"/>
      <c r="J51" s="12"/>
      <c r="K51" s="12"/>
      <c r="L51" s="12"/>
    </row>
    <row r="52" ht="42" customHeight="1" spans="1:12">
      <c r="A52" s="5" t="s">
        <v>599</v>
      </c>
      <c r="B52" s="5" t="s">
        <v>262</v>
      </c>
      <c r="C52" s="5" t="s">
        <v>600</v>
      </c>
      <c r="D52" s="12"/>
      <c r="E52" s="12" t="s">
        <v>37</v>
      </c>
      <c r="F52" s="12" t="s">
        <v>37</v>
      </c>
      <c r="G52" s="12" t="s">
        <v>37</v>
      </c>
      <c r="H52" s="14">
        <f t="shared" si="0"/>
        <v>0</v>
      </c>
      <c r="I52" s="12"/>
      <c r="J52" s="12"/>
      <c r="K52" s="12"/>
      <c r="L52" s="12"/>
    </row>
    <row r="53" ht="42" customHeight="1" spans="1:12">
      <c r="A53" s="5" t="s">
        <v>605</v>
      </c>
      <c r="B53" s="5" t="s">
        <v>262</v>
      </c>
      <c r="C53" s="5" t="s">
        <v>606</v>
      </c>
      <c r="D53" s="12"/>
      <c r="E53" s="12" t="s">
        <v>37</v>
      </c>
      <c r="F53" s="12" t="s">
        <v>37</v>
      </c>
      <c r="G53" s="12" t="s">
        <v>37</v>
      </c>
      <c r="H53" s="14">
        <f t="shared" si="0"/>
        <v>0</v>
      </c>
      <c r="I53" s="12"/>
      <c r="J53" s="12"/>
      <c r="K53" s="12"/>
      <c r="L53" s="12"/>
    </row>
    <row r="54" ht="42" customHeight="1" spans="1:12">
      <c r="A54" s="5" t="s">
        <v>609</v>
      </c>
      <c r="B54" s="5" t="s">
        <v>262</v>
      </c>
      <c r="C54" s="5" t="s">
        <v>610</v>
      </c>
      <c r="D54" s="12"/>
      <c r="E54" s="12" t="s">
        <v>37</v>
      </c>
      <c r="F54" s="12" t="s">
        <v>37</v>
      </c>
      <c r="G54" s="12" t="s">
        <v>37</v>
      </c>
      <c r="H54" s="14">
        <f t="shared" si="0"/>
        <v>0</v>
      </c>
      <c r="I54" s="12"/>
      <c r="J54" s="12"/>
      <c r="K54" s="12"/>
      <c r="L54" s="12" t="s">
        <v>1851</v>
      </c>
    </row>
    <row r="55" ht="42" customHeight="1" spans="1:12">
      <c r="A55" s="5" t="s">
        <v>617</v>
      </c>
      <c r="B55" s="5" t="s">
        <v>270</v>
      </c>
      <c r="C55" s="5" t="s">
        <v>618</v>
      </c>
      <c r="D55" s="12"/>
      <c r="E55" s="12" t="s">
        <v>37</v>
      </c>
      <c r="F55" s="12" t="s">
        <v>37</v>
      </c>
      <c r="G55" s="12" t="s">
        <v>37</v>
      </c>
      <c r="H55" s="14">
        <f t="shared" si="0"/>
        <v>0</v>
      </c>
      <c r="I55" s="12"/>
      <c r="J55" s="12"/>
      <c r="K55" s="12"/>
      <c r="L55" s="12" t="s">
        <v>1852</v>
      </c>
    </row>
    <row r="56" ht="42" customHeight="1" spans="1:12">
      <c r="A56" s="5" t="s">
        <v>626</v>
      </c>
      <c r="B56" s="5" t="s">
        <v>270</v>
      </c>
      <c r="C56" s="5" t="s">
        <v>627</v>
      </c>
      <c r="D56" s="12"/>
      <c r="E56" s="12" t="s">
        <v>37</v>
      </c>
      <c r="F56" s="12" t="s">
        <v>37</v>
      </c>
      <c r="G56" s="12" t="s">
        <v>37</v>
      </c>
      <c r="H56" s="14">
        <f t="shared" si="0"/>
        <v>0</v>
      </c>
      <c r="I56" s="12"/>
      <c r="J56" s="12"/>
      <c r="K56" s="12"/>
      <c r="L56" s="12"/>
    </row>
    <row r="57" ht="42" customHeight="1" spans="1:12">
      <c r="A57" s="5" t="s">
        <v>634</v>
      </c>
      <c r="B57" s="5" t="s">
        <v>270</v>
      </c>
      <c r="C57" s="5" t="s">
        <v>635</v>
      </c>
      <c r="D57" s="12"/>
      <c r="E57" s="12" t="s">
        <v>37</v>
      </c>
      <c r="F57" s="12" t="s">
        <v>37</v>
      </c>
      <c r="G57" s="12" t="s">
        <v>37</v>
      </c>
      <c r="H57" s="14">
        <f t="shared" si="0"/>
        <v>0</v>
      </c>
      <c r="I57" s="12"/>
      <c r="J57" s="12"/>
      <c r="K57" s="12"/>
      <c r="L57" s="12"/>
    </row>
    <row r="58" ht="42" customHeight="1" spans="1:12">
      <c r="A58" s="5" t="s">
        <v>643</v>
      </c>
      <c r="B58" s="5" t="s">
        <v>270</v>
      </c>
      <c r="C58" s="5" t="s">
        <v>644</v>
      </c>
      <c r="D58" s="12"/>
      <c r="E58" s="12" t="s">
        <v>37</v>
      </c>
      <c r="F58" s="12" t="s">
        <v>37</v>
      </c>
      <c r="G58" s="12" t="s">
        <v>37</v>
      </c>
      <c r="H58" s="14">
        <f t="shared" si="0"/>
        <v>0</v>
      </c>
      <c r="I58" s="12"/>
      <c r="J58" s="12"/>
      <c r="K58" s="12"/>
      <c r="L58" s="12"/>
    </row>
    <row r="59" ht="42" customHeight="1" spans="1:12">
      <c r="A59" s="5" t="s">
        <v>651</v>
      </c>
      <c r="B59" s="5" t="s">
        <v>270</v>
      </c>
      <c r="C59" s="5" t="s">
        <v>652</v>
      </c>
      <c r="D59" s="12"/>
      <c r="E59" s="12" t="s">
        <v>37</v>
      </c>
      <c r="F59" s="12" t="s">
        <v>37</v>
      </c>
      <c r="G59" s="12" t="s">
        <v>37</v>
      </c>
      <c r="H59" s="14">
        <f t="shared" si="0"/>
        <v>0</v>
      </c>
      <c r="I59" s="12"/>
      <c r="J59" s="12"/>
      <c r="K59" s="12"/>
      <c r="L59" s="12" t="s">
        <v>1853</v>
      </c>
    </row>
    <row r="60" ht="42" customHeight="1" spans="1:12">
      <c r="A60" s="5" t="s">
        <v>660</v>
      </c>
      <c r="B60" s="5" t="s">
        <v>270</v>
      </c>
      <c r="C60" s="5" t="s">
        <v>661</v>
      </c>
      <c r="D60" s="12"/>
      <c r="E60" s="12" t="s">
        <v>37</v>
      </c>
      <c r="F60" s="12" t="s">
        <v>37</v>
      </c>
      <c r="G60" s="12" t="s">
        <v>37</v>
      </c>
      <c r="H60" s="14">
        <f t="shared" si="0"/>
        <v>0</v>
      </c>
      <c r="I60" s="12"/>
      <c r="J60" s="12"/>
      <c r="K60" s="12"/>
      <c r="L60" s="12" t="s">
        <v>1854</v>
      </c>
    </row>
    <row r="61" ht="42" customHeight="1" spans="1:12">
      <c r="A61" s="5" t="s">
        <v>669</v>
      </c>
      <c r="B61" s="5" t="s">
        <v>279</v>
      </c>
      <c r="C61" s="5" t="s">
        <v>670</v>
      </c>
      <c r="D61" s="12"/>
      <c r="E61" s="12" t="s">
        <v>37</v>
      </c>
      <c r="F61" s="12" t="s">
        <v>37</v>
      </c>
      <c r="G61" s="12" t="s">
        <v>37</v>
      </c>
      <c r="H61" s="14">
        <f t="shared" si="0"/>
        <v>0</v>
      </c>
      <c r="I61" s="12"/>
      <c r="J61" s="12"/>
      <c r="K61" s="12"/>
      <c r="L61" s="12"/>
    </row>
    <row r="62" ht="42" customHeight="1" spans="1:12">
      <c r="A62" s="5" t="s">
        <v>677</v>
      </c>
      <c r="B62" s="5" t="s">
        <v>279</v>
      </c>
      <c r="C62" s="5" t="s">
        <v>678</v>
      </c>
      <c r="D62" s="12"/>
      <c r="E62" s="12" t="s">
        <v>37</v>
      </c>
      <c r="F62" s="12" t="s">
        <v>37</v>
      </c>
      <c r="G62" s="12" t="s">
        <v>37</v>
      </c>
      <c r="H62" s="14">
        <f t="shared" si="0"/>
        <v>0</v>
      </c>
      <c r="I62" s="12"/>
      <c r="J62" s="12"/>
      <c r="K62" s="12"/>
      <c r="L62" s="12"/>
    </row>
    <row r="63" ht="42" customHeight="1" spans="1:12">
      <c r="A63" s="5" t="s">
        <v>682</v>
      </c>
      <c r="B63" s="5" t="s">
        <v>279</v>
      </c>
      <c r="C63" s="5" t="s">
        <v>683</v>
      </c>
      <c r="D63" s="12"/>
      <c r="E63" s="12" t="s">
        <v>37</v>
      </c>
      <c r="F63" s="12" t="s">
        <v>37</v>
      </c>
      <c r="G63" s="12" t="s">
        <v>37</v>
      </c>
      <c r="H63" s="14">
        <f t="shared" si="0"/>
        <v>0</v>
      </c>
      <c r="I63" s="12"/>
      <c r="J63" s="12"/>
      <c r="K63" s="12"/>
      <c r="L63" s="12"/>
    </row>
    <row r="64" ht="42" customHeight="1" spans="1:12">
      <c r="A64" s="5" t="s">
        <v>689</v>
      </c>
      <c r="B64" s="5" t="s">
        <v>279</v>
      </c>
      <c r="C64" s="5" t="s">
        <v>690</v>
      </c>
      <c r="D64" s="12"/>
      <c r="E64" s="12" t="s">
        <v>37</v>
      </c>
      <c r="F64" s="12" t="s">
        <v>37</v>
      </c>
      <c r="G64" s="12" t="s">
        <v>37</v>
      </c>
      <c r="H64" s="14">
        <f t="shared" si="0"/>
        <v>0</v>
      </c>
      <c r="I64" s="12"/>
      <c r="J64" s="12"/>
      <c r="K64" s="12"/>
      <c r="L64" s="12"/>
    </row>
    <row r="65" ht="42" customHeight="1" spans="1:12">
      <c r="A65" s="5" t="s">
        <v>696</v>
      </c>
      <c r="B65" s="5" t="s">
        <v>279</v>
      </c>
      <c r="C65" s="5" t="s">
        <v>697</v>
      </c>
      <c r="D65" s="12"/>
      <c r="E65" s="12" t="s">
        <v>37</v>
      </c>
      <c r="F65" s="12" t="s">
        <v>37</v>
      </c>
      <c r="G65" s="12" t="s">
        <v>37</v>
      </c>
      <c r="H65" s="14">
        <f t="shared" si="0"/>
        <v>0</v>
      </c>
      <c r="I65" s="12"/>
      <c r="J65" s="12"/>
      <c r="K65" s="12"/>
      <c r="L65" s="12"/>
    </row>
    <row r="66" ht="42" customHeight="1" spans="1:12">
      <c r="A66" s="5" t="s">
        <v>701</v>
      </c>
      <c r="B66" s="5" t="s">
        <v>279</v>
      </c>
      <c r="C66" s="5" t="s">
        <v>702</v>
      </c>
      <c r="D66" s="12"/>
      <c r="E66" s="12" t="s">
        <v>37</v>
      </c>
      <c r="F66" s="12" t="s">
        <v>37</v>
      </c>
      <c r="G66" s="12" t="s">
        <v>37</v>
      </c>
      <c r="H66" s="14">
        <f t="shared" si="0"/>
        <v>0</v>
      </c>
      <c r="I66" s="12"/>
      <c r="J66" s="12"/>
      <c r="K66" s="12"/>
      <c r="L66" s="12" t="s">
        <v>1855</v>
      </c>
    </row>
    <row r="67" ht="42" customHeight="1" spans="1:12">
      <c r="A67" s="5" t="s">
        <v>708</v>
      </c>
      <c r="B67" s="5" t="s">
        <v>286</v>
      </c>
      <c r="C67" s="5" t="s">
        <v>709</v>
      </c>
      <c r="D67" s="12"/>
      <c r="E67" s="12" t="s">
        <v>37</v>
      </c>
      <c r="F67" s="12" t="s">
        <v>37</v>
      </c>
      <c r="G67" s="12" t="s">
        <v>37</v>
      </c>
      <c r="H67" s="14">
        <f t="shared" si="0"/>
        <v>0</v>
      </c>
      <c r="I67" s="12"/>
      <c r="J67" s="12"/>
      <c r="K67" s="12"/>
      <c r="L67" s="12"/>
    </row>
    <row r="68" ht="42" customHeight="1" spans="1:12">
      <c r="A68" s="5" t="s">
        <v>716</v>
      </c>
      <c r="B68" s="5" t="s">
        <v>286</v>
      </c>
      <c r="C68" s="5" t="s">
        <v>718</v>
      </c>
      <c r="D68" s="12"/>
      <c r="E68" s="12" t="s">
        <v>37</v>
      </c>
      <c r="F68" s="12" t="s">
        <v>37</v>
      </c>
      <c r="G68" s="12" t="s">
        <v>37</v>
      </c>
      <c r="H68" s="14">
        <f t="shared" si="0"/>
        <v>0</v>
      </c>
      <c r="I68" s="12"/>
      <c r="J68" s="12"/>
      <c r="K68" s="12"/>
      <c r="L68" s="12"/>
    </row>
    <row r="69" ht="42" customHeight="1" spans="1:12">
      <c r="A69" s="5" t="s">
        <v>723</v>
      </c>
      <c r="B69" s="5" t="s">
        <v>286</v>
      </c>
      <c r="C69" s="5" t="s">
        <v>725</v>
      </c>
      <c r="D69" s="12"/>
      <c r="E69" s="12" t="s">
        <v>37</v>
      </c>
      <c r="F69" s="12" t="s">
        <v>37</v>
      </c>
      <c r="G69" s="12" t="s">
        <v>37</v>
      </c>
      <c r="H69" s="14">
        <f t="shared" ref="H69:H84" si="1">IF(G69="已驗收",100%,IF(G69="驗收中",90%,IF(F69="已通過",85%,IF(F69="測試中",70%,IF(E69="已完成",60%,IF(E69="開發中",35%,IF(E69="設計中",10%,0%)))))))</f>
        <v>0</v>
      </c>
      <c r="I69" s="12"/>
      <c r="J69" s="12"/>
      <c r="K69" s="12"/>
      <c r="L69" s="12"/>
    </row>
    <row r="70" ht="42" customHeight="1" spans="1:12">
      <c r="A70" s="5" t="s">
        <v>730</v>
      </c>
      <c r="B70" s="5" t="s">
        <v>286</v>
      </c>
      <c r="C70" s="5" t="s">
        <v>731</v>
      </c>
      <c r="D70" s="12"/>
      <c r="E70" s="12" t="s">
        <v>37</v>
      </c>
      <c r="F70" s="12" t="s">
        <v>37</v>
      </c>
      <c r="G70" s="12" t="s">
        <v>37</v>
      </c>
      <c r="H70" s="14">
        <f t="shared" si="1"/>
        <v>0</v>
      </c>
      <c r="I70" s="12"/>
      <c r="J70" s="12"/>
      <c r="K70" s="12"/>
      <c r="L70" s="12"/>
    </row>
    <row r="71" ht="42" customHeight="1" spans="1:12">
      <c r="A71" s="5" t="s">
        <v>738</v>
      </c>
      <c r="B71" s="5" t="s">
        <v>286</v>
      </c>
      <c r="C71" s="5" t="s">
        <v>739</v>
      </c>
      <c r="D71" s="12"/>
      <c r="E71" s="12" t="s">
        <v>37</v>
      </c>
      <c r="F71" s="12" t="s">
        <v>37</v>
      </c>
      <c r="G71" s="12" t="s">
        <v>37</v>
      </c>
      <c r="H71" s="14">
        <f t="shared" si="1"/>
        <v>0</v>
      </c>
      <c r="I71" s="12"/>
      <c r="J71" s="12"/>
      <c r="K71" s="12"/>
      <c r="L71" s="12"/>
    </row>
    <row r="72" ht="42" customHeight="1" spans="1:12">
      <c r="A72" s="5" t="s">
        <v>745</v>
      </c>
      <c r="B72" s="5" t="s">
        <v>286</v>
      </c>
      <c r="C72" s="5" t="s">
        <v>746</v>
      </c>
      <c r="D72" s="12"/>
      <c r="E72" s="12" t="s">
        <v>37</v>
      </c>
      <c r="F72" s="12" t="s">
        <v>37</v>
      </c>
      <c r="G72" s="12" t="s">
        <v>37</v>
      </c>
      <c r="H72" s="14">
        <f t="shared" si="1"/>
        <v>0</v>
      </c>
      <c r="I72" s="12"/>
      <c r="J72" s="12"/>
      <c r="K72" s="12"/>
      <c r="L72" s="12"/>
    </row>
    <row r="73" ht="42" customHeight="1" spans="1:12">
      <c r="A73" s="5" t="s">
        <v>752</v>
      </c>
      <c r="B73" s="5" t="s">
        <v>286</v>
      </c>
      <c r="C73" s="5" t="s">
        <v>753</v>
      </c>
      <c r="D73" s="12"/>
      <c r="E73" s="12" t="s">
        <v>37</v>
      </c>
      <c r="F73" s="12" t="s">
        <v>37</v>
      </c>
      <c r="G73" s="12" t="s">
        <v>37</v>
      </c>
      <c r="H73" s="14">
        <f t="shared" si="1"/>
        <v>0</v>
      </c>
      <c r="I73" s="12"/>
      <c r="J73" s="12"/>
      <c r="K73" s="12"/>
      <c r="L73" s="12"/>
    </row>
    <row r="74" ht="42" customHeight="1" spans="1:12">
      <c r="A74" s="5" t="s">
        <v>757</v>
      </c>
      <c r="B74" s="5" t="s">
        <v>286</v>
      </c>
      <c r="C74" s="5" t="s">
        <v>758</v>
      </c>
      <c r="D74" s="12"/>
      <c r="E74" s="12" t="s">
        <v>37</v>
      </c>
      <c r="F74" s="12" t="s">
        <v>37</v>
      </c>
      <c r="G74" s="12" t="s">
        <v>37</v>
      </c>
      <c r="H74" s="14">
        <f t="shared" si="1"/>
        <v>0</v>
      </c>
      <c r="I74" s="12"/>
      <c r="J74" s="12"/>
      <c r="K74" s="12"/>
      <c r="L74" s="12"/>
    </row>
    <row r="75" ht="42" customHeight="1" spans="1:12">
      <c r="A75" s="5" t="s">
        <v>764</v>
      </c>
      <c r="B75" s="5" t="s">
        <v>286</v>
      </c>
      <c r="C75" s="5" t="s">
        <v>765</v>
      </c>
      <c r="D75" s="12"/>
      <c r="E75" s="12" t="s">
        <v>37</v>
      </c>
      <c r="F75" s="12" t="s">
        <v>37</v>
      </c>
      <c r="G75" s="12" t="s">
        <v>37</v>
      </c>
      <c r="H75" s="14">
        <f t="shared" si="1"/>
        <v>0</v>
      </c>
      <c r="I75" s="12"/>
      <c r="J75" s="12"/>
      <c r="K75" s="12"/>
      <c r="L75" s="12"/>
    </row>
    <row r="76" ht="42" customHeight="1" spans="1:12">
      <c r="A76" s="5" t="s">
        <v>772</v>
      </c>
      <c r="B76" s="5" t="s">
        <v>286</v>
      </c>
      <c r="C76" s="5" t="s">
        <v>773</v>
      </c>
      <c r="D76" s="12"/>
      <c r="E76" s="12" t="s">
        <v>37</v>
      </c>
      <c r="F76" s="12" t="s">
        <v>37</v>
      </c>
      <c r="G76" s="12" t="s">
        <v>37</v>
      </c>
      <c r="H76" s="14">
        <f t="shared" si="1"/>
        <v>0</v>
      </c>
      <c r="I76" s="12"/>
      <c r="J76" s="12"/>
      <c r="K76" s="12"/>
      <c r="L76" s="12"/>
    </row>
    <row r="77" ht="42" customHeight="1" spans="1:12">
      <c r="A77" s="5" t="s">
        <v>779</v>
      </c>
      <c r="B77" s="5" t="s">
        <v>294</v>
      </c>
      <c r="C77" s="5" t="s">
        <v>781</v>
      </c>
      <c r="D77" s="12"/>
      <c r="E77" s="12" t="s">
        <v>37</v>
      </c>
      <c r="F77" s="12" t="s">
        <v>37</v>
      </c>
      <c r="G77" s="12" t="s">
        <v>37</v>
      </c>
      <c r="H77" s="14">
        <f t="shared" si="1"/>
        <v>0</v>
      </c>
      <c r="I77" s="12"/>
      <c r="J77" s="12"/>
      <c r="K77" s="12"/>
      <c r="L77" s="12" t="s">
        <v>1856</v>
      </c>
    </row>
    <row r="78" ht="42" customHeight="1" spans="1:12">
      <c r="A78" s="5" t="s">
        <v>789</v>
      </c>
      <c r="B78" s="5" t="s">
        <v>294</v>
      </c>
      <c r="C78" s="5" t="s">
        <v>790</v>
      </c>
      <c r="D78" s="12"/>
      <c r="E78" s="12" t="s">
        <v>37</v>
      </c>
      <c r="F78" s="12" t="s">
        <v>37</v>
      </c>
      <c r="G78" s="12" t="s">
        <v>37</v>
      </c>
      <c r="H78" s="14">
        <f t="shared" si="1"/>
        <v>0</v>
      </c>
      <c r="I78" s="12"/>
      <c r="J78" s="12"/>
      <c r="K78" s="12"/>
      <c r="L78" s="12" t="s">
        <v>1857</v>
      </c>
    </row>
    <row r="79" ht="42" customHeight="1" spans="1:12">
      <c r="A79" s="5" t="s">
        <v>797</v>
      </c>
      <c r="B79" s="5" t="s">
        <v>294</v>
      </c>
      <c r="C79" s="5" t="s">
        <v>799</v>
      </c>
      <c r="D79" s="12"/>
      <c r="E79" s="12" t="s">
        <v>37</v>
      </c>
      <c r="F79" s="12" t="s">
        <v>37</v>
      </c>
      <c r="G79" s="12" t="s">
        <v>37</v>
      </c>
      <c r="H79" s="14">
        <f t="shared" si="1"/>
        <v>0</v>
      </c>
      <c r="I79" s="12"/>
      <c r="J79" s="12"/>
      <c r="K79" s="12"/>
      <c r="L79" s="12" t="s">
        <v>1858</v>
      </c>
    </row>
    <row r="80" ht="42" customHeight="1" spans="1:12">
      <c r="A80" s="5" t="s">
        <v>806</v>
      </c>
      <c r="B80" s="5" t="s">
        <v>294</v>
      </c>
      <c r="C80" s="5" t="s">
        <v>807</v>
      </c>
      <c r="D80" s="12"/>
      <c r="E80" s="12" t="s">
        <v>37</v>
      </c>
      <c r="F80" s="12" t="s">
        <v>37</v>
      </c>
      <c r="G80" s="12" t="s">
        <v>37</v>
      </c>
      <c r="H80" s="14">
        <f t="shared" si="1"/>
        <v>0</v>
      </c>
      <c r="I80" s="12"/>
      <c r="J80" s="12"/>
      <c r="K80" s="12"/>
      <c r="L80" s="12" t="s">
        <v>1859</v>
      </c>
    </row>
    <row r="81" ht="42" customHeight="1" spans="1:12">
      <c r="A81" s="5" t="s">
        <v>813</v>
      </c>
      <c r="B81" s="5" t="s">
        <v>294</v>
      </c>
      <c r="C81" s="5" t="s">
        <v>814</v>
      </c>
      <c r="D81" s="12"/>
      <c r="E81" s="12" t="s">
        <v>37</v>
      </c>
      <c r="F81" s="12" t="s">
        <v>37</v>
      </c>
      <c r="G81" s="12" t="s">
        <v>37</v>
      </c>
      <c r="H81" s="14">
        <f t="shared" si="1"/>
        <v>0</v>
      </c>
      <c r="I81" s="12"/>
      <c r="J81" s="12"/>
      <c r="K81" s="12"/>
      <c r="L81" s="12" t="s">
        <v>1860</v>
      </c>
    </row>
    <row r="82" ht="42" customHeight="1" spans="1:12">
      <c r="A82" s="5" t="s">
        <v>822</v>
      </c>
      <c r="B82" s="5" t="s">
        <v>294</v>
      </c>
      <c r="C82" s="5" t="s">
        <v>823</v>
      </c>
      <c r="D82" s="12"/>
      <c r="E82" s="12" t="s">
        <v>37</v>
      </c>
      <c r="F82" s="12" t="s">
        <v>37</v>
      </c>
      <c r="G82" s="12" t="s">
        <v>37</v>
      </c>
      <c r="H82" s="14">
        <f t="shared" si="1"/>
        <v>0</v>
      </c>
      <c r="I82" s="12"/>
      <c r="J82" s="12"/>
      <c r="K82" s="12"/>
      <c r="L82" s="12" t="s">
        <v>1861</v>
      </c>
    </row>
    <row r="83" ht="42" customHeight="1" spans="1:12">
      <c r="A83" s="5" t="s">
        <v>831</v>
      </c>
      <c r="B83" s="5" t="s">
        <v>294</v>
      </c>
      <c r="C83" s="5" t="s">
        <v>832</v>
      </c>
      <c r="D83" s="12"/>
      <c r="E83" s="12" t="s">
        <v>37</v>
      </c>
      <c r="F83" s="12" t="s">
        <v>37</v>
      </c>
      <c r="G83" s="12" t="s">
        <v>37</v>
      </c>
      <c r="H83" s="14">
        <f t="shared" si="1"/>
        <v>0</v>
      </c>
      <c r="I83" s="12"/>
      <c r="J83" s="12"/>
      <c r="K83" s="12"/>
      <c r="L83" s="12" t="s">
        <v>1862</v>
      </c>
    </row>
    <row r="84" ht="42" customHeight="1" spans="1:12">
      <c r="A84" s="5" t="s">
        <v>839</v>
      </c>
      <c r="B84" s="5" t="s">
        <v>294</v>
      </c>
      <c r="C84" s="5" t="s">
        <v>841</v>
      </c>
      <c r="D84" s="12"/>
      <c r="E84" s="12" t="s">
        <v>37</v>
      </c>
      <c r="F84" s="12" t="s">
        <v>37</v>
      </c>
      <c r="G84" s="12" t="s">
        <v>37</v>
      </c>
      <c r="H84" s="14">
        <f t="shared" si="1"/>
        <v>0</v>
      </c>
      <c r="I84" s="12"/>
      <c r="J84" s="12"/>
      <c r="K84" s="12"/>
      <c r="L84" s="12" t="s">
        <v>1863</v>
      </c>
    </row>
  </sheetData>
  <mergeCells count="2">
    <mergeCell ref="A1:L1"/>
    <mergeCell ref="A2:L2"/>
  </mergeCells>
  <dataValidations count="3">
    <dataValidation type="list" sqref="E5:E84">
      <formula1>"未開始,設計中,開發中,已完成,暫緩"</formula1>
    </dataValidation>
    <dataValidation type="list" sqref="F5:F84">
      <formula1>"未開始,測試中,已通過,未通過,不適用"</formula1>
    </dataValidation>
    <dataValidation type="list" sqref="G5:G84">
      <formula1>"未開始,驗收中,已驗收,未通過,不適用"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91C1C"/>
  </sheetPr>
  <dimension ref="A1:L25"/>
  <sheetViews>
    <sheetView showGridLines="0" workbookViewId="0">
      <pane xSplit="3" ySplit="4" topLeftCell="D5" activePane="bottomRight" state="frozen"/>
      <selection/>
      <selection pane="topRight"/>
      <selection pane="bottomLeft"/>
      <selection pane="bottomRight" activeCell="A1" sqref="A1:L1"/>
    </sheetView>
  </sheetViews>
  <sheetFormatPr defaultColWidth="9" defaultRowHeight="16.8"/>
  <cols>
    <col min="1" max="2" width="10" customWidth="1"/>
    <col min="3" max="3" width="24" customWidth="1"/>
    <col min="4" max="4" width="48" customWidth="1"/>
    <col min="5" max="5" width="29" customWidth="1"/>
    <col min="6" max="6" width="26" customWidth="1"/>
    <col min="7" max="7" width="16" customWidth="1"/>
    <col min="8" max="8" width="17" customWidth="1"/>
    <col min="9" max="9" width="13" customWidth="1"/>
    <col min="10" max="10" width="35" customWidth="1"/>
    <col min="11" max="12" width="28" customWidth="1"/>
  </cols>
  <sheetData>
    <row r="1" ht="38" customHeight="1" spans="1:12">
      <c r="A1" s="1" t="s">
        <v>1864</v>
      </c>
      <c r="B1" s="1" t="s">
        <v>1864</v>
      </c>
      <c r="C1" s="1" t="s">
        <v>1864</v>
      </c>
      <c r="D1" s="1" t="s">
        <v>1864</v>
      </c>
      <c r="E1" s="1" t="s">
        <v>1864</v>
      </c>
      <c r="F1" s="1" t="s">
        <v>1864</v>
      </c>
      <c r="G1" s="1" t="s">
        <v>1864</v>
      </c>
      <c r="H1" s="1" t="s">
        <v>1864</v>
      </c>
      <c r="I1" s="1" t="s">
        <v>1864</v>
      </c>
      <c r="J1" s="1" t="s">
        <v>1864</v>
      </c>
      <c r="K1" s="1" t="s">
        <v>1864</v>
      </c>
      <c r="L1" s="1" t="s">
        <v>1864</v>
      </c>
    </row>
    <row r="2" ht="28" customHeight="1" spans="1:12">
      <c r="A2" s="2" t="s">
        <v>1865</v>
      </c>
      <c r="B2" s="2" t="s">
        <v>1865</v>
      </c>
      <c r="C2" s="2" t="s">
        <v>1865</v>
      </c>
      <c r="D2" s="2" t="s">
        <v>1865</v>
      </c>
      <c r="E2" s="2" t="s">
        <v>1865</v>
      </c>
      <c r="F2" s="2" t="s">
        <v>1865</v>
      </c>
      <c r="G2" s="2" t="s">
        <v>1865</v>
      </c>
      <c r="H2" s="2" t="s">
        <v>1865</v>
      </c>
      <c r="I2" s="2" t="s">
        <v>1865</v>
      </c>
      <c r="J2" s="2" t="s">
        <v>1865</v>
      </c>
      <c r="K2" s="2" t="s">
        <v>1865</v>
      </c>
      <c r="L2" s="2" t="s">
        <v>1865</v>
      </c>
    </row>
    <row r="3" spans="1:1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30" customHeight="1" spans="1:12">
      <c r="A4" s="11" t="s">
        <v>931</v>
      </c>
      <c r="B4" s="11" t="s">
        <v>1866</v>
      </c>
      <c r="C4" s="11" t="s">
        <v>1867</v>
      </c>
      <c r="D4" s="11" t="s">
        <v>1868</v>
      </c>
      <c r="E4" s="11" t="s">
        <v>1869</v>
      </c>
      <c r="F4" s="11" t="s">
        <v>1870</v>
      </c>
      <c r="G4" s="11" t="s">
        <v>1826</v>
      </c>
      <c r="H4" s="11" t="s">
        <v>1871</v>
      </c>
      <c r="I4" s="11" t="s">
        <v>976</v>
      </c>
      <c r="J4" s="11" t="s">
        <v>1872</v>
      </c>
      <c r="K4" s="11" t="s">
        <v>1873</v>
      </c>
      <c r="L4" s="11" t="s">
        <v>18</v>
      </c>
    </row>
    <row r="5" ht="54" customHeight="1" spans="1:12">
      <c r="A5" s="5" t="s">
        <v>1874</v>
      </c>
      <c r="B5" s="5" t="s">
        <v>1875</v>
      </c>
      <c r="C5" s="5" t="s">
        <v>1876</v>
      </c>
      <c r="D5" s="5" t="s">
        <v>1877</v>
      </c>
      <c r="E5" s="5" t="s">
        <v>1878</v>
      </c>
      <c r="F5" s="5" t="s">
        <v>1879</v>
      </c>
      <c r="G5" s="12"/>
      <c r="H5" s="12"/>
      <c r="I5" s="12" t="s">
        <v>10</v>
      </c>
      <c r="J5" s="12"/>
      <c r="K5" s="5" t="s">
        <v>1880</v>
      </c>
      <c r="L5" s="5"/>
    </row>
    <row r="6" ht="54" customHeight="1" spans="1:12">
      <c r="A6" s="5" t="s">
        <v>1881</v>
      </c>
      <c r="B6" s="5" t="s">
        <v>1875</v>
      </c>
      <c r="C6" s="5" t="s">
        <v>1882</v>
      </c>
      <c r="D6" s="5" t="s">
        <v>1883</v>
      </c>
      <c r="E6" s="5" t="s">
        <v>1884</v>
      </c>
      <c r="F6" s="5" t="s">
        <v>1885</v>
      </c>
      <c r="G6" s="12"/>
      <c r="H6" s="12"/>
      <c r="I6" s="12" t="s">
        <v>10</v>
      </c>
      <c r="J6" s="12"/>
      <c r="K6" s="5" t="s">
        <v>1886</v>
      </c>
      <c r="L6" s="5"/>
    </row>
    <row r="7" ht="54" customHeight="1" spans="1:12">
      <c r="A7" s="5" t="s">
        <v>1887</v>
      </c>
      <c r="B7" s="5" t="s">
        <v>1875</v>
      </c>
      <c r="C7" s="5" t="s">
        <v>1888</v>
      </c>
      <c r="D7" s="5" t="s">
        <v>1889</v>
      </c>
      <c r="E7" s="5" t="s">
        <v>1890</v>
      </c>
      <c r="F7" s="5" t="s">
        <v>1891</v>
      </c>
      <c r="G7" s="12"/>
      <c r="H7" s="12"/>
      <c r="I7" s="12" t="s">
        <v>10</v>
      </c>
      <c r="J7" s="12"/>
      <c r="K7" s="5" t="s">
        <v>1892</v>
      </c>
      <c r="L7" s="5"/>
    </row>
    <row r="8" ht="54" customHeight="1" spans="1:12">
      <c r="A8" s="5" t="s">
        <v>1893</v>
      </c>
      <c r="B8" s="5" t="s">
        <v>1875</v>
      </c>
      <c r="C8" s="5" t="s">
        <v>1894</v>
      </c>
      <c r="D8" s="5" t="s">
        <v>1895</v>
      </c>
      <c r="E8" s="5" t="s">
        <v>1896</v>
      </c>
      <c r="F8" s="5" t="s">
        <v>1897</v>
      </c>
      <c r="G8" s="12"/>
      <c r="H8" s="12"/>
      <c r="I8" s="12" t="s">
        <v>10</v>
      </c>
      <c r="J8" s="12"/>
      <c r="K8" s="5" t="s">
        <v>1898</v>
      </c>
      <c r="L8" s="5"/>
    </row>
    <row r="9" ht="54" customHeight="1" spans="1:12">
      <c r="A9" s="5" t="s">
        <v>1899</v>
      </c>
      <c r="B9" s="5" t="s">
        <v>1900</v>
      </c>
      <c r="C9" s="5" t="s">
        <v>1901</v>
      </c>
      <c r="D9" s="5" t="s">
        <v>1902</v>
      </c>
      <c r="E9" s="5" t="s">
        <v>1903</v>
      </c>
      <c r="F9" s="5" t="s">
        <v>1904</v>
      </c>
      <c r="G9" s="12"/>
      <c r="H9" s="12"/>
      <c r="I9" s="12" t="s">
        <v>10</v>
      </c>
      <c r="J9" s="12"/>
      <c r="K9" s="5" t="s">
        <v>116</v>
      </c>
      <c r="L9" s="5"/>
    </row>
    <row r="10" ht="54" customHeight="1" spans="1:12">
      <c r="A10" s="5" t="s">
        <v>1905</v>
      </c>
      <c r="B10" s="5" t="s">
        <v>1875</v>
      </c>
      <c r="C10" s="5" t="s">
        <v>1906</v>
      </c>
      <c r="D10" s="5" t="s">
        <v>1907</v>
      </c>
      <c r="E10" s="5" t="s">
        <v>1908</v>
      </c>
      <c r="F10" s="5" t="s">
        <v>1909</v>
      </c>
      <c r="G10" s="12"/>
      <c r="H10" s="12"/>
      <c r="I10" s="12" t="s">
        <v>10</v>
      </c>
      <c r="J10" s="12"/>
      <c r="K10" s="5" t="s">
        <v>1910</v>
      </c>
      <c r="L10" s="5"/>
    </row>
    <row r="11" ht="54" customHeight="1" spans="1:12">
      <c r="A11" s="5" t="s">
        <v>1911</v>
      </c>
      <c r="B11" s="5" t="s">
        <v>1875</v>
      </c>
      <c r="C11" s="5" t="s">
        <v>1912</v>
      </c>
      <c r="D11" s="5" t="s">
        <v>1913</v>
      </c>
      <c r="E11" s="5" t="s">
        <v>1914</v>
      </c>
      <c r="F11" s="5" t="s">
        <v>1915</v>
      </c>
      <c r="G11" s="12"/>
      <c r="H11" s="12"/>
      <c r="I11" s="12" t="s">
        <v>10</v>
      </c>
      <c r="J11" s="12"/>
      <c r="K11" s="5" t="s">
        <v>125</v>
      </c>
      <c r="L11" s="5"/>
    </row>
    <row r="12" ht="54" customHeight="1" spans="1:12">
      <c r="A12" s="5" t="s">
        <v>1916</v>
      </c>
      <c r="B12" s="5" t="s">
        <v>1900</v>
      </c>
      <c r="C12" s="5" t="s">
        <v>1195</v>
      </c>
      <c r="D12" s="5" t="s">
        <v>1917</v>
      </c>
      <c r="E12" s="5" t="s">
        <v>1918</v>
      </c>
      <c r="F12" s="5" t="s">
        <v>1915</v>
      </c>
      <c r="G12" s="12"/>
      <c r="H12" s="12"/>
      <c r="I12" s="12" t="s">
        <v>10</v>
      </c>
      <c r="J12" s="12"/>
      <c r="K12" s="5" t="s">
        <v>159</v>
      </c>
      <c r="L12" s="5"/>
    </row>
    <row r="13" ht="54" customHeight="1" spans="1:12">
      <c r="A13" s="5" t="s">
        <v>1919</v>
      </c>
      <c r="B13" s="5" t="s">
        <v>1875</v>
      </c>
      <c r="C13" s="5" t="s">
        <v>1920</v>
      </c>
      <c r="D13" s="5" t="s">
        <v>1921</v>
      </c>
      <c r="E13" s="5" t="s">
        <v>1922</v>
      </c>
      <c r="F13" s="5" t="s">
        <v>1923</v>
      </c>
      <c r="G13" s="12"/>
      <c r="H13" s="12"/>
      <c r="I13" s="12" t="s">
        <v>10</v>
      </c>
      <c r="J13" s="12"/>
      <c r="K13" s="5" t="s">
        <v>195</v>
      </c>
      <c r="L13" s="5"/>
    </row>
    <row r="14" ht="54" customHeight="1" spans="1:12">
      <c r="A14" s="5" t="s">
        <v>1924</v>
      </c>
      <c r="B14" s="5" t="s">
        <v>1875</v>
      </c>
      <c r="C14" s="5" t="s">
        <v>1925</v>
      </c>
      <c r="D14" s="5" t="s">
        <v>1926</v>
      </c>
      <c r="E14" s="5" t="s">
        <v>1927</v>
      </c>
      <c r="F14" s="5" t="s">
        <v>1928</v>
      </c>
      <c r="G14" s="12"/>
      <c r="H14" s="12"/>
      <c r="I14" s="12" t="s">
        <v>10</v>
      </c>
      <c r="J14" s="12"/>
      <c r="K14" s="5" t="s">
        <v>1929</v>
      </c>
      <c r="L14" s="5"/>
    </row>
    <row r="15" ht="54" customHeight="1" spans="1:12">
      <c r="A15" s="5" t="s">
        <v>1930</v>
      </c>
      <c r="B15" s="5" t="s">
        <v>1875</v>
      </c>
      <c r="C15" s="5" t="s">
        <v>1931</v>
      </c>
      <c r="D15" s="5" t="s">
        <v>1932</v>
      </c>
      <c r="E15" s="5" t="s">
        <v>1933</v>
      </c>
      <c r="F15" s="5" t="s">
        <v>1934</v>
      </c>
      <c r="G15" s="12"/>
      <c r="H15" s="12"/>
      <c r="I15" s="12" t="s">
        <v>10</v>
      </c>
      <c r="J15" s="12"/>
      <c r="K15" s="5" t="s">
        <v>1935</v>
      </c>
      <c r="L15" s="5"/>
    </row>
    <row r="16" ht="54" customHeight="1" spans="1:12">
      <c r="A16" s="5" t="s">
        <v>1936</v>
      </c>
      <c r="B16" s="5" t="s">
        <v>1875</v>
      </c>
      <c r="C16" s="5" t="s">
        <v>1937</v>
      </c>
      <c r="D16" s="5" t="s">
        <v>1938</v>
      </c>
      <c r="E16" s="5" t="s">
        <v>1939</v>
      </c>
      <c r="F16" s="5" t="s">
        <v>1940</v>
      </c>
      <c r="G16" s="12"/>
      <c r="H16" s="12"/>
      <c r="I16" s="12" t="s">
        <v>10</v>
      </c>
      <c r="J16" s="12"/>
      <c r="K16" s="5" t="s">
        <v>1941</v>
      </c>
      <c r="L16" s="5"/>
    </row>
    <row r="17" ht="54" customHeight="1" spans="1:12">
      <c r="A17" s="5" t="s">
        <v>1942</v>
      </c>
      <c r="B17" s="5" t="s">
        <v>1875</v>
      </c>
      <c r="C17" s="5" t="s">
        <v>1943</v>
      </c>
      <c r="D17" s="5" t="s">
        <v>1944</v>
      </c>
      <c r="E17" s="5" t="s">
        <v>1945</v>
      </c>
      <c r="F17" s="5" t="s">
        <v>1946</v>
      </c>
      <c r="G17" s="12"/>
      <c r="H17" s="12"/>
      <c r="I17" s="12" t="s">
        <v>10</v>
      </c>
      <c r="J17" s="12"/>
      <c r="K17" s="5" t="s">
        <v>1947</v>
      </c>
      <c r="L17" s="5"/>
    </row>
    <row r="18" ht="54" customHeight="1" spans="1:12">
      <c r="A18" s="5" t="s">
        <v>1948</v>
      </c>
      <c r="B18" s="5" t="s">
        <v>1875</v>
      </c>
      <c r="C18" s="5" t="s">
        <v>1949</v>
      </c>
      <c r="D18" s="5" t="s">
        <v>1950</v>
      </c>
      <c r="E18" s="5" t="s">
        <v>1951</v>
      </c>
      <c r="F18" s="5" t="s">
        <v>1952</v>
      </c>
      <c r="G18" s="12"/>
      <c r="H18" s="12"/>
      <c r="I18" s="12" t="s">
        <v>10</v>
      </c>
      <c r="J18" s="12"/>
      <c r="K18" s="5" t="s">
        <v>1953</v>
      </c>
      <c r="L18" s="5"/>
    </row>
    <row r="19" ht="54" customHeight="1" spans="1:12">
      <c r="A19" s="5" t="s">
        <v>1954</v>
      </c>
      <c r="B19" s="5" t="s">
        <v>1875</v>
      </c>
      <c r="C19" s="5" t="s">
        <v>33</v>
      </c>
      <c r="D19" s="5" t="s">
        <v>1955</v>
      </c>
      <c r="E19" s="5" t="s">
        <v>1956</v>
      </c>
      <c r="F19" s="5" t="s">
        <v>1957</v>
      </c>
      <c r="G19" s="12"/>
      <c r="H19" s="12"/>
      <c r="I19" s="12" t="s">
        <v>10</v>
      </c>
      <c r="J19" s="12"/>
      <c r="K19" s="5" t="s">
        <v>1958</v>
      </c>
      <c r="L19" s="5"/>
    </row>
    <row r="20" ht="54" customHeight="1" spans="1:12">
      <c r="A20" s="5" t="s">
        <v>1959</v>
      </c>
      <c r="B20" s="5" t="s">
        <v>1875</v>
      </c>
      <c r="C20" s="5" t="s">
        <v>1960</v>
      </c>
      <c r="D20" s="5" t="s">
        <v>1961</v>
      </c>
      <c r="E20" s="5" t="s">
        <v>1962</v>
      </c>
      <c r="F20" s="5" t="s">
        <v>1963</v>
      </c>
      <c r="G20" s="12"/>
      <c r="H20" s="12"/>
      <c r="I20" s="12" t="s">
        <v>10</v>
      </c>
      <c r="J20" s="12"/>
      <c r="K20" s="5" t="s">
        <v>1964</v>
      </c>
      <c r="L20" s="5"/>
    </row>
    <row r="21" ht="54" customHeight="1" spans="1:12">
      <c r="A21" s="5" t="s">
        <v>1965</v>
      </c>
      <c r="B21" s="5" t="s">
        <v>1875</v>
      </c>
      <c r="C21" s="5" t="s">
        <v>1966</v>
      </c>
      <c r="D21" s="5" t="s">
        <v>1967</v>
      </c>
      <c r="E21" s="5" t="s">
        <v>1968</v>
      </c>
      <c r="F21" s="5" t="s">
        <v>1891</v>
      </c>
      <c r="G21" s="12"/>
      <c r="H21" s="12"/>
      <c r="I21" s="12" t="s">
        <v>10</v>
      </c>
      <c r="J21" s="12"/>
      <c r="K21" s="5" t="s">
        <v>1969</v>
      </c>
      <c r="L21" s="5"/>
    </row>
    <row r="22" ht="54" customHeight="1" spans="1:12">
      <c r="A22" s="5" t="s">
        <v>1970</v>
      </c>
      <c r="B22" s="5" t="s">
        <v>1875</v>
      </c>
      <c r="C22" s="5" t="s">
        <v>1971</v>
      </c>
      <c r="D22" s="5" t="s">
        <v>1972</v>
      </c>
      <c r="E22" s="5" t="s">
        <v>1973</v>
      </c>
      <c r="F22" s="5" t="s">
        <v>1974</v>
      </c>
      <c r="G22" s="12"/>
      <c r="H22" s="12"/>
      <c r="I22" s="12" t="s">
        <v>10</v>
      </c>
      <c r="J22" s="12"/>
      <c r="K22" s="5" t="s">
        <v>1975</v>
      </c>
      <c r="L22" s="5"/>
    </row>
    <row r="23" ht="54" customHeight="1" spans="1:12">
      <c r="A23" s="5" t="s">
        <v>1976</v>
      </c>
      <c r="B23" s="5" t="s">
        <v>1900</v>
      </c>
      <c r="C23" s="5" t="s">
        <v>1977</v>
      </c>
      <c r="D23" s="5" t="s">
        <v>1978</v>
      </c>
      <c r="E23" s="5" t="s">
        <v>1979</v>
      </c>
      <c r="F23" s="5" t="s">
        <v>1980</v>
      </c>
      <c r="G23" s="12"/>
      <c r="H23" s="12"/>
      <c r="I23" s="12" t="s">
        <v>10</v>
      </c>
      <c r="J23" s="12"/>
      <c r="K23" s="5" t="s">
        <v>1981</v>
      </c>
      <c r="L23" s="5"/>
    </row>
    <row r="24" ht="54" customHeight="1" spans="1:12">
      <c r="A24" s="5" t="s">
        <v>1982</v>
      </c>
      <c r="B24" s="5" t="s">
        <v>1900</v>
      </c>
      <c r="C24" s="5" t="s">
        <v>1983</v>
      </c>
      <c r="D24" s="5" t="s">
        <v>1984</v>
      </c>
      <c r="E24" s="5" t="s">
        <v>1985</v>
      </c>
      <c r="F24" s="5" t="s">
        <v>1986</v>
      </c>
      <c r="G24" s="12"/>
      <c r="H24" s="12"/>
      <c r="I24" s="12" t="s">
        <v>10</v>
      </c>
      <c r="J24" s="12"/>
      <c r="K24" s="5" t="s">
        <v>1987</v>
      </c>
      <c r="L24" s="5"/>
    </row>
    <row r="25" ht="54" customHeight="1" spans="1:12">
      <c r="A25" s="5" t="s">
        <v>1988</v>
      </c>
      <c r="B25" s="5" t="s">
        <v>1875</v>
      </c>
      <c r="C25" s="5" t="s">
        <v>1989</v>
      </c>
      <c r="D25" s="5" t="s">
        <v>1990</v>
      </c>
      <c r="E25" s="5" t="s">
        <v>1991</v>
      </c>
      <c r="F25" s="5" t="s">
        <v>1992</v>
      </c>
      <c r="G25" s="12"/>
      <c r="H25" s="12"/>
      <c r="I25" s="12" t="s">
        <v>10</v>
      </c>
      <c r="J25" s="12"/>
      <c r="K25" s="5" t="s">
        <v>1993</v>
      </c>
      <c r="L25" s="5"/>
    </row>
  </sheetData>
  <mergeCells count="2">
    <mergeCell ref="A1:L1"/>
    <mergeCell ref="A2:L2"/>
  </mergeCells>
  <dataValidations count="1">
    <dataValidation type="list" sqref="I5:I25">
      <formula1>"草案,評審中,待確認,已批准,已廢棄"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A580C"/>
  </sheetPr>
  <dimension ref="A1:J7"/>
  <sheetViews>
    <sheetView showGridLines="0" workbookViewId="0">
      <pane ySplit="4" topLeftCell="A5" activePane="bottomLeft" state="frozen"/>
      <selection/>
      <selection pane="bottomLeft" activeCell="A1" sqref="A1:J1"/>
    </sheetView>
  </sheetViews>
  <sheetFormatPr defaultColWidth="9" defaultRowHeight="16.8" outlineLevelRow="6"/>
  <cols>
    <col min="1" max="2" width="14" customWidth="1"/>
    <col min="3" max="3" width="28" customWidth="1"/>
    <col min="4" max="4" width="48" customWidth="1"/>
    <col min="5" max="5" width="52" customWidth="1"/>
    <col min="6" max="6" width="30" customWidth="1"/>
    <col min="7" max="7" width="20" customWidth="1"/>
    <col min="8" max="8" width="32" customWidth="1"/>
    <col min="9" max="9" width="15" customWidth="1"/>
    <col min="10" max="10" width="18" customWidth="1"/>
  </cols>
  <sheetData>
    <row r="1" ht="38" customHeight="1" spans="1:10">
      <c r="A1" s="1" t="s">
        <v>1994</v>
      </c>
      <c r="B1" s="1" t="s">
        <v>1994</v>
      </c>
      <c r="C1" s="1" t="s">
        <v>1994</v>
      </c>
      <c r="D1" s="1" t="s">
        <v>1994</v>
      </c>
      <c r="E1" s="1" t="s">
        <v>1994</v>
      </c>
      <c r="F1" s="1" t="s">
        <v>1994</v>
      </c>
      <c r="G1" s="1" t="s">
        <v>1994</v>
      </c>
      <c r="H1" s="1" t="s">
        <v>1994</v>
      </c>
      <c r="I1" s="1" t="s">
        <v>1994</v>
      </c>
      <c r="J1" s="1" t="s">
        <v>1994</v>
      </c>
    </row>
    <row r="2" ht="28" customHeight="1" spans="1:10">
      <c r="A2" s="2" t="s">
        <v>1995</v>
      </c>
      <c r="B2" s="2" t="s">
        <v>1995</v>
      </c>
      <c r="C2" s="2" t="s">
        <v>1995</v>
      </c>
      <c r="D2" s="2" t="s">
        <v>1995</v>
      </c>
      <c r="E2" s="2" t="s">
        <v>1995</v>
      </c>
      <c r="F2" s="2" t="s">
        <v>1995</v>
      </c>
      <c r="G2" s="2" t="s">
        <v>1995</v>
      </c>
      <c r="H2" s="2" t="s">
        <v>1995</v>
      </c>
      <c r="I2" s="2" t="s">
        <v>1995</v>
      </c>
      <c r="J2" s="2" t="s">
        <v>1995</v>
      </c>
    </row>
    <row r="3" spans="1:10">
      <c r="A3" s="3"/>
      <c r="B3" s="3"/>
      <c r="C3" s="3"/>
      <c r="D3" s="3"/>
      <c r="E3" s="3"/>
      <c r="F3" s="3"/>
      <c r="G3" s="3"/>
      <c r="H3" s="3"/>
      <c r="I3" s="3"/>
      <c r="J3" s="3"/>
    </row>
    <row r="4" ht="30" customHeight="1" spans="1:10">
      <c r="A4" s="10" t="s">
        <v>1996</v>
      </c>
      <c r="B4" s="10" t="s">
        <v>1219</v>
      </c>
      <c r="C4" s="10" t="s">
        <v>1997</v>
      </c>
      <c r="D4" s="10" t="s">
        <v>1998</v>
      </c>
      <c r="E4" s="10" t="s">
        <v>1999</v>
      </c>
      <c r="F4" s="10" t="s">
        <v>2000</v>
      </c>
      <c r="G4" s="10" t="s">
        <v>2001</v>
      </c>
      <c r="H4" s="10" t="s">
        <v>1869</v>
      </c>
      <c r="I4" s="10" t="s">
        <v>2002</v>
      </c>
      <c r="J4" s="10" t="s">
        <v>2003</v>
      </c>
    </row>
    <row r="5" ht="66" customHeight="1" spans="1:10">
      <c r="A5" s="5" t="s">
        <v>2004</v>
      </c>
      <c r="B5" s="5" t="s">
        <v>2005</v>
      </c>
      <c r="C5" s="5" t="s">
        <v>2006</v>
      </c>
      <c r="D5" s="5" t="s">
        <v>2007</v>
      </c>
      <c r="E5" s="5" t="s">
        <v>2008</v>
      </c>
      <c r="F5" s="5" t="s">
        <v>2009</v>
      </c>
      <c r="G5" s="5" t="s">
        <v>2010</v>
      </c>
      <c r="H5" s="5" t="s">
        <v>2011</v>
      </c>
      <c r="I5" s="5" t="s">
        <v>2012</v>
      </c>
      <c r="J5" s="5" t="s">
        <v>2013</v>
      </c>
    </row>
    <row r="6" ht="66" customHeight="1" spans="1:10">
      <c r="A6" s="5" t="s">
        <v>2014</v>
      </c>
      <c r="B6" s="5" t="s">
        <v>2005</v>
      </c>
      <c r="C6" s="5" t="s">
        <v>2015</v>
      </c>
      <c r="D6" s="5" t="s">
        <v>2016</v>
      </c>
      <c r="E6" s="5" t="s">
        <v>2017</v>
      </c>
      <c r="F6" s="5" t="s">
        <v>2018</v>
      </c>
      <c r="G6" s="5" t="s">
        <v>2010</v>
      </c>
      <c r="H6" s="5" t="s">
        <v>2019</v>
      </c>
      <c r="I6" s="5" t="s">
        <v>2012</v>
      </c>
      <c r="J6" s="5" t="s">
        <v>2013</v>
      </c>
    </row>
    <row r="7" ht="66" customHeight="1" spans="1:10">
      <c r="A7" s="5" t="s">
        <v>2020</v>
      </c>
      <c r="B7" s="5" t="s">
        <v>2005</v>
      </c>
      <c r="C7" s="5" t="s">
        <v>2021</v>
      </c>
      <c r="D7" s="5" t="s">
        <v>2022</v>
      </c>
      <c r="E7" s="5" t="s">
        <v>2023</v>
      </c>
      <c r="F7" s="5" t="s">
        <v>2018</v>
      </c>
      <c r="G7" s="5" t="s">
        <v>2010</v>
      </c>
      <c r="H7" s="5" t="s">
        <v>2024</v>
      </c>
      <c r="I7" s="5" t="s">
        <v>2012</v>
      </c>
      <c r="J7" s="5" t="s">
        <v>2013</v>
      </c>
    </row>
  </sheetData>
  <mergeCells count="2">
    <mergeCell ref="A1:J1"/>
    <mergeCell ref="A2:J2"/>
  </mergeCells>
  <dataValidations count="1">
    <dataValidation type="list" sqref="I5:I7">
      <formula1>"待確認,已批准,已拒絕,已廢棄"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44A68"/>
  </sheetPr>
  <dimension ref="A1:F19"/>
  <sheetViews>
    <sheetView showGridLines="0" workbookViewId="0">
      <pane ySplit="4" topLeftCell="A5" activePane="bottomLeft" state="frozen"/>
      <selection/>
      <selection pane="bottomLeft" activeCell="A1" sqref="A1:F1"/>
    </sheetView>
  </sheetViews>
  <sheetFormatPr defaultColWidth="9" defaultRowHeight="16.8" outlineLevelCol="5"/>
  <cols>
    <col min="1" max="1" width="32" customWidth="1"/>
    <col min="2" max="2" width="20" customWidth="1"/>
    <col min="3" max="4" width="32" customWidth="1"/>
    <col min="5" max="5" width="25" customWidth="1"/>
    <col min="6" max="6" width="50" customWidth="1"/>
  </cols>
  <sheetData>
    <row r="1" ht="38" customHeight="1" spans="1:6">
      <c r="A1" s="1" t="s">
        <v>2025</v>
      </c>
      <c r="B1" s="1" t="s">
        <v>2025</v>
      </c>
      <c r="C1" s="1" t="s">
        <v>2025</v>
      </c>
      <c r="D1" s="1" t="s">
        <v>2025</v>
      </c>
      <c r="E1" s="1" t="s">
        <v>2025</v>
      </c>
      <c r="F1" s="1" t="s">
        <v>2025</v>
      </c>
    </row>
    <row r="2" ht="28" customHeight="1" spans="1:6">
      <c r="A2" s="2" t="s">
        <v>2026</v>
      </c>
      <c r="B2" s="2" t="s">
        <v>2026</v>
      </c>
      <c r="C2" s="2" t="s">
        <v>2026</v>
      </c>
      <c r="D2" s="2" t="s">
        <v>2026</v>
      </c>
      <c r="E2" s="2" t="s">
        <v>2026</v>
      </c>
      <c r="F2" s="2" t="s">
        <v>2026</v>
      </c>
    </row>
    <row r="3" spans="1:6">
      <c r="A3" s="3"/>
      <c r="B3" s="3"/>
      <c r="C3" s="3"/>
      <c r="D3" s="3"/>
      <c r="E3" s="3"/>
      <c r="F3" s="3"/>
    </row>
    <row r="4" ht="30" customHeight="1" spans="1:6">
      <c r="A4" s="4" t="s">
        <v>2027</v>
      </c>
      <c r="B4" s="4" t="s">
        <v>2028</v>
      </c>
      <c r="C4" s="4" t="s">
        <v>2029</v>
      </c>
      <c r="D4" s="4" t="s">
        <v>2030</v>
      </c>
      <c r="E4" s="4" t="s">
        <v>2031</v>
      </c>
      <c r="F4" s="4" t="s">
        <v>2032</v>
      </c>
    </row>
    <row r="5" ht="54" customHeight="1" spans="1:6">
      <c r="A5" s="5" t="s">
        <v>2033</v>
      </c>
      <c r="B5" s="5" t="s">
        <v>2034</v>
      </c>
      <c r="C5" s="5" t="s">
        <v>2035</v>
      </c>
      <c r="D5" s="5" t="s">
        <v>2036</v>
      </c>
      <c r="E5" s="5" t="s">
        <v>2037</v>
      </c>
      <c r="F5" s="5" t="s">
        <v>2038</v>
      </c>
    </row>
    <row r="6" ht="54" customHeight="1" spans="1:6">
      <c r="A6" s="5" t="s">
        <v>2039</v>
      </c>
      <c r="B6" s="5" t="s">
        <v>2040</v>
      </c>
      <c r="C6" s="5" t="s">
        <v>2041</v>
      </c>
      <c r="D6" s="5" t="s">
        <v>2042</v>
      </c>
      <c r="E6" s="5" t="s">
        <v>2043</v>
      </c>
      <c r="F6" s="5" t="s">
        <v>2044</v>
      </c>
    </row>
    <row r="7" ht="54" customHeight="1" spans="1:6">
      <c r="A7" s="5" t="s">
        <v>2045</v>
      </c>
      <c r="B7" s="5" t="s">
        <v>2005</v>
      </c>
      <c r="C7" s="5" t="s">
        <v>2046</v>
      </c>
      <c r="D7" s="5" t="s">
        <v>2047</v>
      </c>
      <c r="E7" s="5" t="s">
        <v>2048</v>
      </c>
      <c r="F7" s="5" t="s">
        <v>2049</v>
      </c>
    </row>
    <row r="8" ht="54" customHeight="1" spans="1:6">
      <c r="A8" s="5" t="s">
        <v>2050</v>
      </c>
      <c r="B8" s="5" t="s">
        <v>2051</v>
      </c>
      <c r="C8" s="5" t="s">
        <v>2052</v>
      </c>
      <c r="D8" s="5" t="s">
        <v>2053</v>
      </c>
      <c r="E8" s="5" t="s">
        <v>2054</v>
      </c>
      <c r="F8" s="5" t="s">
        <v>2055</v>
      </c>
    </row>
    <row r="9" ht="54" customHeight="1" spans="1:6">
      <c r="A9" s="5" t="s">
        <v>2056</v>
      </c>
      <c r="B9" s="5" t="s">
        <v>2057</v>
      </c>
      <c r="C9" s="5" t="s">
        <v>2058</v>
      </c>
      <c r="D9" s="5" t="s">
        <v>2059</v>
      </c>
      <c r="E9" s="5" t="s">
        <v>2060</v>
      </c>
      <c r="F9" s="5" t="s">
        <v>2061</v>
      </c>
    </row>
    <row r="10" ht="54" customHeight="1" spans="1:6">
      <c r="A10" s="5" t="s">
        <v>2062</v>
      </c>
      <c r="B10" s="5" t="s">
        <v>2063</v>
      </c>
      <c r="C10" s="5" t="s">
        <v>2064</v>
      </c>
      <c r="D10" s="5" t="s">
        <v>2065</v>
      </c>
      <c r="E10" s="5" t="s">
        <v>2066</v>
      </c>
      <c r="F10" s="5" t="s">
        <v>2067</v>
      </c>
    </row>
    <row r="11" ht="54" customHeight="1" spans="1:6">
      <c r="A11" s="3"/>
      <c r="B11" s="3"/>
      <c r="C11" s="3"/>
      <c r="D11" s="3"/>
      <c r="E11" s="3"/>
      <c r="F11" s="3"/>
    </row>
    <row r="12" ht="54" customHeight="1" spans="1:6">
      <c r="A12" s="6" t="s">
        <v>2068</v>
      </c>
      <c r="B12" s="6" t="s">
        <v>2069</v>
      </c>
      <c r="C12" s="6" t="s">
        <v>2070</v>
      </c>
      <c r="D12" s="6" t="s">
        <v>2071</v>
      </c>
      <c r="E12" s="6" t="s">
        <v>2072</v>
      </c>
      <c r="F12" s="6" t="s">
        <v>18</v>
      </c>
    </row>
    <row r="13" ht="54" customHeight="1" spans="1:6">
      <c r="A13" s="5" t="s">
        <v>2073</v>
      </c>
      <c r="B13" s="5" t="s">
        <v>2074</v>
      </c>
      <c r="C13" s="5" t="s">
        <v>2075</v>
      </c>
      <c r="D13" s="5" t="s">
        <v>2076</v>
      </c>
      <c r="E13" s="5" t="s">
        <v>2077</v>
      </c>
      <c r="F13" s="5" t="s">
        <v>2078</v>
      </c>
    </row>
    <row r="14" ht="54" customHeight="1" spans="1:6">
      <c r="A14" s="5" t="s">
        <v>312</v>
      </c>
      <c r="B14" s="5" t="s">
        <v>2079</v>
      </c>
      <c r="C14" s="5" t="s">
        <v>2080</v>
      </c>
      <c r="D14" s="5" t="s">
        <v>2081</v>
      </c>
      <c r="E14" s="5" t="s">
        <v>2082</v>
      </c>
      <c r="F14" s="5" t="s">
        <v>2083</v>
      </c>
    </row>
    <row r="15" ht="54" customHeight="1" spans="1:6">
      <c r="A15" s="5" t="s">
        <v>212</v>
      </c>
      <c r="B15" s="5" t="s">
        <v>2084</v>
      </c>
      <c r="C15" s="5" t="s">
        <v>2085</v>
      </c>
      <c r="D15" s="5" t="s">
        <v>2086</v>
      </c>
      <c r="E15" s="5" t="s">
        <v>2087</v>
      </c>
      <c r="F15" s="5" t="s">
        <v>2088</v>
      </c>
    </row>
    <row r="16" ht="54" customHeight="1" spans="1:6">
      <c r="A16" s="5" t="s">
        <v>96</v>
      </c>
      <c r="B16" s="5" t="s">
        <v>2089</v>
      </c>
      <c r="C16" s="5" t="s">
        <v>2090</v>
      </c>
      <c r="D16" s="5" t="s">
        <v>2091</v>
      </c>
      <c r="E16" s="5" t="s">
        <v>2092</v>
      </c>
      <c r="F16" s="5" t="s">
        <v>2093</v>
      </c>
    </row>
    <row r="17" ht="54" customHeight="1" spans="1:6">
      <c r="A17" s="5" t="s">
        <v>2094</v>
      </c>
      <c r="B17" s="5" t="s">
        <v>2095</v>
      </c>
      <c r="C17" s="5" t="s">
        <v>2096</v>
      </c>
      <c r="D17" s="5" t="s">
        <v>2097</v>
      </c>
      <c r="E17" s="5" t="s">
        <v>2098</v>
      </c>
      <c r="F17" s="5" t="s">
        <v>2099</v>
      </c>
    </row>
    <row r="18" ht="17.55" spans="1:6">
      <c r="A18" s="3"/>
      <c r="B18" s="3"/>
      <c r="C18" s="3"/>
      <c r="D18" s="3"/>
      <c r="E18" s="3"/>
      <c r="F18" s="3"/>
    </row>
    <row r="19" ht="36" customHeight="1" spans="1:6">
      <c r="A19" s="7" t="s">
        <v>2100</v>
      </c>
      <c r="B19" s="8" t="s">
        <v>2100</v>
      </c>
      <c r="C19" s="8" t="s">
        <v>2100</v>
      </c>
      <c r="D19" s="8" t="s">
        <v>2100</v>
      </c>
      <c r="E19" s="8" t="s">
        <v>2100</v>
      </c>
      <c r="F19" s="9" t="s">
        <v>2100</v>
      </c>
    </row>
  </sheetData>
  <mergeCells count="3">
    <mergeCell ref="A1:F1"/>
    <mergeCell ref="A2:F2"/>
    <mergeCell ref="A19:F19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項目總覽</vt:lpstr>
      <vt:lpstr>業務全景</vt:lpstr>
      <vt:lpstr>模組功能</vt:lpstr>
      <vt:lpstr>需求確認主表</vt:lpstr>
      <vt:lpstr>表單欄位</vt:lpstr>
      <vt:lpstr>角色權限</vt:lpstr>
      <vt:lpstr>項目進度</vt:lpstr>
      <vt:lpstr>待確認事項</vt:lpstr>
      <vt:lpstr>需求變更記錄</vt:lpstr>
      <vt:lpstr>說明與依據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芝</cp:lastModifiedBy>
  <dcterms:created xsi:type="dcterms:W3CDTF">2026-09-28T10:32:24Z</dcterms:created>
  <dcterms:modified xsi:type="dcterms:W3CDTF">2026-09-28T13:57:47Z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363F9D942E3520A8DB01BA6ACA1E0B22_42</vt:lpwstr>
  </property>
</Properties>
</file>
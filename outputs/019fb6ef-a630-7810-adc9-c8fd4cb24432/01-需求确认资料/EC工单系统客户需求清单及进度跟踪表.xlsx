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e325e6adb646d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项目总览" sheetId="1" r:id="Rc29905b1a4dd4c45"/>
    <x:sheet xmlns:r="http://schemas.openxmlformats.org/officeDocument/2006/relationships" name="模块说明" sheetId="2" r:id="Rfb98eb957749469a"/>
    <x:sheet xmlns:r="http://schemas.openxmlformats.org/officeDocument/2006/relationships" name="业务流程" sheetId="3" r:id="R9df7e7bb533d4aef"/>
    <x:sheet xmlns:r="http://schemas.openxmlformats.org/officeDocument/2006/relationships" name="需求清单" sheetId="4" r:id="R0ebac6c943c6470d"/>
    <x:sheet xmlns:r="http://schemas.openxmlformats.org/officeDocument/2006/relationships" name="表单字段" sheetId="5" r:id="Rd11d0067372b45b8"/>
    <x:sheet xmlns:r="http://schemas.openxmlformats.org/officeDocument/2006/relationships" name="待确认事项" sheetId="6" r:id="Re68a2ec97dcf402c"/>
    <x:sheet xmlns:r="http://schemas.openxmlformats.org/officeDocument/2006/relationships" name="说明与依据" sheetId="7" r:id="Rfd535d0a12d8478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%"/>
    <x:numFmt numFmtId="201" formatCode="#,##0"/>
    <x:numFmt numFmtId="202" formatCode="yyyy-mm-dd"/>
  </x:numFmts>
  <x:fonts count="14">
    <x:font>
      <x:sz val="11"/>
      <x:name val="Carlito"/>
    </x:font>
    <x:font>
      <x:b/>
      <x:sz val="16"/>
      <x:color rgb="FF173B49"/>
      <x:name val="Arial"/>
    </x:font>
    <x:font>
      <x:i/>
      <x:sz val="10"/>
      <x:color rgb="FF70828D"/>
      <x:name val="Arial"/>
    </x:font>
    <x:font>
      <x:b/>
      <x:sz val="10"/>
      <x:color rgb="FFFFFFFF"/>
      <x:name val="Arial"/>
    </x:font>
    <x:font>
      <x:b/>
      <x:sz val="12"/>
      <x:color rgb="FF173B49"/>
      <x:name val="Arial"/>
    </x:font>
    <x:font>
      <x:sz val="10"/>
      <x:color rgb="FF263A47"/>
      <x:name val="Arial"/>
    </x:font>
    <x:font>
      <x:b/>
      <x:sz val="10"/>
      <x:color rgb="FF173B49"/>
      <x:name val="Arial"/>
    </x:font>
    <x:font>
      <x:sz val="10"/>
      <x:color rgb="FF70828D"/>
      <x:name val="Arial"/>
    </x:font>
    <x:font>
      <x:sz val="11"/>
      <x:name val="Arial"/>
    </x:font>
    <x:font>
      <x:i/>
      <x:sz val="9"/>
      <x:color rgb="FF70828D"/>
      <x:name val="Arial"/>
    </x:font>
    <x:font>
      <x:b/>
      <x:sz val="13"/>
      <x:color rgb="FF168678"/>
      <x:name val="Arial"/>
    </x:font>
    <x:font>
      <x:sz val="9"/>
      <x:color rgb="FF263A47"/>
      <x:name val="Arial"/>
    </x:font>
    <x:font>
      <x:b/>
      <x:sz val="9"/>
      <x:color rgb="FF173B49"/>
      <x:name val="Arial"/>
    </x:font>
    <x:font>
      <x:b/>
      <x:sz val="9"/>
      <x:color rgb="FFFFFFFF"/>
      <x:name val="Arial"/>
    </x:font>
  </x:fonts>
  <x:fills count="21">
    <x:fill>
      <x:patternFill patternType="none"/>
    </x:fill>
    <x:fill>
      <x:patternFill patternType="gray125"/>
    </x:fill>
    <x:fill>
      <x:patternFill patternType="solid">
        <x:fgColor rgb="FF173B49"/>
      </x:patternFill>
    </x:fill>
    <x:fill>
      <x:patternFill patternType="solid">
        <x:fgColor rgb="FFFFFFFF"/>
      </x:patternFill>
    </x:fill>
    <x:fill>
      <x:patternFill patternType="solid">
        <x:fgColor rgb="FFE7F4F0"/>
      </x:patternFill>
    </x:fill>
    <x:fill>
      <x:patternFill patternType="solid">
        <x:fgColor rgb="FFFFF4DA"/>
      </x:patternFill>
    </x:fill>
    <x:fill>
      <x:patternFill patternType="solid">
        <x:fgColor rgb="FFFFF9E9"/>
      </x:patternFill>
    </x:fill>
    <x:fill>
      <x:patternFill patternType="solid">
        <x:fgColor rgb="FFEAF5EE"/>
      </x:patternFill>
    </x:fill>
    <x:fill>
      <x:patternFill patternType="solid">
        <x:fgColor rgb="FF173B49"/>
      </x:patternFill>
    </x:fill>
    <x:fill>
      <x:patternFill patternType="solid">
        <x:fgColor rgb="FFFFFFFF"/>
      </x:patternFill>
    </x:fill>
    <x:fill>
      <x:patternFill patternType="solid">
        <x:fgColor rgb="FFE7F4F0"/>
      </x:patternFill>
    </x:fill>
    <x:fill>
      <x:patternFill patternType="solid">
        <x:fgColor rgb="FFFFF4DA"/>
      </x:patternFill>
    </x:fill>
    <x:fill>
      <x:patternFill patternType="solid">
        <x:fgColor rgb="FF173B49"/>
      </x:patternFill>
    </x:fill>
    <x:fill>
      <x:patternFill patternType="solid">
        <x:fgColor rgb="FFE7F4F0"/>
      </x:patternFill>
    </x:fill>
    <x:fill>
      <x:patternFill patternType="solid">
        <x:fgColor rgb="FFEAF2F8"/>
      </x:patternFill>
    </x:fill>
    <x:fill>
      <x:patternFill patternType="solid">
        <x:fgColor rgb="FFFFF4DA"/>
      </x:patternFill>
    </x:fill>
    <x:fill>
      <x:patternFill patternType="solid">
        <x:fgColor rgb="FFF0ECF8"/>
      </x:patternFill>
    </x:fill>
    <x:fill>
      <x:patternFill patternType="solid">
        <x:fgColor rgb="FFEAF5EE"/>
      </x:patternFill>
    </x:fill>
    <x:fill>
      <x:patternFill patternType="solid">
        <x:fgColor rgb="FFF4FAFC"/>
      </x:patternFill>
    </x:fill>
    <x:fill>
      <x:patternFill patternType="solid">
        <x:fgColor rgb="FFFFF9EE"/>
      </x:patternFill>
    </x:fill>
    <x:fill>
      <x:patternFill patternType="solid">
        <x:fgColor rgb="FFF3FAF5"/>
      </x:patternFill>
    </x:fill>
  </x:fills>
  <x:borders count="9">
    <x:border/>
    <x:border>
      <x:bottom style="thin">
        <x:color rgb="FFDDE6EA"/>
      </x:bottom>
    </x:border>
    <x:border>
      <x:right style="thin">
        <x:color rgb="FF56707A"/>
      </x:right>
    </x:border>
    <x:border>
      <x:left style="thin">
        <x:color rgb="FF56707A"/>
      </x:left>
      <x:right style="thin">
        <x:color rgb="FF56707A"/>
      </x:right>
    </x:border>
    <x:border>
      <x:left style="thin">
        <x:color rgb="FF56707A"/>
      </x:left>
    </x:border>
    <x:border>
      <x:left style="thin">
        <x:color rgb="FFDDE6EA"/>
      </x:left>
      <x:top style="thin">
        <x:color rgb="FFDDE6EA"/>
      </x:top>
      <x:bottom style="thin">
        <x:color rgb="FFDDE6EA"/>
      </x:bottom>
    </x:border>
    <x:border>
      <x:top style="thin">
        <x:color rgb="FFDDE6EA"/>
      </x:top>
      <x:bottom style="thin">
        <x:color rgb="FFDDE6EA"/>
      </x:bottom>
    </x:border>
    <x:border>
      <x:right style="thin">
        <x:color rgb="FFDDE6EA"/>
      </x:right>
      <x:top style="thin">
        <x:color rgb="FFDDE6EA"/>
      </x:top>
      <x:bottom style="thin">
        <x:color rgb="FFDDE6EA"/>
      </x:bottom>
    </x:border>
    <x:border>
      <x:bottom style="medium">
        <x:color rgb="FF168678"/>
      </x:bottom>
    </x:border>
  </x:borders>
  <x:cellStyleXfs count="1">
    <x:xf numFmtId="0" fontId="0" fillId="0" borderId="0"/>
  </x:cellStyleXfs>
  <x:cellXfs count="259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2" xfId="0" applyNumberFormat="1" applyFont="1" applyFill="1" applyBorder="1"/>
    <x:xf numFmtId="0" fontId="3" fillId="2" borderId="3" xfId="0" applyNumberFormat="1" applyFont="1" applyFill="1" applyBorder="1"/>
    <x:xf numFmtId="0" fontId="3" fillId="2" borderId="4" xfId="0" applyNumberFormat="1" applyFont="1" applyFill="1" applyBorder="1"/>
    <x:xf numFmtId="0" fontId="3" fillId="2" borderId="2" xfId="0" applyNumberFormat="1" applyFont="1" applyFill="1" applyBorder="1" applyAlignment="1">
      <x:alignment wrapText="1"/>
    </x:xf>
    <x:xf numFmtId="0" fontId="3" fillId="2" borderId="3" xfId="0" applyNumberFormat="1" applyFont="1" applyFill="1" applyBorder="1" applyAlignment="1">
      <x:alignment wrapText="1"/>
    </x:xf>
    <x:xf numFmtId="0" fontId="3" fillId="2" borderId="4" xfId="0" applyNumberFormat="1" applyFont="1" applyFill="1" applyBorder="1" applyAlignment="1">
      <x:alignment wrapText="1"/>
    </x:xf>
    <x:xf numFmtId="0" fontId="3" fillId="2" borderId="2" xfId="0" applyNumberFormat="1" applyFont="1" applyFill="1" applyBorder="1" applyAlignment="1">
      <x:alignment horizontal="center" wrapText="1"/>
    </x:xf>
    <x:xf numFmtId="0" fontId="3" fillId="2" borderId="3" xfId="0" applyNumberFormat="1" applyFont="1" applyFill="1" applyBorder="1" applyAlignment="1">
      <x:alignment horizontal="center" wrapText="1"/>
    </x:xf>
    <x:xf numFmtId="0" fontId="3" fillId="2" borderId="4" xfId="0" applyNumberFormat="1" applyFont="1" applyFill="1" applyBorder="1" applyAlignment="1">
      <x:alignment horizont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0" fontId="3" fillId="2" borderId="4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5" xfId="0" applyNumberFormat="1" applyFont="1" applyFill="1" applyBorder="1"/>
    <x:xf numFmtId="0" fontId="4" fillId="3" borderId="6" xfId="0" applyNumberFormat="1" applyFont="1" applyFill="1" applyBorder="1"/>
    <x:xf numFmtId="0" fontId="4" fillId="3" borderId="7" xfId="0" applyNumberFormat="1" applyFont="1" applyFill="1" applyBorder="1"/>
    <x:xf numFmtId="0" fontId="4" fillId="3" borderId="5" xfId="0" applyNumberFormat="1" applyFont="1" applyFill="1" applyBorder="1" applyAlignment="1">
      <x:alignment horizontal="center"/>
    </x:xf>
    <x:xf numFmtId="0" fontId="4" fillId="3" borderId="6" xfId="0" applyNumberFormat="1" applyFont="1" applyFill="1" applyBorder="1" applyAlignment="1">
      <x:alignment horizontal="center"/>
    </x:xf>
    <x:xf numFmtId="0" fontId="4" fillId="3" borderId="7" xfId="0" applyNumberFormat="1" applyFont="1" applyFill="1" applyBorder="1" applyAlignment="1">
      <x:alignment horizontal="center"/>
    </x:xf>
    <x:xf numFmtId="0" fontId="4" fillId="3" borderId="5" xfId="0" applyNumberFormat="1" applyFont="1" applyFill="1" applyBorder="1" applyAlignment="1">
      <x:alignment horizontal="center" vertical="center"/>
    </x:xf>
    <x:xf numFmtId="0" fontId="4" fillId="3" borderId="6" xfId="0" applyNumberFormat="1" applyFont="1" applyFill="1" applyBorder="1" applyAlignment="1">
      <x:alignment horizontal="center" vertical="center"/>
    </x:xf>
    <x:xf numFmtId="0" fontId="4" fillId="3" borderId="7" xfId="0" applyNumberFormat="1" applyFont="1" applyFill="1" applyBorder="1" applyAlignment="1">
      <x:alignment horizontal="center" vertical="center"/>
    </x:xf>
    <x:xf numFmtId="200" fontId="4" fillId="3" borderId="6" xfId="0" applyNumberFormat="1" applyFont="1" applyFill="1" applyBorder="1" applyAlignment="1">
      <x:alignment horizontal="center" vertical="center"/>
    </x:xf>
    <x:xf numFmtId="201" fontId="4" fillId="3" borderId="5" xfId="0" applyNumberFormat="1" applyFont="1" applyFill="1" applyBorder="1" applyAlignment="1">
      <x:alignment horizontal="center" vertical="center"/>
    </x:xf>
    <x:xf numFmtId="201" fontId="4" fillId="3" borderId="6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5" fillId="0" borderId="6" xfId="0" applyNumberFormat="1" applyFont="1" applyFill="1" applyBorder="1"/>
    <x:xf numFmtId="0" fontId="5" fillId="0" borderId="1" xfId="0" applyNumberFormat="1" applyFont="1" applyFill="1" applyBorder="1" applyAlignment="1">
      <x:alignment wrapText="1"/>
    </x:xf>
    <x:xf numFmtId="0" fontId="5" fillId="0" borderId="6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vertical="center" wrapText="1"/>
    </x:xf>
    <x:xf numFmtId="0" fontId="5" fillId="0" borderId="6" xfId="0" applyNumberFormat="1" applyFont="1" applyFill="1" applyBorder="1" applyAlignment="1">
      <x:alignment vertical="center" wrapText="1"/>
    </x:xf>
    <x:xf numFmtId="0" fontId="5" fillId="0" borderId="1" xfId="0" applyNumberFormat="1" applyFont="1" applyFill="1" applyBorder="1" applyAlignment="1">
      <x:alignment horizontal="center" vertical="center" wrapText="1"/>
    </x:xf>
    <x:xf numFmtId="0" fontId="5" fillId="0" borderId="6" xfId="0" applyNumberFormat="1" applyFont="1" applyFill="1" applyBorder="1" applyAlignment="1">
      <x:alignment horizontal="center" vertical="center" wrapText="1"/>
    </x:xf>
    <x:xf numFmtId="200" fontId="5" fillId="0" borderId="1" xfId="0" applyNumberFormat="1" applyFont="1" applyFill="1" applyBorder="1" applyAlignment="1">
      <x:alignment vertical="center" wrapText="1"/>
    </x:xf>
    <x:xf numFmtId="200" fontId="5" fillId="0" borderId="6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6" fillId="4" borderId="0" xfId="0" applyNumberFormat="1" applyFont="1" applyFill="1" applyBorder="1"/>
    <x:xf numFmtId="0" fontId="6" fillId="4" borderId="5" xfId="0" applyNumberFormat="1" applyFont="1" applyFill="1" applyBorder="1"/>
    <x:xf numFmtId="0" fontId="6" fillId="4" borderId="6" xfId="0" applyNumberFormat="1" applyFont="1" applyFill="1" applyBorder="1"/>
    <x:xf numFmtId="0" fontId="6" fillId="4" borderId="7" xfId="0" applyNumberFormat="1" applyFont="1" applyFill="1" applyBorder="1"/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 applyAlignment="1">
      <x:alignment vertical="center" wrapText="1"/>
    </x:xf>
    <x:xf numFmtId="0" fontId="5" fillId="0" borderId="1" xfId="0" applyNumberFormat="1" applyFont="1" applyFill="1" applyBorder="1" applyAlignment="1">
      <x:alignment vertical="top" wrapText="1"/>
    </x:xf>
    <x:xf numFmtId="0" fontId="5" fillId="0" borderId="6" xfId="0" applyNumberFormat="1" applyFont="1" applyFill="1" applyBorder="1" applyAlignment="1">
      <x:alignment vertical="top" wrapText="1"/>
    </x:xf>
    <x:xf numFmtId="0" fontId="5" fillId="0" borderId="1" xfId="0" applyNumberFormat="1" applyFont="1" applyFill="1" applyBorder="1" applyAlignment="1">
      <x:alignment horizontal="center" vertical="top" wrapText="1"/>
    </x:xf>
    <x:xf numFmtId="0" fontId="5" fillId="0" borderId="6" xfId="0" applyNumberFormat="1" applyFont="1" applyFill="1" applyBorder="1" applyAlignment="1">
      <x:alignment horizontal="center" vertical="top" wrapText="1"/>
    </x:xf>
    <x:xf numFmtId="200" fontId="0" fillId="0" borderId="0" xfId="0" applyNumberFormat="1" applyFont="1" applyFill="1" applyBorder="1"/>
    <x:xf numFmtId="200" fontId="5" fillId="0" borderId="0" xfId="0" applyNumberFormat="1" applyFont="1" applyFill="1" applyBorder="1"/>
    <x:xf numFmtId="200" fontId="5" fillId="0" borderId="1" xfId="0" applyNumberFormat="1" applyFont="1" applyFill="1" applyBorder="1"/>
    <x:xf numFmtId="200" fontId="5" fillId="0" borderId="6" xfId="0" applyNumberFormat="1" applyFont="1" applyFill="1" applyBorder="1"/>
    <x:xf numFmtId="200" fontId="5" fillId="0" borderId="1" xfId="0" applyNumberFormat="1" applyFont="1" applyFill="1" applyBorder="1" applyAlignment="1">
      <x:alignment wrapText="1"/>
    </x:xf>
    <x:xf numFmtId="200" fontId="5" fillId="0" borderId="6" xfId="0" applyNumberFormat="1" applyFont="1" applyFill="1" applyBorder="1" applyAlignment="1">
      <x:alignment wrapText="1"/>
    </x:xf>
    <x:xf numFmtId="200" fontId="5" fillId="0" borderId="1" xfId="0" applyNumberFormat="1" applyFont="1" applyFill="1" applyBorder="1" applyAlignment="1">
      <x:alignment vertical="top" wrapText="1"/>
    </x:xf>
    <x:xf numFmtId="200" fontId="5" fillId="0" borderId="6" xfId="0" applyNumberFormat="1" applyFont="1" applyFill="1" applyBorder="1" applyAlignment="1">
      <x:alignment vertical="top" wrapText="1"/>
    </x:xf>
    <x:xf numFmtId="200" fontId="5" fillId="0" borderId="1" xfId="0" applyNumberFormat="1" applyFont="1" applyFill="1" applyBorder="1" applyAlignment="1">
      <x:alignment horizontal="center" vertical="top" wrapText="1"/>
    </x:xf>
    <x:xf numFmtId="200" fontId="5" fillId="0" borderId="6" xfId="0" applyNumberFormat="1" applyFont="1" applyFill="1" applyBorder="1" applyAlignment="1">
      <x:alignment horizontal="center" vertical="top" wrapText="1"/>
    </x:xf>
    <x:xf numFmtId="0" fontId="5" fillId="5" borderId="1" xfId="0" applyNumberFormat="1" applyFont="1" applyFill="1" applyBorder="1" applyAlignment="1">
      <x:alignment horizontal="center" vertical="top" wrapText="1"/>
    </x:xf>
    <x:xf numFmtId="0" fontId="5" fillId="5" borderId="6" xfId="0" applyNumberFormat="1" applyFont="1" applyFill="1" applyBorder="1" applyAlignment="1">
      <x:alignment horizontal="center" vertical="top" wrapText="1"/>
    </x:xf>
    <x:xf numFmtId="0" fontId="5" fillId="6" borderId="1" xfId="0" applyNumberFormat="1" applyFont="1" applyFill="1" applyBorder="1" applyAlignment="1">
      <x:alignment vertical="top" wrapText="1"/>
    </x:xf>
    <x:xf numFmtId="0" fontId="5" fillId="6" borderId="6" xfId="0" applyNumberFormat="1" applyFont="1" applyFill="1" applyBorder="1" applyAlignment="1">
      <x:alignment vertical="top" wrapText="1"/>
    </x:xf>
    <x:xf numFmtId="200" fontId="5" fillId="7" borderId="1" xfId="0" applyNumberFormat="1" applyFont="1" applyFill="1" applyBorder="1" applyAlignment="1">
      <x:alignment horizontal="center" vertical="top" wrapText="1"/>
    </x:xf>
    <x:xf numFmtId="200" fontId="5" fillId="7" borderId="6" xfId="0" applyNumberFormat="1" applyFont="1" applyFill="1" applyBorder="1" applyAlignment="1">
      <x:alignment horizontal="center" vertical="top" wrapText="1"/>
    </x:xf>
    <x:xf numFmtId="202" fontId="5" fillId="6" borderId="1" xfId="0" applyNumberFormat="1" applyFont="1" applyFill="1" applyBorder="1" applyAlignment="1">
      <x:alignment vertical="top" wrapText="1"/>
    </x:xf>
    <x:xf numFmtId="202" fontId="5" fillId="6" borderId="6" xfId="0" applyNumberFormat="1" applyFont="1" applyFill="1" applyBorder="1" applyAlignment="1">
      <x:alignment vertical="top" wrapText="1"/>
    </x:xf>
    <x:xf numFmtId="0" fontId="5" fillId="5" borderId="1" xfId="0" applyNumberFormat="1" applyFont="1" applyFill="1" applyBorder="1" applyAlignment="1">
      <x:alignment vertical="top" wrapText="1"/>
    </x:xf>
    <x:xf numFmtId="0" fontId="5" fillId="5" borderId="6" xfId="0" applyNumberFormat="1" applyFont="1" applyFill="1" applyBorder="1" applyAlignment="1">
      <x:alignment vertical="top" wrapText="1"/>
    </x:xf>
    <x:xf numFmtId="202" fontId="5" fillId="5" borderId="1" xfId="0" applyNumberFormat="1" applyFont="1" applyFill="1" applyBorder="1" applyAlignment="1">
      <x:alignment vertical="top" wrapText="1"/>
    </x:xf>
    <x:xf numFmtId="202" fontId="5" fillId="5" borderId="6" xfId="0" applyNumberFormat="1" applyFont="1" applyFill="1" applyBorder="1" applyAlignment="1">
      <x:alignment vertical="top" wrapText="1"/>
    </x:xf>
    <x:xf numFmtId="0" fontId="8" fillId="0" borderId="0" xfId="0" applyNumberFormat="1" applyFont="1" applyFill="1" applyBorder="1"/>
    <x:xf numFmtId="0" fontId="8" fillId="0" borderId="1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/>
    </x:xf>
    <x:xf numFmtId="0" fontId="8" fillId="0" borderId="1" xfId="0" applyNumberFormat="1" applyFont="1" applyFill="1" applyBorder="1" applyAlignment="1">
      <x:alignment vertical="center"/>
    </x:xf>
    <x:xf numFmtId="0" fontId="6" fillId="4" borderId="5" xfId="0" applyNumberFormat="1" applyFont="1" applyFill="1" applyBorder="1" applyAlignment="1">
      <x:alignment vertical="center"/>
    </x:xf>
    <x:xf numFmtId="0" fontId="6" fillId="4" borderId="6" xfId="0" applyNumberFormat="1" applyFont="1" applyFill="1" applyBorder="1" applyAlignment="1">
      <x:alignment vertical="center"/>
    </x:xf>
    <x:xf numFmtId="0" fontId="6" fillId="4" borderId="7" xfId="0" applyNumberFormat="1" applyFont="1" applyFill="1" applyBorder="1" applyAlignment="1">
      <x:alignment vertical="center"/>
    </x:xf>
    <x:xf numFmtId="0" fontId="5" fillId="5" borderId="1" xfId="0" applyNumberFormat="1" applyFont="1" applyFill="1" applyBorder="1" applyAlignment="1">
      <x:alignment horizontal="center" vertical="center" wrapText="1"/>
    </x:xf>
    <x:xf numFmtId="200" fontId="5" fillId="7" borderId="1" xfId="0" applyNumberFormat="1" applyFont="1" applyFill="1" applyBorder="1" applyAlignment="1">
      <x:alignment horizontal="center" vertical="center" wrapText="1"/>
    </x:xf>
    <x:xf numFmtId="0" fontId="5" fillId="6" borderId="1" xfId="0" applyNumberFormat="1" applyFont="1" applyFill="1" applyBorder="1" applyAlignment="1">
      <x:alignment vertical="center" wrapText="1"/>
    </x:xf>
    <x:xf numFmtId="202" fontId="5" fillId="6" borderId="1" xfId="0" applyNumberFormat="1" applyFont="1" applyFill="1" applyBorder="1" applyAlignment="1">
      <x:alignment vertical="center" wrapText="1"/>
    </x:xf>
    <x:xf numFmtId="0" fontId="5" fillId="5" borderId="6" xfId="0" applyNumberFormat="1" applyFont="1" applyFill="1" applyBorder="1" applyAlignment="1">
      <x:alignment horizontal="center" vertical="center" wrapText="1"/>
    </x:xf>
    <x:xf numFmtId="200" fontId="5" fillId="7" borderId="6" xfId="0" applyNumberFormat="1" applyFont="1" applyFill="1" applyBorder="1" applyAlignment="1">
      <x:alignment horizontal="center" vertical="center" wrapText="1"/>
    </x:xf>
    <x:xf numFmtId="0" fontId="5" fillId="6" borderId="6" xfId="0" applyNumberFormat="1" applyFont="1" applyFill="1" applyBorder="1" applyAlignment="1">
      <x:alignment vertical="center" wrapText="1"/>
    </x:xf>
    <x:xf numFmtId="202" fontId="5" fillId="6" borderId="6" xfId="0" applyNumberFormat="1" applyFont="1" applyFill="1" applyBorder="1" applyAlignment="1">
      <x:alignment vertical="center" wrapText="1"/>
    </x:xf>
    <x:xf numFmtId="202" fontId="5" fillId="5" borderId="1" xfId="0" applyNumberFormat="1" applyFont="1" applyFill="1" applyBorder="1" applyAlignment="1">
      <x:alignment vertical="center" wrapText="1"/>
    </x:xf>
    <x:xf numFmtId="0" fontId="5" fillId="5" borderId="1" xfId="0" applyNumberFormat="1" applyFont="1" applyFill="1" applyBorder="1" applyAlignment="1">
      <x:alignment vertical="center" wrapText="1"/>
    </x:xf>
    <x:xf numFmtId="202" fontId="5" fillId="5" borderId="6" xfId="0" applyNumberFormat="1" applyFont="1" applyFill="1" applyBorder="1" applyAlignment="1">
      <x:alignment vertical="center" wrapText="1"/>
    </x:xf>
    <x:xf numFmtId="0" fontId="5" fillId="5" borderId="6" xfId="0" applyNumberFormat="1" applyFont="1" applyFill="1" applyBorder="1" applyAlignment="1">
      <x:alignment vertical="center" wrapText="1"/>
    </x:xf>
    <x:xf numFmtId="0" fontId="1" fillId="0" borderId="8" xfId="0" applyNumberFormat="1" applyFont="1" applyFill="1" applyBorder="1"/>
    <x:xf numFmtId="0" fontId="1" fillId="0" borderId="8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3" fillId="8" borderId="2" xfId="0" applyNumberFormat="1" applyFont="1" applyFill="1" applyBorder="1"/>
    <x:xf numFmtId="0" fontId="3" fillId="8" borderId="3" xfId="0" applyNumberFormat="1" applyFont="1" applyFill="1" applyBorder="1"/>
    <x:xf numFmtId="0" fontId="3" fillId="8" borderId="4" xfId="0" applyNumberFormat="1" applyFont="1" applyFill="1" applyBorder="1"/>
    <x:xf numFmtId="0" fontId="3" fillId="8" borderId="2" xfId="0" applyNumberFormat="1" applyFont="1" applyFill="1" applyBorder="1" applyAlignment="1">
      <x:alignment wrapText="1"/>
    </x:xf>
    <x:xf numFmtId="0" fontId="3" fillId="8" borderId="3" xfId="0" applyNumberFormat="1" applyFont="1" applyFill="1" applyBorder="1" applyAlignment="1">
      <x:alignment wrapText="1"/>
    </x:xf>
    <x:xf numFmtId="0" fontId="3" fillId="8" borderId="4" xfId="0" applyNumberFormat="1" applyFont="1" applyFill="1" applyBorder="1" applyAlignment="1">
      <x:alignment wrapText="1"/>
    </x:xf>
    <x:xf numFmtId="0" fontId="3" fillId="8" borderId="2" xfId="0" applyNumberFormat="1" applyFont="1" applyFill="1" applyBorder="1" applyAlignment="1">
      <x:alignment horizontal="center" wrapText="1"/>
    </x:xf>
    <x:xf numFmtId="0" fontId="3" fillId="8" borderId="3" xfId="0" applyNumberFormat="1" applyFont="1" applyFill="1" applyBorder="1" applyAlignment="1">
      <x:alignment horizontal="center" wrapText="1"/>
    </x:xf>
    <x:xf numFmtId="0" fontId="3" fillId="8" borderId="4" xfId="0" applyNumberFormat="1" applyFont="1" applyFill="1" applyBorder="1" applyAlignment="1">
      <x:alignment horizontal="center" wrapText="1"/>
    </x:xf>
    <x:xf numFmtId="0" fontId="3" fillId="8" borderId="2" xfId="0" applyNumberFormat="1" applyFont="1" applyFill="1" applyBorder="1" applyAlignment="1">
      <x:alignment horizontal="center" vertical="center" wrapText="1"/>
    </x:xf>
    <x:xf numFmtId="0" fontId="3" fillId="8" borderId="3" xfId="0" applyNumberFormat="1" applyFont="1" applyFill="1" applyBorder="1" applyAlignment="1">
      <x:alignment horizontal="center" vertical="center" wrapText="1"/>
    </x:xf>
    <x:xf numFmtId="0" fontId="3" fillId="8" borderId="4" xfId="0" applyNumberFormat="1" applyFont="1" applyFill="1" applyBorder="1" applyAlignment="1">
      <x:alignment horizontal="center" vertical="center" wrapText="1"/>
    </x:xf>
    <x:xf numFmtId="0" fontId="0" fillId="9" borderId="0" xfId="0" applyNumberFormat="1" applyFont="1" applyFill="1" applyBorder="1"/>
    <x:xf numFmtId="0" fontId="4" fillId="9" borderId="0" xfId="0" applyNumberFormat="1" applyFont="1" applyFill="1" applyBorder="1"/>
    <x:xf numFmtId="0" fontId="4" fillId="9" borderId="1" xfId="0" applyNumberFormat="1" applyFont="1" applyFill="1" applyBorder="1"/>
    <x:xf numFmtId="0" fontId="4" fillId="9" borderId="1" xfId="0" applyNumberFormat="1" applyFont="1" applyFill="1" applyBorder="1" applyAlignment="1">
      <x:alignment wrapText="1"/>
    </x:xf>
    <x:xf numFmtId="0" fontId="4" fillId="9" borderId="1" xfId="0" applyNumberFormat="1" applyFont="1" applyFill="1" applyBorder="1" applyAlignment="1">
      <x:alignment horizontal="center" wrapText="1"/>
    </x:xf>
    <x:xf numFmtId="0" fontId="4" fillId="9" borderId="1" xfId="0" applyNumberFormat="1" applyFont="1" applyFill="1" applyBorder="1" applyAlignment="1">
      <x:alignment horizontal="center" vertical="center" wrapText="1"/>
    </x:xf>
    <x:xf numFmtId="200" fontId="4" fillId="9" borderId="1" xfId="0" applyNumberFormat="1" applyFont="1" applyFill="1" applyBorder="1" applyAlignment="1">
      <x:alignment horizontal="center" vertical="center" wrapText="1"/>
    </x:xf>
    <x:xf numFmtId="201" fontId="4" fillId="9" borderId="1" xfId="0" applyNumberFormat="1" applyFont="1" applyFill="1" applyBorder="1" applyAlignment="1">
      <x:alignment horizontal="center" vertical="center" wrapText="1"/>
    </x:xf>
    <x:xf numFmtId="202" fontId="4" fillId="9" borderId="1" xfId="0" applyNumberFormat="1" applyFont="1" applyFill="1" applyBorder="1" applyAlignment="1">
      <x:alignment horizontal="center" vertical="center" wrapText="1"/>
    </x:xf>
    <x:xf numFmtId="0" fontId="0" fillId="10" borderId="0" xfId="0" applyNumberFormat="1" applyFont="1" applyFill="1" applyBorder="1"/>
    <x:xf numFmtId="0" fontId="6" fillId="10" borderId="0" xfId="0" applyNumberFormat="1" applyFont="1" applyFill="1" applyBorder="1"/>
    <x:xf numFmtId="0" fontId="6" fillId="10" borderId="6" xfId="0" applyNumberFormat="1" applyFont="1" applyFill="1" applyBorder="1"/>
    <x:xf numFmtId="0" fontId="6" fillId="10" borderId="6" xfId="0" applyNumberFormat="1" applyFont="1" applyFill="1" applyBorder="1" applyAlignment="1">
      <x:alignment vertical="center"/>
    </x:xf>
    <x:xf numFmtId="0" fontId="6" fillId="0" borderId="1" xfId="0" applyNumberFormat="1" applyFont="1" applyFill="1" applyBorder="1" applyAlignment="1">
      <x:alignment vertical="center" wrapText="1"/>
    </x:xf>
    <x:xf numFmtId="0" fontId="6" fillId="0" borderId="6" xfId="0" applyNumberFormat="1" applyFont="1" applyFill="1" applyBorder="1" applyAlignment="1">
      <x:alignment vertical="center" wrapText="1"/>
    </x:xf>
    <x:xf numFmtId="0" fontId="5" fillId="11" borderId="1" xfId="0" applyNumberFormat="1" applyFont="1" applyFill="1" applyBorder="1" applyAlignment="1">
      <x:alignment vertical="center" wrapText="1"/>
    </x:xf>
    <x:xf numFmtId="0" fontId="5" fillId="11" borderId="6" xfId="0" applyNumberFormat="1" applyFont="1" applyFill="1" applyBorder="1" applyAlignment="1">
      <x:alignment vertical="center" wrapText="1"/>
    </x:xf>
    <x:xf numFmtId="0" fontId="5" fillId="11" borderId="1" xfId="0" applyNumberFormat="1" applyFont="1" applyFill="1" applyBorder="1" applyAlignment="1">
      <x:alignment horizontal="center" vertical="center" wrapText="1"/>
    </x:xf>
    <x:xf numFmtId="0" fontId="5" fillId="11" borderId="6" xfId="0" applyNumberFormat="1" applyFont="1" applyFill="1" applyBorder="1" applyAlignment="1">
      <x:alignment horizontal="center" vertical="center" wrapText="1"/>
    </x:xf>
    <x:xf numFmtId="202" fontId="5" fillId="11" borderId="1" xfId="0" applyNumberFormat="1" applyFont="1" applyFill="1" applyBorder="1" applyAlignment="1">
      <x:alignment horizontal="center" vertical="center" wrapText="1"/>
    </x:xf>
    <x:xf numFmtId="202" fontId="5" fillId="11" borderId="6" xfId="0" applyNumberFormat="1" applyFont="1" applyFill="1" applyBorder="1" applyAlignment="1">
      <x:alignment horizontal="center" vertical="center" wrapText="1"/>
    </x:xf>
    <x:xf numFmtId="200" fontId="5" fillId="0" borderId="1" xfId="0" applyNumberFormat="1" applyFont="1" applyFill="1" applyBorder="1" applyAlignment="1">
      <x:alignment horizontal="center" vertical="center" wrapText="1"/>
    </x:xf>
    <x:xf numFmtId="200" fontId="5" fillId="0" borderId="6" xfId="0" applyNumberFormat="1" applyFont="1" applyFill="1" applyBorder="1" applyAlignment="1">
      <x:alignment horizontal="center" vertical="center" wrapText="1"/>
    </x:xf>
    <x:xf numFmtId="0" fontId="9" fillId="0" borderId="0" xfId="0" applyNumberFormat="1" applyFont="1" applyFill="1" applyBorder="1"/>
    <x:xf numFmtId="0" fontId="9" fillId="0" borderId="0" xfId="0" applyNumberFormat="1" applyFont="1" applyFill="1" applyBorder="1" applyAlignment="1">
      <x:alignment vertical="center"/>
    </x:xf>
    <x:xf numFmtId="0" fontId="0" fillId="12" borderId="0" xfId="0" applyNumberFormat="1" applyFont="1" applyFill="1" applyBorder="1"/>
    <x:xf numFmtId="0" fontId="3" fillId="12" borderId="0" xfId="0" applyNumberFormat="1" applyFont="1" applyFill="1" applyBorder="1"/>
    <x:xf numFmtId="0" fontId="3" fillId="12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horizontal="center" wrapText="1"/>
    </x:xf>
    <x:xf numFmtId="0" fontId="6" fillId="0" borderId="0" xfId="0" applyNumberFormat="1" applyFont="1" applyFill="1" applyBorder="1" applyAlignment="1">
      <x:alignment horizontal="center" vertical="center" wrapText="1"/>
    </x:xf>
    <x:xf numFmtId="0" fontId="6" fillId="13" borderId="0" xfId="0" applyNumberFormat="1" applyFont="1" applyFill="1" applyBorder="1" applyAlignment="1">
      <x:alignment horizontal="center" vertical="center" wrapText="1"/>
    </x:xf>
    <x:xf numFmtId="0" fontId="10" fillId="0" borderId="0" xfId="0" applyNumberFormat="1" applyFont="1" applyFill="1" applyBorder="1" applyAlignment="1">
      <x:alignment horizontal="center" vertical="center" wrapText="1"/>
    </x:xf>
    <x:xf numFmtId="0" fontId="11" fillId="0" borderId="0" xfId="0" applyNumberFormat="1" applyFont="1" applyFill="1" applyBorder="1"/>
    <x:xf numFmtId="0" fontId="11" fillId="0" borderId="1" xfId="0" applyNumberFormat="1" applyFont="1" applyFill="1" applyBorder="1"/>
    <x:xf numFmtId="0" fontId="11" fillId="0" borderId="1" xfId="0" applyNumberFormat="1" applyFont="1" applyFill="1" applyBorder="1" applyAlignment="1">
      <x:alignment wrapText="1"/>
    </x:xf>
    <x:xf numFmtId="0" fontId="11" fillId="0" borderId="1" xfId="0" applyNumberFormat="1" applyFont="1" applyFill="1" applyBorder="1" applyAlignment="1">
      <x:alignment horizontal="center" wrapText="1"/>
    </x:xf>
    <x:xf numFmtId="0" fontId="11" fillId="0" borderId="1" xfId="0" applyNumberFormat="1" applyFont="1" applyFill="1" applyBorder="1" applyAlignment="1">
      <x:alignment horizontal="center" vertical="center" wrapText="1"/>
    </x:xf>
    <x:xf numFmtId="0" fontId="0" fillId="14" borderId="0" xfId="0" applyNumberFormat="1" applyFont="1" applyFill="1" applyBorder="1"/>
    <x:xf numFmtId="0" fontId="6" fillId="14" borderId="0" xfId="0" applyNumberFormat="1" applyFont="1" applyFill="1" applyBorder="1"/>
    <x:xf numFmtId="0" fontId="6" fillId="14" borderId="1" xfId="0" applyNumberFormat="1" applyFont="1" applyFill="1" applyBorder="1"/>
    <x:xf numFmtId="0" fontId="6" fillId="14" borderId="1" xfId="0" applyNumberFormat="1" applyFont="1" applyFill="1" applyBorder="1" applyAlignment="1">
      <x:alignment vertical="center"/>
    </x:xf>
    <x:xf numFmtId="0" fontId="11" fillId="14" borderId="0" xfId="0" applyNumberFormat="1" applyFont="1" applyFill="1" applyBorder="1"/>
    <x:xf numFmtId="0" fontId="11" fillId="14" borderId="5" xfId="0" applyNumberFormat="1" applyFont="1" applyFill="1" applyBorder="1"/>
    <x:xf numFmtId="0" fontId="11" fillId="14" borderId="6" xfId="0" applyNumberFormat="1" applyFont="1" applyFill="1" applyBorder="1"/>
    <x:xf numFmtId="0" fontId="11" fillId="14" borderId="7" xfId="0" applyNumberFormat="1" applyFont="1" applyFill="1" applyBorder="1"/>
    <x:xf numFmtId="0" fontId="11" fillId="14" borderId="5" xfId="0" applyNumberFormat="1" applyFont="1" applyFill="1" applyBorder="1" applyAlignment="1">
      <x:alignment wrapText="1"/>
    </x:xf>
    <x:xf numFmtId="0" fontId="11" fillId="14" borderId="6" xfId="0" applyNumberFormat="1" applyFont="1" applyFill="1" applyBorder="1" applyAlignment="1">
      <x:alignment wrapText="1"/>
    </x:xf>
    <x:xf numFmtId="0" fontId="11" fillId="14" borderId="7" xfId="0" applyNumberFormat="1" applyFont="1" applyFill="1" applyBorder="1" applyAlignment="1">
      <x:alignment wrapText="1"/>
    </x:xf>
    <x:xf numFmtId="0" fontId="11" fillId="14" borderId="5" xfId="0" applyNumberFormat="1" applyFont="1" applyFill="1" applyBorder="1" applyAlignment="1">
      <x:alignment vertical="center" wrapText="1"/>
    </x:xf>
    <x:xf numFmtId="0" fontId="11" fillId="14" borderId="6" xfId="0" applyNumberFormat="1" applyFont="1" applyFill="1" applyBorder="1" applyAlignment="1">
      <x:alignment vertical="center" wrapText="1"/>
    </x:xf>
    <x:xf numFmtId="0" fontId="11" fillId="14" borderId="7" xfId="0" applyNumberFormat="1" applyFont="1" applyFill="1" applyBorder="1" applyAlignment="1">
      <x:alignment vertical="center" wrapText="1"/>
    </x:xf>
    <x:xf numFmtId="0" fontId="0" fillId="15" borderId="0" xfId="0" applyNumberFormat="1" applyFont="1" applyFill="1" applyBorder="1"/>
    <x:xf numFmtId="0" fontId="11" fillId="15" borderId="0" xfId="0" applyNumberFormat="1" applyFont="1" applyFill="1" applyBorder="1"/>
    <x:xf numFmtId="0" fontId="11" fillId="15" borderId="5" xfId="0" applyNumberFormat="1" applyFont="1" applyFill="1" applyBorder="1"/>
    <x:xf numFmtId="0" fontId="11" fillId="15" borderId="6" xfId="0" applyNumberFormat="1" applyFont="1" applyFill="1" applyBorder="1"/>
    <x:xf numFmtId="0" fontId="11" fillId="15" borderId="7" xfId="0" applyNumberFormat="1" applyFont="1" applyFill="1" applyBorder="1"/>
    <x:xf numFmtId="0" fontId="11" fillId="15" borderId="5" xfId="0" applyNumberFormat="1" applyFont="1" applyFill="1" applyBorder="1" applyAlignment="1">
      <x:alignment wrapText="1"/>
    </x:xf>
    <x:xf numFmtId="0" fontId="11" fillId="15" borderId="6" xfId="0" applyNumberFormat="1" applyFont="1" applyFill="1" applyBorder="1" applyAlignment="1">
      <x:alignment wrapText="1"/>
    </x:xf>
    <x:xf numFmtId="0" fontId="11" fillId="15" borderId="7" xfId="0" applyNumberFormat="1" applyFont="1" applyFill="1" applyBorder="1" applyAlignment="1">
      <x:alignment wrapText="1"/>
    </x:xf>
    <x:xf numFmtId="0" fontId="11" fillId="15" borderId="5" xfId="0" applyNumberFormat="1" applyFont="1" applyFill="1" applyBorder="1" applyAlignment="1">
      <x:alignment vertical="center" wrapText="1"/>
    </x:xf>
    <x:xf numFmtId="0" fontId="11" fillId="15" borderId="6" xfId="0" applyNumberFormat="1" applyFont="1" applyFill="1" applyBorder="1" applyAlignment="1">
      <x:alignment vertical="center" wrapText="1"/>
    </x:xf>
    <x:xf numFmtId="0" fontId="11" fillId="15" borderId="7" xfId="0" applyNumberFormat="1" applyFont="1" applyFill="1" applyBorder="1" applyAlignment="1">
      <x:alignment vertical="center" wrapText="1"/>
    </x:xf>
    <x:xf numFmtId="0" fontId="0" fillId="16" borderId="0" xfId="0" applyNumberFormat="1" applyFont="1" applyFill="1" applyBorder="1"/>
    <x:xf numFmtId="0" fontId="11" fillId="16" borderId="0" xfId="0" applyNumberFormat="1" applyFont="1" applyFill="1" applyBorder="1"/>
    <x:xf numFmtId="0" fontId="11" fillId="16" borderId="5" xfId="0" applyNumberFormat="1" applyFont="1" applyFill="1" applyBorder="1"/>
    <x:xf numFmtId="0" fontId="11" fillId="16" borderId="6" xfId="0" applyNumberFormat="1" applyFont="1" applyFill="1" applyBorder="1"/>
    <x:xf numFmtId="0" fontId="11" fillId="16" borderId="7" xfId="0" applyNumberFormat="1" applyFont="1" applyFill="1" applyBorder="1"/>
    <x:xf numFmtId="0" fontId="11" fillId="16" borderId="5" xfId="0" applyNumberFormat="1" applyFont="1" applyFill="1" applyBorder="1" applyAlignment="1">
      <x:alignment wrapText="1"/>
    </x:xf>
    <x:xf numFmtId="0" fontId="11" fillId="16" borderId="6" xfId="0" applyNumberFormat="1" applyFont="1" applyFill="1" applyBorder="1" applyAlignment="1">
      <x:alignment wrapText="1"/>
    </x:xf>
    <x:xf numFmtId="0" fontId="11" fillId="16" borderId="7" xfId="0" applyNumberFormat="1" applyFont="1" applyFill="1" applyBorder="1" applyAlignment="1">
      <x:alignment wrapText="1"/>
    </x:xf>
    <x:xf numFmtId="0" fontId="11" fillId="16" borderId="5" xfId="0" applyNumberFormat="1" applyFont="1" applyFill="1" applyBorder="1" applyAlignment="1">
      <x:alignment vertical="center" wrapText="1"/>
    </x:xf>
    <x:xf numFmtId="0" fontId="11" fillId="16" borderId="6" xfId="0" applyNumberFormat="1" applyFont="1" applyFill="1" applyBorder="1" applyAlignment="1">
      <x:alignment vertical="center" wrapText="1"/>
    </x:xf>
    <x:xf numFmtId="0" fontId="11" fillId="16" borderId="7" xfId="0" applyNumberFormat="1" applyFont="1" applyFill="1" applyBorder="1" applyAlignment="1">
      <x:alignment vertical="center" wrapText="1"/>
    </x:xf>
    <x:xf numFmtId="0" fontId="0" fillId="17" borderId="0" xfId="0" applyNumberFormat="1" applyFont="1" applyFill="1" applyBorder="1"/>
    <x:xf numFmtId="0" fontId="11" fillId="17" borderId="0" xfId="0" applyNumberFormat="1" applyFont="1" applyFill="1" applyBorder="1"/>
    <x:xf numFmtId="0" fontId="11" fillId="17" borderId="5" xfId="0" applyNumberFormat="1" applyFont="1" applyFill="1" applyBorder="1"/>
    <x:xf numFmtId="0" fontId="11" fillId="17" borderId="6" xfId="0" applyNumberFormat="1" applyFont="1" applyFill="1" applyBorder="1"/>
    <x:xf numFmtId="0" fontId="11" fillId="17" borderId="7" xfId="0" applyNumberFormat="1" applyFont="1" applyFill="1" applyBorder="1"/>
    <x:xf numFmtId="0" fontId="11" fillId="17" borderId="5" xfId="0" applyNumberFormat="1" applyFont="1" applyFill="1" applyBorder="1" applyAlignment="1">
      <x:alignment wrapText="1"/>
    </x:xf>
    <x:xf numFmtId="0" fontId="11" fillId="17" borderId="6" xfId="0" applyNumberFormat="1" applyFont="1" applyFill="1" applyBorder="1" applyAlignment="1">
      <x:alignment wrapText="1"/>
    </x:xf>
    <x:xf numFmtId="0" fontId="11" fillId="17" borderId="7" xfId="0" applyNumberFormat="1" applyFont="1" applyFill="1" applyBorder="1" applyAlignment="1">
      <x:alignment wrapText="1"/>
    </x:xf>
    <x:xf numFmtId="0" fontId="11" fillId="17" borderId="5" xfId="0" applyNumberFormat="1" applyFont="1" applyFill="1" applyBorder="1" applyAlignment="1">
      <x:alignment vertical="center" wrapText="1"/>
    </x:xf>
    <x:xf numFmtId="0" fontId="11" fillId="17" borderId="6" xfId="0" applyNumberFormat="1" applyFont="1" applyFill="1" applyBorder="1" applyAlignment="1">
      <x:alignment vertical="center" wrapText="1"/>
    </x:xf>
    <x:xf numFmtId="0" fontId="11" fillId="17" borderId="7" xfId="0" applyNumberFormat="1" applyFont="1" applyFill="1" applyBorder="1" applyAlignment="1">
      <x:alignment vertical="center" wrapText="1"/>
    </x:xf>
    <x:xf numFmtId="0" fontId="12" fillId="14" borderId="5" xfId="0" applyNumberFormat="1" applyFont="1" applyFill="1" applyBorder="1" applyAlignment="1">
      <x:alignment vertical="center" wrapText="1"/>
    </x:xf>
    <x:xf numFmtId="0" fontId="12" fillId="15" borderId="5" xfId="0" applyNumberFormat="1" applyFont="1" applyFill="1" applyBorder="1" applyAlignment="1">
      <x:alignment vertical="center" wrapText="1"/>
    </x:xf>
    <x:xf numFmtId="0" fontId="12" fillId="16" borderId="5" xfId="0" applyNumberFormat="1" applyFont="1" applyFill="1" applyBorder="1" applyAlignment="1">
      <x:alignment vertical="center" wrapText="1"/>
    </x:xf>
    <x:xf numFmtId="0" fontId="12" fillId="17" borderId="5" xfId="0" applyNumberFormat="1" applyFont="1" applyFill="1" applyBorder="1" applyAlignment="1">
      <x:alignment vertical="center" wrapText="1"/>
    </x:xf>
    <x:xf numFmtId="0" fontId="13" fillId="12" borderId="0" xfId="0" applyNumberFormat="1" applyFont="1" applyFill="1" applyBorder="1"/>
    <x:xf numFmtId="0" fontId="13" fillId="12" borderId="2" xfId="0" applyNumberFormat="1" applyFont="1" applyFill="1" applyBorder="1"/>
    <x:xf numFmtId="0" fontId="13" fillId="12" borderId="3" xfId="0" applyNumberFormat="1" applyFont="1" applyFill="1" applyBorder="1"/>
    <x:xf numFmtId="0" fontId="13" fillId="12" borderId="4" xfId="0" applyNumberFormat="1" applyFont="1" applyFill="1" applyBorder="1"/>
    <x:xf numFmtId="0" fontId="13" fillId="12" borderId="2" xfId="0" applyNumberFormat="1" applyFont="1" applyFill="1" applyBorder="1" applyAlignment="1">
      <x:alignment wrapText="1"/>
    </x:xf>
    <x:xf numFmtId="0" fontId="13" fillId="12" borderId="3" xfId="0" applyNumberFormat="1" applyFont="1" applyFill="1" applyBorder="1" applyAlignment="1">
      <x:alignment wrapText="1"/>
    </x:xf>
    <x:xf numFmtId="0" fontId="13" fillId="12" borderId="4" xfId="0" applyNumberFormat="1" applyFont="1" applyFill="1" applyBorder="1" applyAlignment="1">
      <x:alignment wrapText="1"/>
    </x:xf>
    <x:xf numFmtId="0" fontId="13" fillId="12" borderId="2" xfId="0" applyNumberFormat="1" applyFont="1" applyFill="1" applyBorder="1" applyAlignment="1">
      <x:alignment horizontal="center" wrapText="1"/>
    </x:xf>
    <x:xf numFmtId="0" fontId="13" fillId="12" borderId="3" xfId="0" applyNumberFormat="1" applyFont="1" applyFill="1" applyBorder="1" applyAlignment="1">
      <x:alignment horizontal="center" wrapText="1"/>
    </x:xf>
    <x:xf numFmtId="0" fontId="13" fillId="12" borderId="4" xfId="0" applyNumberFormat="1" applyFont="1" applyFill="1" applyBorder="1" applyAlignment="1">
      <x:alignment horizontal="center" wrapText="1"/>
    </x:xf>
    <x:xf numFmtId="0" fontId="13" fillId="12" borderId="2" xfId="0" applyNumberFormat="1" applyFont="1" applyFill="1" applyBorder="1" applyAlignment="1">
      <x:alignment horizontal="center" vertical="center" wrapText="1"/>
    </x:xf>
    <x:xf numFmtId="0" fontId="13" fillId="12" borderId="3" xfId="0" applyNumberFormat="1" applyFont="1" applyFill="1" applyBorder="1" applyAlignment="1">
      <x:alignment horizontal="center" vertical="center" wrapText="1"/>
    </x:xf>
    <x:xf numFmtId="0" fontId="13" fillId="12" borderId="4" xfId="0" applyNumberFormat="1" applyFont="1" applyFill="1" applyBorder="1" applyAlignment="1">
      <x:alignment horizontal="center" vertical="center" wrapText="1"/>
    </x:xf>
    <x:xf numFmtId="0" fontId="11" fillId="0" xfId="0" applyNumberFormat="1" applyFont="1" applyFill="1" applyBorder="0"/>
    <x:xf numFmtId="0" fontId="11" fillId="0" xfId="0" applyNumberFormat="1" applyFont="1" applyFill="1" applyBorder="0" applyAlignment="1">
      <x:alignment wrapText="1"/>
    </x:xf>
    <x:xf numFmtId="0" fontId="11" fillId="0" xfId="0" applyNumberFormat="1" applyFont="1" applyFill="1" applyBorder="0" applyAlignment="1">
      <x:alignment vertical="top" wrapText="1"/>
    </x:xf>
    <x:xf numFmtId="0" fontId="11" fillId="0" borderId="1" xfId="0" applyNumberFormat="1" applyFont="1" applyFill="1" applyBorder="1" applyAlignment="1">
      <x:alignment vertical="top" wrapText="1"/>
    </x:xf>
    <x:xf numFmtId="0" fontId="11" fillId="18" xfId="0" applyNumberFormat="1" applyFont="1" applyFill="1" applyBorder="0" applyAlignment="1">
      <x:alignment vertical="top" wrapText="1"/>
    </x:xf>
    <x:xf numFmtId="0" fontId="11" fillId="14" xfId="0" applyNumberFormat="1" applyFont="1" applyFill="1" applyBorder="0" applyAlignment="1">
      <x:alignment vertical="top" wrapText="1"/>
    </x:xf>
    <x:xf numFmtId="0" fontId="12" fillId="14" xfId="0" applyNumberFormat="1" applyFont="1" applyFill="1" applyBorder="0" applyAlignment="1">
      <x:alignment vertical="top" wrapText="1"/>
    </x:xf>
    <x:xf numFmtId="0" fontId="12" fillId="18" xfId="0" applyNumberFormat="1" applyFont="1" applyFill="1" applyBorder="0" applyAlignment="1">
      <x:alignment vertical="top" wrapText="1"/>
    </x:xf>
    <x:xf numFmtId="0" fontId="11" fillId="19" xfId="0" applyNumberFormat="1" applyFont="1" applyFill="1" applyBorder="0" applyAlignment="1">
      <x:alignment vertical="top" wrapText="1"/>
    </x:xf>
    <x:xf numFmtId="0" fontId="11" fillId="15" xfId="0" applyNumberFormat="1" applyFont="1" applyFill="1" applyBorder="0" applyAlignment="1">
      <x:alignment vertical="top" wrapText="1"/>
    </x:xf>
    <x:xf numFmtId="0" fontId="12" fillId="15" xfId="0" applyNumberFormat="1" applyFont="1" applyFill="1" applyBorder="0" applyAlignment="1">
      <x:alignment vertical="top" wrapText="1"/>
    </x:xf>
    <x:xf numFmtId="0" fontId="12" fillId="19" xfId="0" applyNumberFormat="1" applyFont="1" applyFill="1" applyBorder="0" applyAlignment="1">
      <x:alignment vertical="top" wrapText="1"/>
    </x:xf>
    <x:xf numFmtId="0" fontId="11" fillId="20" xfId="0" applyNumberFormat="1" applyFont="1" applyFill="1" applyBorder="0" applyAlignment="1">
      <x:alignment vertical="top" wrapText="1"/>
    </x:xf>
    <x:xf numFmtId="0" fontId="11" fillId="17" xfId="0" applyNumberFormat="1" applyFont="1" applyFill="1" applyBorder="0" applyAlignment="1">
      <x:alignment vertical="top" wrapText="1"/>
    </x:xf>
    <x:xf numFmtId="0" fontId="12" fillId="17" xfId="0" applyNumberFormat="1" applyFont="1" applyFill="1" applyBorder="0" applyAlignment="1">
      <x:alignment vertical="top" wrapText="1"/>
    </x:xf>
    <x:xf numFmtId="0" fontId="12" fillId="20" xfId="0" applyNumberFormat="1" applyFont="1" applyFill="1" applyBorder="0" applyAlignment="1">
      <x:alignment vertical="top" wrapText="1"/>
    </x:xf>
    <x:xf numFmtId="0" fontId="11" fillId="20" borderId="1" xfId="0" applyNumberFormat="1" applyFont="1" applyFill="1" applyBorder="1" applyAlignment="1">
      <x:alignment vertical="top" wrapText="1"/>
    </x:xf>
    <x:xf numFmtId="0" fontId="11" fillId="17" borderId="1" xfId="0" applyNumberFormat="1" applyFont="1" applyFill="1" applyBorder="1" applyAlignment="1">
      <x:alignment vertical="top" wrapText="1"/>
    </x:xf>
    <x:xf numFmtId="0" fontId="12" fillId="17" borderId="1" xfId="0" applyNumberFormat="1" applyFont="1" applyFill="1" applyBorder="1" applyAlignment="1">
      <x:alignment vertical="top" wrapText="1"/>
    </x:xf>
    <x:xf numFmtId="0" fontId="12" fillId="20" borderId="1" xfId="0" applyNumberFormat="1" applyFont="1" applyFill="1" applyBorder="1" applyAlignment="1">
      <x:alignment vertical="top" wrapText="1"/>
    </x:xf>
    <x:xf numFmtId="0" fontId="12" fillId="14" xfId="0" applyNumberFormat="1" applyFont="1" applyFill="1" applyBorder="0" applyAlignment="1">
      <x:alignment vertical="center" wrapText="1"/>
    </x:xf>
    <x:xf numFmtId="0" fontId="12" fillId="18" xfId="0" applyNumberFormat="1" applyFont="1" applyFill="1" applyBorder="0" applyAlignment="1">
      <x:alignment vertical="center" wrapText="1"/>
    </x:xf>
    <x:xf numFmtId="0" fontId="11" fillId="18" xfId="0" applyNumberFormat="1" applyFont="1" applyFill="1" applyBorder="0" applyAlignment="1">
      <x:alignment vertical="center" wrapText="1"/>
    </x:xf>
    <x:xf numFmtId="0" fontId="12" fillId="15" xfId="0" applyNumberFormat="1" applyFont="1" applyFill="1" applyBorder="0" applyAlignment="1">
      <x:alignment vertical="center" wrapText="1"/>
    </x:xf>
    <x:xf numFmtId="0" fontId="12" fillId="19" xfId="0" applyNumberFormat="1" applyFont="1" applyFill="1" applyBorder="0" applyAlignment="1">
      <x:alignment vertical="center" wrapText="1"/>
    </x:xf>
    <x:xf numFmtId="0" fontId="11" fillId="19" xfId="0" applyNumberFormat="1" applyFont="1" applyFill="1" applyBorder="0" applyAlignment="1">
      <x:alignment vertical="center" wrapText="1"/>
    </x:xf>
    <x:xf numFmtId="0" fontId="12" fillId="17" xfId="0" applyNumberFormat="1" applyFont="1" applyFill="1" applyBorder="0" applyAlignment="1">
      <x:alignment vertical="center" wrapText="1"/>
    </x:xf>
    <x:xf numFmtId="0" fontId="12" fillId="20" xfId="0" applyNumberFormat="1" applyFont="1" applyFill="1" applyBorder="0" applyAlignment="1">
      <x:alignment vertical="center" wrapText="1"/>
    </x:xf>
    <x:xf numFmtId="0" fontId="11" fillId="20" xfId="0" applyNumberFormat="1" applyFont="1" applyFill="1" applyBorder="0" applyAlignment="1">
      <x:alignment vertical="center" wrapText="1"/>
    </x:xf>
    <x:xf numFmtId="0" fontId="12" fillId="17" borderId="1" xfId="0" applyNumberFormat="1" applyFont="1" applyFill="1" applyBorder="1" applyAlignment="1">
      <x:alignment vertical="center" wrapText="1"/>
    </x:xf>
    <x:xf numFmtId="0" fontId="12" fillId="20" borderId="1" xfId="0" applyNumberFormat="1" applyFont="1" applyFill="1" applyBorder="1" applyAlignment="1">
      <x:alignment vertical="center" wrapText="1"/>
    </x:xf>
    <x:xf numFmtId="0" fontId="11" fillId="20" borderId="1" xfId="0" applyNumberFormat="1" applyFont="1" applyFill="1" applyBorder="1" applyAlignment="1">
      <x:alignment vertical="center" wrapText="1"/>
    </x:xf>
    <x:xf numFmtId="0" fontId="12" fillId="14" xfId="0" applyNumberFormat="1" applyFont="1" applyFill="1" applyBorder="0" applyAlignment="1">
      <x:alignment horizontal="center" vertical="center" wrapText="1"/>
    </x:xf>
    <x:xf numFmtId="0" fontId="12" fillId="15" xfId="0" applyNumberFormat="1" applyFont="1" applyFill="1" applyBorder="0" applyAlignment="1">
      <x:alignment horizontal="center" vertical="center" wrapText="1"/>
    </x:xf>
    <x:xf numFmtId="0" fontId="12" fillId="17" xfId="0" applyNumberFormat="1" applyFont="1" applyFill="1" applyBorder="0" applyAlignment="1">
      <x:alignment horizontal="center" vertical="center" wrapText="1"/>
    </x:xf>
    <x:xf numFmtId="0" fontId="12" fillId="17" borderId="1" xfId="0" applyNumberFormat="1" applyFont="1" applyFill="1" applyBorder="1" applyAlignment="1">
      <x:alignment horizontal="center" vertical="center" wrapText="1"/>
    </x:xf>
    <x:xf numFmtId="0" fontId="11" fillId="18" xfId="0" applyNumberFormat="1" applyFont="1" applyFill="1" applyBorder="0" applyAlignment="1">
      <x:alignment horizontal="center" vertical="center" wrapText="1"/>
    </x:xf>
    <x:xf numFmtId="0" fontId="11" fillId="19" xfId="0" applyNumberFormat="1" applyFont="1" applyFill="1" applyBorder="0" applyAlignment="1">
      <x:alignment horizontal="center" vertical="center" wrapText="1"/>
    </x:xf>
    <x:xf numFmtId="0" fontId="11" fillId="20" xfId="0" applyNumberFormat="1" applyFont="1" applyFill="1" applyBorder="0" applyAlignment="1">
      <x:alignment horizontal="center" vertical="center" wrapText="1"/>
    </x:xf>
    <x:xf numFmtId="0" fontId="11" fillId="20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16">
    <x:dxf>
      <x:font>
        <x:b/>
        <x:color rgb="FF287A58"/>
      </x:font>
      <x:fill>
        <x:patternFill>
          <x:bgColor rgb="FFEAF5EE"/>
        </x:patternFill>
      </x:fill>
    </x:dxf>
    <x:dxf>
      <x:font>
        <x:b/>
        <x:color rgb="FF2B6287"/>
      </x:font>
      <x:fill>
        <x:patternFill>
          <x:bgColor rgb="FFEAF2F8"/>
        </x:patternFill>
      </x:fill>
    </x:dxf>
    <x:dxf>
      <x:font>
        <x:b/>
        <x:color rgb="FF986914"/>
      </x:font>
      <x:fill>
        <x:patternFill>
          <x:bgColor rgb="FFFFF4DA"/>
        </x:patternFill>
      </x:fill>
    </x:dxf>
    <x:dxf>
      <x:fill>
        <x:patternFill>
          <x:bgColor rgb="FFE7F4F0"/>
        </x:patternFill>
      </x:fill>
    </x:dxf>
    <x:dxf>
      <x:font>
        <x:b/>
        <x:color rgb="FF287A58"/>
      </x:font>
      <x:fill>
        <x:patternFill>
          <x:bgColor rgb="FFEAF5EE"/>
        </x:patternFill>
      </x:fill>
    </x:dxf>
    <x:dxf>
      <x:font>
        <x:b/>
        <x:color rgb="FF2B6287"/>
      </x:font>
      <x:fill>
        <x:patternFill>
          <x:bgColor rgb="FFEAF2F8"/>
        </x:patternFill>
      </x:fill>
    </x:dxf>
    <x:dxf>
      <x:font>
        <x:b/>
        <x:color rgb="FF986914"/>
      </x:font>
      <x:fill>
        <x:patternFill>
          <x:bgColor rgb="FFFFF4DA"/>
        </x:patternFill>
      </x:fill>
    </x:dxf>
    <x:dxf>
      <x:font>
        <x:b/>
        <x:color rgb="FFB84B5A"/>
      </x:font>
      <x:fill>
        <x:patternFill>
          <x:bgColor rgb="FFFCEBED"/>
        </x:patternFill>
      </x:fill>
    </x:dxf>
    <x:dxf>
      <x:font>
        <x:b/>
        <x:color rgb="FF287A58"/>
      </x:font>
      <x:fill>
        <x:patternFill>
          <x:bgColor rgb="FFEAF5EE"/>
        </x:patternFill>
      </x:fill>
    </x:dxf>
    <x:dxf>
      <x:font>
        <x:b/>
        <x:color rgb="FF986914"/>
      </x:font>
      <x:fill>
        <x:patternFill>
          <x:bgColor rgb="FFFFF4DA"/>
        </x:patternFill>
      </x:fill>
    </x:dxf>
    <x:dxf>
      <x:font>
        <x:b/>
        <x:color rgb="FFB84B5A"/>
      </x:font>
      <x:fill>
        <x:patternFill>
          <x:bgColor rgb="FFFCEBED"/>
        </x:patternFill>
      </x:fill>
    </x:dxf>
    <x:dxf>
      <x:font>
        <x:b/>
        <x:color rgb="FF986914"/>
      </x:font>
      <x:fill>
        <x:patternFill>
          <x:bgColor rgb="FFFFF4DA"/>
        </x:patternFill>
      </x:fill>
    </x:dxf>
    <x:dxf>
      <x:font>
        <x:b/>
        <x:color rgb="FF287A58"/>
      </x:font>
      <x:fill>
        <x:patternFill>
          <x:bgColor rgb="FFEAF5EE"/>
        </x:patternFill>
      </x:fill>
    </x:dxf>
    <x:dxf>
      <x:font>
        <x:b/>
        <x:color rgb="FF287A58"/>
      </x:font>
      <x:fill>
        <x:patternFill>
          <x:bgColor rgb="FFEAF5EE"/>
        </x:patternFill>
      </x:fill>
    </x:dxf>
    <x:dxf>
      <x:font>
        <x:b/>
        <x:color rgb="FF2B6287"/>
      </x:font>
      <x:fill>
        <x:patternFill>
          <x:bgColor rgb="FFEAF2F8"/>
        </x:patternFill>
      </x:fill>
    </x:dxf>
    <x:dxf>
      <x:font>
        <x:b/>
        <x:color rgb="FF986914"/>
      </x:font>
      <x:fill>
        <x:patternFill>
          <x:bgColor rgb="FFFFF4D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0d07e146c28458c" /><Relationship Type="http://schemas.openxmlformats.org/officeDocument/2006/relationships/theme" Target="/xl/theme/theme1.xml" Id="Ra8d2baa45f8c48db" /><Relationship Type="http://schemas.openxmlformats.org/officeDocument/2006/relationships/sharedStrings" Target="/xl/sharedStrings.xml" Id="R9652d78cab244bf6" /><Relationship Type="http://schemas.openxmlformats.org/officeDocument/2006/relationships/worksheet" Target="/xl/worksheets/sheet1.xml" Id="Rc29905b1a4dd4c45" /><Relationship Type="http://schemas.openxmlformats.org/officeDocument/2006/relationships/worksheet" Target="/xl/worksheets/sheet2.xml" Id="Rfb98eb957749469a" /><Relationship Type="http://schemas.openxmlformats.org/officeDocument/2006/relationships/worksheet" Target="/xl/worksheets/sheet3.xml" Id="R9df7e7bb533d4aef" /><Relationship Type="http://schemas.openxmlformats.org/officeDocument/2006/relationships/worksheet" Target="/xl/worksheets/sheet4.xml" Id="R0ebac6c943c6470d" /><Relationship Type="http://schemas.openxmlformats.org/officeDocument/2006/relationships/worksheet" Target="/xl/worksheets/sheet5.xml" Id="Rd11d0067372b45b8" /><Relationship Type="http://schemas.openxmlformats.org/officeDocument/2006/relationships/worksheet" Target="/xl/worksheets/sheet6.xml" Id="Re68a2ec97dcf402c" /><Relationship Type="http://schemas.openxmlformats.org/officeDocument/2006/relationships/worksheet" Target="/xl/worksheets/sheet7.xml" Id="Rfd535d0a12d84789" /></Relationships>
</file>

<file path=xl/tables/table1.xml><?xml version="1.0" encoding="utf-8"?>
<x:table xmlns:x="http://schemas.openxmlformats.org/spreadsheetml/2006/main" id="1" name="ModulesTable" displayName="ModulesTable" ref="A4:M15" headerRowCount="1" totalsRowCount="0" totalsRowShown="0">
  <x:tableColumns count="13">
    <x:tableColumn id="1" name="模块编号"/>
    <x:tableColumn id="2" name="模块"/>
    <x:tableColumn id="3" name="模块定位"/>
    <x:tableColumn id="4" name="页面/表单"/>
    <x:tableColumn id="5" name="主要角色"/>
    <x:tableColumn id="6" name="核心输入"/>
    <x:tableColumn id="7" name="核心处理"/>
    <x:tableColumn id="8" name="核心输出"/>
    <x:tableColumn id="9" name="上游来源"/>
    <x:tableColumn id="10" name="下游去向"/>
    <x:tableColumn id="11" name="原型范围"/>
    <x:tableColumn id="12" name="建议阶段"/>
    <x:tableColumn id="13" name="客户确认重点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6" name="BusinessProcessMap" displayName="BusinessProcessMap" ref="A12:P59" headerRowCount="1" totalsRowCount="0" totalsRowShown="0">
  <x:tableColumns count="16">
    <x:tableColumn id="1" name="流程层级"/>
    <x:tableColumn id="2" name="流程编号／名称"/>
    <x:tableColumn id="3" name="主流程环节"/>
    <x:tableColumn id="4" name="步骤／业务节点"/>
    <x:tableColumn id="5" name="触发条件"/>
    <x:tableColumn id="6" name="主责角色"/>
    <x:tableColumn id="7" name="参与角色"/>
    <x:tableColumn id="8" name="业务动作"/>
    <x:tableColumn id="9" name="页面／表单"/>
    <x:tableColumn id="10" name="前置状态"/>
    <x:tableColumn id="11" name="后置状态"/>
    <x:tableColumn id="12" name="关键产出／通知"/>
    <x:tableColumn id="13" name="业务规则"/>
    <x:tableColumn id="14" name="异常／回退"/>
    <x:tableColumn id="15" name="关联需求"/>
    <x:tableColumn id="16" name="客户确认点"/>
  </x:tableColumns>
  <x:tableStyleInfo name="TableStyleLight9" showFirstColumn="0" showLastColumn="0" showRowStripes="1" showColumnStripes="0"/>
</x:table>
</file>

<file path=xl/tables/table3.xml><?xml version="1.0" encoding="utf-8"?>
<x:table xmlns:x="http://schemas.openxmlformats.org/spreadsheetml/2006/main" id="3" name="RequirementsTable" displayName="RequirementsTable" ref="A4:W84" headerRowCount="1" totalsRowCount="0" totalsRowShown="0">
  <x:tableColumns count="23">
    <x:tableColumn id="1" name="编号"/>
    <x:tableColumn id="2" name="模块"/>
    <x:tableColumn id="3" name="功能"/>
    <x:tableColumn id="4" name="功能说明"/>
    <x:tableColumn id="5" name="主要角色"/>
    <x:tableColumn id="6" name="表单/页面"/>
    <x:tableColumn id="7" name="表单说明"/>
    <x:tableColumn id="8" name="表单字段"/>
    <x:tableColumn id="9" name="交互/业务规则"/>
    <x:tableColumn id="10" name="原型覆盖"/>
    <x:tableColumn id="11" name="建议范围"/>
    <x:tableColumn id="12" name="客户确认"/>
    <x:tableColumn id="13" name="开发状态"/>
    <x:tableColumn id="14" name="测试状态"/>
    <x:tableColumn id="15" name="验收状态"/>
    <x:tableColumn id="16" name="完成率"/>
    <x:tableColumn id="17" name="责任人"/>
    <x:tableColumn id="18" name="计划开始"/>
    <x:tableColumn id="19" name="计划结束"/>
    <x:tableColumn id="20" name="实际完成"/>
    <x:tableColumn id="21" name="依赖/待确认"/>
    <x:tableColumn id="22" name="客户反馈"/>
    <x:tableColumn id="23" name="来源依据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FieldsTable" displayName="FieldsTable" ref="A4:I248" headerRowCount="1" totalsRowCount="0" totalsRowShown="0">
  <x:tableColumns count="9">
    <x:tableColumn id="1" name="模块"/>
    <x:tableColumn id="2" name="表单/页面"/>
    <x:tableColumn id="3" name="字段组"/>
    <x:tableColumn id="4" name="字段名称"/>
    <x:tableColumn id="5" name="字段类型"/>
    <x:tableColumn id="6" name="必填/条件"/>
    <x:tableColumn id="7" name="字段说明/规则"/>
    <x:tableColumn id="8" name="原型状态"/>
    <x:tableColumn id="9" name="来源依据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ConfirmationsTable" displayName="ConfirmationsTable" ref="A4:J14" headerRowCount="1" totalsRowCount="0" totalsRowShown="0">
  <x:tableColumns count="10">
    <x:tableColumn id="1" name="编号"/>
    <x:tableColumn id="2" name="确认主题"/>
    <x:tableColumn id="3" name="需要客户确认"/>
    <x:tableColumn id="4" name="影响范围"/>
    <x:tableColumn id="5" name="建议参与人"/>
    <x:tableColumn id="6" name="计划确认日期"/>
    <x:tableColumn id="7" name="状态"/>
    <x:tableColumn id="8" name="确认结论"/>
    <x:tableColumn id="9" name="责任人"/>
    <x:tableColumn id="10" name="备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10bfbf9858c4fa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b4cf62c36c1440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5480f7bed6e486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32df122512c451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e79efa917fc423f" /></Relationships>
</file>

<file path=xl/worksheets/sheet1.xml><?xml version="1.0" encoding="utf-8"?>
<x:worksheet xmlns:x="http://schemas.openxmlformats.org/spreadsheetml/2006/main">
  <x:sheetPr>
    <x:tabColor rgb="FF173B49"/>
  </x:sheetPr>
  <x:sheetViews>
    <x:sheetView showGridLines="0" workbookViewId="0"/>
  </x:sheetViews>
  <x:sheetFormatPr defaultRowHeight="15"/>
  <x:cols>
    <x:col min="1" max="1" width="22" hidden="0" customWidth="1"/>
    <x:col min="2" max="2" width="42" hidden="0" customWidth="1"/>
    <x:col min="3" max="3" width="15" hidden="0" customWidth="1"/>
    <x:col min="4" max="4" width="15" hidden="0" customWidth="1"/>
    <x:col min="5" max="5" width="14" hidden="0" customWidth="1"/>
    <x:col min="6" max="6" width="14" hidden="0" customWidth="1"/>
    <x:col min="7" max="7" width="16" hidden="0" customWidth="1"/>
    <x:col min="8" max="8" width="40" hidden="0" customWidth="1"/>
  </x:cols>
  <x:sheetData>
    <x:row r="2" ht="30" customHeight="1">
      <x:c r="A2" s="100" t="str">
        <x:v>EC工单系统项目总览</x:v>
      </x:c>
      <x:c r="B2" s="100"/>
      <x:c r="C2" s="100"/>
      <x:c r="D2" s="100"/>
      <x:c r="E2" s="100"/>
      <x:c r="F2" s="100"/>
      <x:c r="G2" s="100"/>
      <x:c r="H2" s="100"/>
    </x:row>
    <x:row r="3" ht="22" customHeight="1">
      <x:c r="A3" s="101" t="str">
        <x:v>数据口径：需求清单 F001–F080。整体进度由开发、测试和验收状态自动计算；黄色单元格为项目组维护项。</x:v>
      </x:c>
      <x:c r="B3" s="101"/>
      <x:c r="C3" s="101"/>
      <x:c r="D3" s="101"/>
      <x:c r="E3" s="101"/>
      <x:c r="F3" s="101"/>
      <x:c r="G3" s="101"/>
      <x:c r="H3" s="101"/>
    </x:row>
    <x:row r="4">
      <x:c r="A4"/>
      <x:c r="B4"/>
      <x:c r="C4"/>
      <x:c r="D4"/>
      <x:c r="E4"/>
      <x:c r="F4"/>
      <x:c r="G4"/>
      <x:c r="H4"/>
    </x:row>
    <x:row r="5" ht="34" customHeight="1">
      <x:c r="A5" s="113" t="str">
        <x:v>当前阶段</x:v>
      </x:c>
      <x:c r="B5" s="114" t="str">
        <x:v>整体进度</x:v>
      </x:c>
      <x:c r="C5" s="114" t="str">
        <x:v>需求总数</x:v>
      </x:c>
      <x:c r="D5" s="114" t="str">
        <x:v>客户已确认</x:v>
      </x:c>
      <x:c r="E5" s="114" t="str">
        <x:v>开发完成</x:v>
      </x:c>
      <x:c r="F5" s="114" t="str">
        <x:v>测试通过</x:v>
      </x:c>
      <x:c r="G5" s="114" t="str">
        <x:v>已验收</x:v>
      </x:c>
      <x:c r="H5" s="115" t="str">
        <x:v>目标交付时间</x:v>
      </x:c>
    </x:row>
    <x:row r="6" ht="42" customHeight="1">
      <x:c r="A6" s="121" t="str">
        <x:f>IF(COUNTIFS('需求清单'!$O$5:$O$84,"已验收")=COUNTA('需求清单'!$A$5:$A$84),"项目已完成",IF(COUNTIFS('需求清单'!$N$5:$N$84,"测试中")+COUNTIFS('需求清单'!$N$5:$N$84,"已通过")&gt;0,"测试与验收",IF(COUNTIFS('需求清单'!$M$5:$M$84,"开发中")+COUNTIFS('需求清单'!$M$5:$M$84,"已完成")&gt;0,"开发实施","需求评审与范围确认")))</x:f>
        <x:v>需求评审与范围确认</x:v>
      </x:c>
      <x:c r="B6" s="122" t="n">
        <x:f>AVERAGE('需求清单'!$P$5:$P$84)</x:f>
        <x:v>0</x:v>
      </x:c>
      <x:c r="C6" s="123" t="n">
        <x:f>COUNTA('需求清单'!$A$5:$A$84)</x:f>
        <x:v>80</x:v>
      </x:c>
      <x:c r="D6" s="123" t="n">
        <x:f>COUNTIFS('需求清单'!$L$5:$L$84,"已确认")+COUNTIFS('需求清单'!$L$5:$L$84,"有条件确认")</x:f>
        <x:v>0</x:v>
      </x:c>
      <x:c r="E6" s="123" t="n">
        <x:f>COUNTIFS('需求清单'!$M$5:$M$84,"已完成")</x:f>
        <x:v>0</x:v>
      </x:c>
      <x:c r="F6" s="123" t="n">
        <x:f>COUNTIFS('需求清单'!$N$5:$N$84,"已通过")</x:f>
        <x:v>0</x:v>
      </x:c>
      <x:c r="G6" s="123" t="n">
        <x:f>COUNTIFS('需求清单'!$O$5:$O$84,"已验收")</x:f>
        <x:v>0</x:v>
      </x:c>
      <x:c r="H6" s="124" t="str">
        <x:f>IF(COUNT($C$10:$C$14)=0,"待确认",MAX($C$10:$C$14))</x:f>
        <x:v>待确认</x:v>
      </x:c>
    </x:row>
    <x:row r="7">
      <x:c r="A7"/>
      <x:c r="B7"/>
      <x:c r="C7"/>
      <x:c r="D7"/>
      <x:c r="E7"/>
      <x:c r="F7"/>
      <x:c r="G7"/>
      <x:c r="H7"/>
    </x:row>
    <x:row r="8" ht="24" customHeight="1">
      <x:c r="A8" s="128" t="str">
        <x:v>关键里程碑</x:v>
      </x:c>
      <x:c r="B8" s="128" t="str"/>
      <x:c r="C8" s="128" t="str"/>
      <x:c r="D8" s="128" t="str"/>
      <x:c r="E8" s="128" t="str"/>
      <x:c r="F8" s="128" t="str"/>
      <x:c r="G8" s="128" t="str"/>
      <x:c r="H8" s="128" t="str"/>
    </x:row>
    <x:row r="9" ht="32" customHeight="1">
      <x:c r="A9" s="113" t="str">
        <x:v>里程碑</x:v>
      </x:c>
      <x:c r="B9" s="114" t="str">
        <x:v>目标产出</x:v>
      </x:c>
      <x:c r="C9" s="114" t="str">
        <x:v>计划完成</x:v>
      </x:c>
      <x:c r="D9" s="114" t="str">
        <x:v>实际完成</x:v>
      </x:c>
      <x:c r="E9" s="114" t="str">
        <x:v>状态</x:v>
      </x:c>
      <x:c r="F9" s="114" t="str">
        <x:v>完成度</x:v>
      </x:c>
      <x:c r="G9" s="114" t="str">
        <x:v>负责人</x:v>
      </x:c>
      <x:c r="H9" s="115" t="str">
        <x:v>风险／依赖</x:v>
      </x:c>
    </x:row>
    <x:row r="10" ht="50" customHeight="1">
      <x:c r="A10" s="129" t="str">
        <x:v>M1 需求范围定稿</x:v>
      </x:c>
      <x:c r="B10" s="38" t="str">
        <x:v>模块、流程、功能、表单及字段逐条确认</x:v>
      </x:c>
      <x:c r="C10" s="135"/>
      <x:c r="D10" s="135"/>
      <x:c r="E10" s="40" t="str">
        <x:f>IF(F10=1,"已完成",IF(F10&gt;0,"进行中","未开始"))</x:f>
        <x:v>未开始</x:v>
      </x:c>
      <x:c r="F10" s="137" t="n">
        <x:f>(COUNTIFS('需求清单'!$L$5:$L$84,"已确认")+COUNTIFS('需求清单'!$L$5:$L$84,"有条件确认"))/COUNTA('需求清单'!$A$5:$A$84)</x:f>
        <x:v>0</x:v>
      </x:c>
      <x:c r="G10" s="133"/>
      <x:c r="H10" s="38" t="str">
        <x:v>依赖客户确认范围、角色责任和关键业务规则</x:v>
      </x:c>
    </x:row>
    <x:row r="11" ht="50" customHeight="1">
      <x:c r="A11" s="130" t="str">
        <x:v>M2 原型对齐确认</x:v>
      </x:c>
      <x:c r="B11" s="39" t="str">
        <x:v>原型页面与需求编号完成映射并确认差异</x:v>
      </x:c>
      <x:c r="C11" s="136"/>
      <x:c r="D11" s="136"/>
      <x:c r="E11" s="41" t="str">
        <x:f>IF(F11=1,"已完成",IF(F11&gt;0,"进行中","未开始"))</x:f>
        <x:v>进行中</x:v>
      </x:c>
      <x:c r="F11" s="138" t="n">
        <x:f>COUNTIFS('需求清单'!$J$5:$J$84,"可演示")/COUNTA('需求清单'!$A$5:$A$84)</x:f>
        <x:v>0.75</x:v>
      </x:c>
      <x:c r="G11" s="134"/>
      <x:c r="H11" s="39" t="str">
        <x:v>原型只作讨论底稿，差异项须回写需求清单</x:v>
      </x:c>
    </x:row>
    <x:row r="12" ht="50" customHeight="1">
      <x:c r="A12" s="130" t="str">
        <x:v>M3 核心功能开发完成</x:v>
      </x:c>
      <x:c r="B12" s="39" t="str">
        <x:v>本期范围完成开发并具备提测条件</x:v>
      </x:c>
      <x:c r="C12" s="136"/>
      <x:c r="D12" s="136"/>
      <x:c r="E12" s="41" t="str">
        <x:f>IF(F12=1,"已完成",IF(F12&gt;0,"进行中","未开始"))</x:f>
        <x:v>未开始</x:v>
      </x:c>
      <x:c r="F12" s="138" t="n">
        <x:f>COUNTIFS('需求清单'!$M$5:$M$84,"已完成")/COUNTA('需求清单'!$A$5:$A$84)</x:f>
        <x:v>0</x:v>
      </x:c>
      <x:c r="G12" s="134"/>
      <x:c r="H12" s="39" t="str">
        <x:v>依赖需求定稿、优先级和技术方案确认</x:v>
      </x:c>
    </x:row>
    <x:row r="13" ht="50" customHeight="1">
      <x:c r="A13" s="130" t="str">
        <x:v>M4 系统测试与问题关闭</x:v>
      </x:c>
      <x:c r="B13" s="39" t="str">
        <x:v>测试通过，关键缺陷完成关闭</x:v>
      </x:c>
      <x:c r="C13" s="136"/>
      <x:c r="D13" s="136"/>
      <x:c r="E13" s="41" t="str">
        <x:f>IF(F13=1,"已完成",IF(F13&gt;0,"进行中","未开始"))</x:f>
        <x:v>未开始</x:v>
      </x:c>
      <x:c r="F13" s="138" t="n">
        <x:f>COUNTIFS('需求清单'!$N$5:$N$84,"已通过")/COUNTA('需求清单'!$A$5:$A$84)</x:f>
        <x:v>0</x:v>
      </x:c>
      <x:c r="G13" s="134"/>
      <x:c r="H13" s="39" t="str">
        <x:v>依赖测试环境、真实业务样例和测试数据</x:v>
      </x:c>
    </x:row>
    <x:row r="14" ht="50" customHeight="1">
      <x:c r="A14" s="130" t="str">
        <x:v>M5 客户验收及上线交付</x:v>
      </x:c>
      <x:c r="B14" s="39" t="str">
        <x:v>客户验收通过并完成上线交付</x:v>
      </x:c>
      <x:c r="C14" s="136"/>
      <x:c r="D14" s="136"/>
      <x:c r="E14" s="41" t="str">
        <x:f>IF(F14=1,"已完成",IF(F14&gt;0,"进行中","未开始"))</x:f>
        <x:v>未开始</x:v>
      </x:c>
      <x:c r="F14" s="138" t="n">
        <x:f>COUNTIFS('需求清单'!$O$5:$O$84,"已验收")/COUNTA('需求清单'!$A$5:$A$84)</x:f>
        <x:v>0</x:v>
      </x:c>
      <x:c r="G14" s="134"/>
      <x:c r="H14" s="39" t="str">
        <x:v>依赖验收标准、上线窗口、数据和运维交接</x:v>
      </x:c>
    </x:row>
    <x:row r="15" ht="24" customHeight="1">
      <x:c r="A15" s="140" t="str">
        <x:v>说明：黄色单元格由项目组维护。目标交付时间自动取里程碑“计划完成”中的最晚日期；未录入计划日期时显示“待确认”。</x:v>
      </x:c>
      <x:c r="B15" s="140" t="str"/>
      <x:c r="C15" s="140" t="str"/>
      <x:c r="D15" s="140" t="str"/>
      <x:c r="E15" s="140" t="str"/>
      <x:c r="F15" s="140" t="str"/>
      <x:c r="G15" s="140" t="str"/>
      <x:c r="H15" s="140" t="str"/>
    </x:row>
    <x:row r="16" ht="34" customHeight="1">
      <x:c r="A16"/>
      <x:c r="B16"/>
      <x:c r="C16"/>
      <x:c r="D16"/>
      <x:c r="E16"/>
      <x:c r="F16"/>
      <x:c r="G16"/>
      <x:c r="H16"/>
    </x:row>
    <x:row r="17" ht="34" customHeight="1">
      <x:c r="A17"/>
      <x:c r="B17"/>
      <x:c r="C17"/>
      <x:c r="D17"/>
      <x:c r="E17"/>
      <x:c r="F17"/>
      <x:c r="G17"/>
      <x:c r="H17"/>
    </x:row>
    <x:row r="18" ht="34" customHeight="1">
      <x:c r="A18"/>
      <x:c r="B18"/>
      <x:c r="C18"/>
      <x:c r="D18"/>
      <x:c r="E18"/>
      <x:c r="F18"/>
      <x:c r="G18"/>
      <x:c r="H18"/>
    </x:row>
    <x:row r="19" ht="34" customHeight="1">
      <x:c r="A19"/>
      <x:c r="B19"/>
      <x:c r="C19"/>
      <x:c r="D19"/>
      <x:c r="E19"/>
      <x:c r="F19"/>
      <x:c r="G19"/>
      <x:c r="H19"/>
    </x:row>
    <x:row r="20">
      <x:c r="A20"/>
      <x:c r="B20"/>
      <x:c r="C20"/>
      <x:c r="D20"/>
      <x:c r="E20"/>
      <x:c r="F20"/>
      <x:c r="G20"/>
      <x:c r="H20"/>
    </x:row>
    <x:row r="21">
      <x:c r="A21"/>
      <x:c r="B21"/>
      <x:c r="C21"/>
      <x:c r="D21"/>
      <x:c r="E21"/>
      <x:c r="F21"/>
      <x:c r="G21"/>
      <x:c r="H21"/>
    </x:row>
    <x:row r="22" ht="28" customHeight="1">
      <x:c r="A22"/>
      <x:c r="B22"/>
      <x:c r="C22"/>
      <x:c r="D22"/>
      <x:c r="E22"/>
      <x:c r="F22"/>
      <x:c r="G22"/>
      <x:c r="H22"/>
    </x:row>
    <x:row r="23" ht="28" customHeight="1">
      <x:c r="A23"/>
      <x:c r="B23"/>
      <x:c r="C23"/>
      <x:c r="D23"/>
      <x:c r="E23"/>
      <x:c r="F23"/>
      <x:c r="G23"/>
      <x:c r="H23"/>
    </x:row>
    <x:row r="24" ht="28" customHeight="1">
      <x:c r="A24"/>
      <x:c r="B24"/>
      <x:c r="C24"/>
      <x:c r="D24"/>
      <x:c r="E24"/>
      <x:c r="F24"/>
      <x:c r="G24"/>
      <x:c r="H24"/>
    </x:row>
  </x:sheetData>
  <x:mergeCells>
    <x:mergeCell ref="A21:H21"/>
    <x:mergeCell ref="A22:H22"/>
    <x:mergeCell ref="A23:H23"/>
    <x:mergeCell ref="A24:H24"/>
  </x:mergeCells>
  <x:conditionalFormatting sqref="G9:G19">
    <x:cfRule type="dataBar" priority="1">
      <x:dataBar>
        <x:cfvo type="min"/>
        <x:cfvo type="max"/>
        <x:color rgb="FF168678"/>
      </x:dataBar>
      <x:extLst>
        <x:ext xmlns:x14="http://schemas.microsoft.com/office/spreadsheetml/2009/9/main" uri="{B025F937-C7B1-47D3-B67F-A62EFF666E3E}">
          <x14:id>{B6D3F5AD-C6FB-681A-F018-A5BFE37372F9}</x14:id>
        </x:ext>
      </x:extLst>
    </x:cfRule>
  </x:conditionalFormatting>
  <x:conditionalFormatting sqref="B6:B6">
    <x:cfRule type="dataBar" priority="2">
      <x:dataBar>
        <x:cfvo type="min"/>
        <x:cfvo type="max"/>
        <x:color rgb="FF168678"/>
      </x:dataBar>
      <x:extLst>
        <x:ext xmlns:x14="http://schemas.microsoft.com/office/spreadsheetml/2009/9/main" uri="{B025F937-C7B1-47D3-B67F-A62EFF666E3E}">
          <x14:id>{57B60F2D-A934-E610-2EC7-8207749752DA}</x14:id>
        </x:ext>
      </x:extLst>
    </x:cfRule>
  </x:conditionalFormatting>
  <x:conditionalFormatting sqref="F10:F14">
    <x:cfRule type="dataBar" priority="3">
      <x:dataBar>
        <x:cfvo type="min"/>
        <x:cfvo type="max"/>
        <x:color rgb="FF168678"/>
      </x:dataBar>
      <x:extLst>
        <x:ext xmlns:x14="http://schemas.microsoft.com/office/spreadsheetml/2009/9/main" uri="{B025F937-C7B1-47D3-B67F-A62EFF666E3E}">
          <x14:id>{2E100D2A-0A2C-6BD8-8174-A96060C8245A}</x14:id>
        </x:ext>
      </x:extLst>
    </x:cfRule>
  </x:conditionalFormatting>
  <x:conditionalFormatting sqref="E10:E14">
    <x:cfRule type="containsText" dxfId="13" priority="4" operator="containsText" text="已完成"/>
    <x:cfRule type="containsText" dxfId="14" priority="5" operator="containsText" text="进行中"/>
    <x:cfRule type="containsText" dxfId="15" priority="6" operator="containsText" text="未开始"/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B6D3F5AD-C6FB-681A-F018-A5BFE37372F9}">
            <x14:dataBar gradient="1">
              <x14:cfvo type="min"/>
              <x14:cfvo type="max"/>
              <x14:fillColor rgb="FF168678"/>
            </x14:dataBar>
          </x14:cfRule>
          <xm:sqref>G9:G19</xm:sqref>
        </x14:conditionalFormatting>
        <x14:conditionalFormatting>
          <x14:cfRule type="dataBar" priority="2" id="{57B60F2D-A934-E610-2EC7-8207749752DA}">
            <x14:dataBar gradient="1">
              <x14:cfvo type="min"/>
              <x14:cfvo type="max"/>
              <x14:fillColor rgb="FF168678"/>
            </x14:dataBar>
          </x14:cfRule>
          <xm:sqref>B6:B6</xm:sqref>
        </x14:conditionalFormatting>
        <x14:conditionalFormatting>
          <x14:cfRule type="dataBar" priority="3" id="{2E100D2A-0A2C-6BD8-8174-A96060C8245A}">
            <x14:dataBar gradient="1">
              <x14:cfvo type="min"/>
              <x14:cfvo type="max"/>
              <x14:fillColor rgb="FF168678"/>
            </x14:dataBar>
          </x14:cfRule>
          <xm:sqref>F10:F14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Pr>
    <x:tabColor rgb="FF236C78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1" hidden="0" customWidth="1"/>
    <x:col min="2" max="2" width="24" hidden="0" customWidth="1"/>
    <x:col min="3" max="3" width="36" hidden="0" customWidth="1"/>
    <x:col min="4" max="4" width="32" hidden="0" customWidth="1"/>
    <x:col min="5" max="5" width="22" hidden="0" customWidth="1"/>
    <x:col min="6" max="6" width="34" hidden="0" customWidth="1"/>
    <x:col min="7" max="7" width="42" hidden="0" customWidth="1"/>
    <x:col min="8" max="8" width="34" hidden="0" customWidth="1"/>
    <x:col min="9" max="9" width="26" hidden="0" customWidth="1"/>
    <x:col min="10" max="10" width="26" hidden="0" customWidth="1"/>
    <x:col min="11" max="11" width="22" hidden="0" customWidth="1"/>
    <x:col min="12" max="12" width="14" hidden="0" customWidth="1"/>
    <x:col min="13" max="13" width="42" hidden="0" customWidth="1"/>
  </x:cols>
  <x:sheetData>
    <x:row r="2">
      <x:c r="A2" s="80" t="str">
        <x:v>模块说明</x:v>
      </x:c>
      <x:c r="B2" s="81"/>
      <x:c r="C2" s="81"/>
      <x:c r="D2" s="81"/>
      <x:c r="E2" s="81"/>
      <x:c r="F2" s="81"/>
      <x:c r="G2" s="81"/>
      <x:c r="H2" s="81"/>
      <x:c r="I2" s="81"/>
      <x:c r="J2" s="81"/>
      <x:c r="K2" s="81"/>
      <x:c r="L2" s="81"/>
      <x:c r="M2" s="81"/>
    </x:row>
    <x:row r="3">
      <x:c r="A3" s="82" t="str">
        <x:v>按业务模块说明定位、输入输出、上下游关系、原型范围及客户确认重点。</x:v>
      </x:c>
      <x:c r="B3" s="83"/>
      <x:c r="C3" s="83"/>
      <x:c r="D3" s="83"/>
      <x:c r="E3" s="83"/>
      <x:c r="F3" s="83"/>
      <x:c r="G3" s="83"/>
      <x:c r="H3" s="83"/>
      <x:c r="I3" s="83"/>
      <x:c r="J3" s="83"/>
      <x:c r="K3" s="83"/>
      <x:c r="L3" s="83"/>
      <x:c r="M3" s="83"/>
    </x:row>
    <x:row r="4" ht="38" customHeight="1">
      <x:c r="A4" s="16" t="str">
        <x:v>模块编号</x:v>
      </x:c>
      <x:c r="B4" s="17" t="str">
        <x:v>模块</x:v>
      </x:c>
      <x:c r="C4" s="17" t="str">
        <x:v>模块定位</x:v>
      </x:c>
      <x:c r="D4" s="17" t="str">
        <x:v>页面/表单</x:v>
      </x:c>
      <x:c r="E4" s="17" t="str">
        <x:v>主要角色</x:v>
      </x:c>
      <x:c r="F4" s="17" t="str">
        <x:v>核心输入</x:v>
      </x:c>
      <x:c r="G4" s="17" t="str">
        <x:v>核心处理</x:v>
      </x:c>
      <x:c r="H4" s="17" t="str">
        <x:v>核心输出</x:v>
      </x:c>
      <x:c r="I4" s="17" t="str">
        <x:v>上游来源</x:v>
      </x:c>
      <x:c r="J4" s="17" t="str">
        <x:v>下游去向</x:v>
      </x:c>
      <x:c r="K4" s="17" t="str">
        <x:v>原型范围</x:v>
      </x:c>
      <x:c r="L4" s="17" t="str">
        <x:v>建议阶段</x:v>
      </x:c>
      <x:c r="M4" s="18" t="str">
        <x:v>客户确认重点</x:v>
      </x:c>
    </x:row>
    <x:row r="5" ht="80" customHeight="1">
      <x:c r="A5" s="38" t="str">
        <x:v>M01</x:v>
      </x:c>
      <x:c r="B5" s="38" t="str">
        <x:v>首页与通知</x:v>
      </x:c>
      <x:c r="C5" s="38" t="str">
        <x:v>提供统一工作入口，集中呈现状态、待办、异常和业务通知。</x:v>
      </x:c>
      <x:c r="D5" s="38" t="str">
        <x:v>首页看板、通知中心</x:v>
      </x:c>
      <x:c r="E5" s="38" t="str">
        <x:v>全部角色</x:v>
      </x:c>
      <x:c r="F5" s="38" t="str">
        <x:v>CALL状态、待办、异常事件、业务通知</x:v>
      </x:c>
      <x:c r="G5" s="38" t="str">
        <x:v>按角色与数据范围汇总指标和消息</x:v>
      </x:c>
      <x:c r="H5" s="38" t="str">
        <x:v>状态指标、今日待办、异常清单、通知记录</x:v>
      </x:c>
      <x:c r="I5" s="38" t="str">
        <x:v>CALL、分派、报价等业务模块</x:v>
      </x:c>
      <x:c r="J5" s="38" t="str">
        <x:v>CALL列表、详情及相关业务页面</x:v>
      </x:c>
      <x:c r="K5" s="40" t="str">
        <x:v>可演示</x:v>
      </x:c>
      <x:c r="L5" s="40" t="str">
        <x:v>P0</x:v>
      </x:c>
      <x:c r="M5" s="38" t="str">
        <x:v>确认指标口径、数据范围和真实通知渠道</x:v>
      </x:c>
    </x:row>
    <x:row r="6" ht="80" customHeight="1">
      <x:c r="A6" s="39" t="str">
        <x:v>M02</x:v>
      </x:c>
      <x:c r="B6" s="39" t="str">
        <x:v>CALL受理与工单管理</x:v>
      </x:c>
      <x:c r="C6" s="39" t="str">
        <x:v>承接客户来电、WhatsApp、邮件或现场诉求，形成可跟踪CALL。</x:v>
      </x:c>
      <x:c r="D6" s="39" t="str">
        <x:v>CALL受理、新建/编辑CALL、CALL列表、CALL详情</x:v>
      </x:c>
      <x:c r="E6" s="39" t="str">
        <x:v>CS、CR、TL、ADMIN及相关角色</x:v>
      </x:c>
      <x:c r="F6" s="39" t="str">
        <x:v>客户、联系人、地点、渠道、问题描述、附件</x:v>
      </x:c>
      <x:c r="G6" s="39" t="str">
        <x:v>受理判断、自动编号、建单、查询、状态操作和时间线记录</x:v>
      </x:c>
      <x:c r="H6" s="39" t="str">
        <x:v>CALL记录、任务编号关联、状态及操作日志</x:v>
      </x:c>
      <x:c r="I6" s="39" t="str">
        <x:v>客户与地点主数据</x:v>
      </x:c>
      <x:c r="J6" s="39" t="str">
        <x:v>分派中心、移动端、报告、报价</x:v>
      </x:c>
      <x:c r="K6" s="41" t="str">
        <x:v>可演示</x:v>
      </x:c>
      <x:c r="L6" s="41" t="str">
        <x:v>P0</x:v>
      </x:c>
      <x:c r="M6" s="39" t="str">
        <x:v>确认编号、必填项、取消/直接完成权限和状态口径</x:v>
      </x:c>
    </x:row>
    <x:row r="7" ht="80" customHeight="1">
      <x:c r="A7" s="39" t="str">
        <x:v>M03</x:v>
      </x:c>
      <x:c r="B7" s="39" t="str">
        <x:v>分派与调度</x:v>
      </x:c>
      <x:c r="C7" s="39" t="str">
        <x:v>将待分派CALL分配给合适师傅并保留完整分派轨迹。</x:v>
      </x:c>
      <x:c r="D7" s="39" t="str">
        <x:v>分派中心、分派弹窗、申请审批</x:v>
      </x:c>
      <x:c r="E7" s="39" t="str">
        <x:v>TL、CR、ADMIN、MASTER</x:v>
      </x:c>
      <x:c r="F7" s="39" t="str">
        <x:v>待分派任务、区域、师傅状态、负载和技能</x:v>
      </x:c>
      <x:c r="G7" s="39" t="str">
        <x:v>同区域可接单且最低负载推荐，人工筛选与确认分派</x:v>
      </x:c>
      <x:c r="H7" s="39" t="str">
        <x:v>分派结果、待确认任务、通知及分派日志</x:v>
      </x:c>
      <x:c r="I7" s="39" t="str">
        <x:v>CALL受理、工单池申请</x:v>
      </x:c>
      <x:c r="J7" s="39" t="str">
        <x:v>师傅移动端现场执行</x:v>
      </x:c>
      <x:c r="K7" s="41" t="str">
        <x:v>可演示</x:v>
      </x:c>
      <x:c r="L7" s="41" t="str">
        <x:v>P0</x:v>
      </x:c>
      <x:c r="M7" s="39" t="str">
        <x:v>确认区域权限、请假来源、负载阈值和工单池审批</x:v>
      </x:c>
    </x:row>
    <x:row r="8" ht="80" customHeight="1">
      <x:c r="A8" s="39" t="str">
        <x:v>M04</x:v>
      </x:c>
      <x:c r="B8" s="39" t="str">
        <x:v>移动端现场执行</x:v>
      </x:c>
      <x:c r="C8" s="39" t="str">
        <x:v>支持师傅从接单、签到、处理到提交报告的现场闭环。</x:v>
      </x:c>
      <x:c r="D8" s="39" t="str">
        <x:v>师傅首页、CALL列表、CALL详情、现场处理、完工单</x:v>
      </x:c>
      <x:c r="E8" s="39" t="str">
        <x:v>MASTER、TL</x:v>
      </x:c>
      <x:c r="F8" s="39" t="str">
        <x:v>本人任务、现场资料、照片、材料和客户确认</x:v>
      </x:c>
      <x:c r="G8" s="39" t="str">
        <x:v>接单/拒单、签到、处理记录、照片上传、签名和提交</x:v>
      </x:c>
      <x:c r="H8" s="39" t="str">
        <x:v>处理结果、SR或完工单、报价请求、完工状态</x:v>
      </x:c>
      <x:c r="I8" s="39" t="str">
        <x:v>分派与调度</x:v>
      </x:c>
      <x:c r="J8" s="39" t="str">
        <x:v>报告、报价、统计</x:v>
      </x:c>
      <x:c r="K8" s="41" t="str">
        <x:v>可演示；部分能力需真机POC</x:v>
      </x:c>
      <x:c r="L8" s="41" t="str">
        <x:v>P0/P1</x:v>
      </x:c>
      <x:c r="M8" s="39" t="str">
        <x:v>确认照片、不可拍照、签名、离线及提交后的状态</x:v>
      </x:c>
    </x:row>
    <x:row r="9" ht="80" customHeight="1">
      <x:c r="A9" s="39" t="str">
        <x:v>M05</x:v>
      </x:c>
      <x:c r="B9" s="39" t="str">
        <x:v>报告与文档</x:v>
      </x:c>
      <x:c r="C9" s="39" t="str">
        <x:v>集中管理服务报告和完工单，并记录客户发送过程。</x:v>
      </x:c>
      <x:c r="D9" s="39" t="str">
        <x:v>报告管理、报告详情、报告发送</x:v>
      </x:c>
      <x:c r="E9" s="39" t="str">
        <x:v>CS、CR、TL、ADMIN</x:v>
      </x:c>
      <x:c r="F9" s="39" t="str">
        <x:v>SR/完工单、关联CALL、客户及签名状态</x:v>
      </x:c>
      <x:c r="G9" s="39" t="str">
        <x:v>分类、搜索、查看、关联跳转、发送和日志记录</x:v>
      </x:c>
      <x:c r="H9" s="39" t="str">
        <x:v>报告档案、发送记录和客户交付材料</x:v>
      </x:c>
      <x:c r="I9" s="39" t="str">
        <x:v>移动端现场执行</x:v>
      </x:c>
      <x:c r="J9" s="39" t="str">
        <x:v>客户沟通、统计与归档</x:v>
      </x:c>
      <x:c r="K9" s="41" t="str">
        <x:v>页面可演示；外部发送为流程演示</x:v>
      </x:c>
      <x:c r="L9" s="41" t="str">
        <x:v>P0/P1</x:v>
      </x:c>
      <x:c r="M9" s="39" t="str">
        <x:v>确认报告模板、发送渠道、回执和保留期限</x:v>
      </x:c>
    </x:row>
    <x:row r="10" ht="80" customHeight="1">
      <x:c r="A10" s="39" t="str">
        <x:v>M06</x:v>
      </x:c>
      <x:c r="B10" s="39" t="str">
        <x:v>报价管理</x:v>
      </x:c>
      <x:c r="C10" s="39" t="str">
        <x:v>处理服务产生的报价需求，维护明细、金额、版本和中单结果。</x:v>
      </x:c>
      <x:c r="D10" s="39" t="str">
        <x:v>报价列表、报价单、报价明细、状态更新</x:v>
      </x:c>
      <x:c r="E10" s="39" t="str">
        <x:v>QUO、CR、ADMIN、BOSS</x:v>
      </x:c>
      <x:c r="F10" s="39" t="str">
        <x:v>CALL/SR、客户、物料、成本参考和报价期限</x:v>
      </x:c>
      <x:c r="G10" s="39" t="str">
        <x:v>编制报价、金额计算、发出、修订和中单/丢单维护</x:v>
      </x:c>
      <x:c r="H10" s="39" t="str">
        <x:v>报价单、修订版本、中单结果和备货触发</x:v>
      </x:c>
      <x:c r="I10" s="39" t="str">
        <x:v>CALL、服务报告</x:v>
      </x:c>
      <x:c r="J10" s="39" t="str">
        <x:v>备货采购、统计、财务</x:v>
      </x:c>
      <x:c r="K10" s="41" t="str">
        <x:v>可演示</x:v>
      </x:c>
      <x:c r="L10" s="41" t="str">
        <x:v>P1/P2</x:v>
      </x:c>
      <x:c r="M10" s="39" t="str">
        <x:v>确认是否纳入一期、审批、版本和金额修改权限</x:v>
      </x:c>
    </x:row>
    <x:row r="11" ht="80" customHeight="1">
      <x:c r="A11" s="39" t="str">
        <x:v>M07</x:v>
      </x:c>
      <x:c r="B11" s="39" t="str">
        <x:v>标书管理</x:v>
      </x:c>
      <x:c r="C11" s="39" t="str">
        <x:v>跟踪招投标机会、截止时间、资料和中标结果。</x:v>
      </x:c>
      <x:c r="D11" s="39" t="str">
        <x:v>标书列表、标书表单、标书师傅排程</x:v>
      </x:c>
      <x:c r="E11" s="39" t="str">
        <x:v>TENDER、TL、ADMIN、BOSS</x:v>
      </x:c>
      <x:c r="F11" s="39" t="str">
        <x:v>招标文件、来源、截止日期、负责人和区域技能要求</x:v>
      </x:c>
      <x:c r="G11" s="39" t="str">
        <x:v>导入/新建、倒计时、状态维护、附件管理和可选排程</x:v>
      </x:c>
      <x:c r="H11" s="39" t="str">
        <x:v>投标记录、提醒、中标结果和排程</x:v>
      </x:c>
      <x:c r="I11" s="39" t="str">
        <x:v>客户或招标机会</x:v>
      </x:c>
      <x:c r="J11" s="39" t="str">
        <x:v>报价、师傅排程和统计</x:v>
      </x:c>
      <x:c r="K11" s="41" t="str">
        <x:v>可演示</x:v>
      </x:c>
      <x:c r="L11" s="41" t="str">
        <x:v>P1/P2</x:v>
      </x:c>
      <x:c r="M11" s="39" t="str">
        <x:v>确认阶段归属、逾期提醒、排程边界和负责人</x:v>
      </x:c>
    </x:row>
    <x:row r="12" ht="80" customHeight="1">
      <x:c r="A12" s="39" t="str">
        <x:v>M08</x:v>
      </x:c>
      <x:c r="B12" s="39" t="str">
        <x:v>备货与采购</x:v>
      </x:c>
      <x:c r="C12" s="39" t="str">
        <x:v>承接中单报价的备货与采购执行，跟踪到货和验收。</x:v>
      </x:c>
      <x:c r="D12" s="39" t="str">
        <x:v>备货单、采购单、供应商档案</x:v>
      </x:c>
      <x:c r="E12" s="39" t="str">
        <x:v>PUR、QUO、TL、ADMIN</x:v>
      </x:c>
      <x:c r="F12" s="39" t="str">
        <x:v>中单报价、物料明细、供应商和交付日期</x:v>
      </x:c>
      <x:c r="G12" s="39" t="str">
        <x:v>自动建立备货单，按供应商拆分采购单并更新状态</x:v>
      </x:c>
      <x:c r="H12" s="39" t="str">
        <x:v>备货/采购记录、到货验收和可选后续CALL</x:v>
      </x:c>
      <x:c r="I12" s="39" t="str">
        <x:v>报价管理</x:v>
      </x:c>
      <x:c r="J12" s="39" t="str">
        <x:v>安装CALL、财务和统计</x:v>
      </x:c>
      <x:c r="K12" s="41" t="str">
        <x:v>可演示；部分联动为流程演示</x:v>
      </x:c>
      <x:c r="L12" s="41" t="str">
        <x:v>P1/P2</x:v>
      </x:c>
      <x:c r="M12" s="39" t="str">
        <x:v>确认是否替代现有采购系统、状态和自动建CALL规则</x:v>
      </x:c>
    </x:row>
    <x:row r="13" ht="80" customHeight="1">
      <x:c r="A13" s="39" t="str">
        <x:v>M09</x:v>
      </x:c>
      <x:c r="B13" s="39" t="str">
        <x:v>会计与外部接口</x:v>
      </x:c>
      <x:c r="C13" s="39" t="str">
        <x:v>管理待开票、发票、收款、收据及Peachtree同步。</x:v>
      </x:c>
      <x:c r="D13" s="39" t="str">
        <x:v>待开票、发票、收款、会计客户、保养合约、接口配置</x:v>
      </x:c>
      <x:c r="E13" s="39" t="str">
        <x:v>FIN、ADMIN、IT</x:v>
      </x:c>
      <x:c r="F13" s="39" t="str">
        <x:v>客户账单资料、合约、开票项目、付款和接口参数</x:v>
      </x:c>
      <x:c r="G13" s="39" t="str">
        <x:v>生成待开票、批量开票、收款登记、打印和同步</x:v>
      </x:c>
      <x:c r="H13" s="39" t="str">
        <x:v>发票、收据、收款状态和同步日志</x:v>
      </x:c>
      <x:c r="I13" s="39" t="str">
        <x:v>报价/服务、保养合约</x:v>
      </x:c>
      <x:c r="J13" s="39" t="str">
        <x:v>财务系统与经营统计</x:v>
      </x:c>
      <x:c r="K13" s="41" t="str">
        <x:v>主要为流程演示</x:v>
      </x:c>
      <x:c r="L13" s="41" t="str">
        <x:v>P2</x:v>
      </x:c>
      <x:c r="M13" s="39" t="str">
        <x:v>确认财务边界、账期、编号、接口版本和同步方向</x:v>
      </x:c>
    </x:row>
    <x:row r="14" ht="80" customHeight="1">
      <x:c r="A14" s="39" t="str">
        <x:v>M10</x:v>
      </x:c>
      <x:c r="B14" s="39" t="str">
        <x:v>统计、客户和基础设置</x:v>
      </x:c>
      <x:c r="C14" s="39" t="str">
        <x:v>维护系统主数据、权限、字典和经营统计，为业务流程提供基础。</x:v>
      </x:c>
      <x:c r="D14" s="39" t="str">
        <x:v>统计报表、用户管理、客户管理、字典、Excel导入、存储设置、登录</x:v>
      </x:c>
      <x:c r="E14" s="39" t="str">
        <x:v>ADMIN、CS、CR、TL、BOSS、IT</x:v>
      </x:c>
      <x:c r="F14" s="39" t="str">
        <x:v>用户、角色、客户、地点、字典、历史数据和系统参数</x:v>
      </x:c>
      <x:c r="G14" s="39" t="str">
        <x:v>主数据维护、权限过滤、批量导入、存储配置和多维统计</x:v>
      </x:c>
      <x:c r="H14" s="39" t="str">
        <x:v>可用主数据、权限、统计结果和配置</x:v>
      </x:c>
      <x:c r="I14" s="39" t="str">
        <x:v>所有原始资料和业务数据</x:v>
      </x:c>
      <x:c r="J14" s="39" t="str">
        <x:v>全部业务模块</x:v>
      </x:c>
      <x:c r="K14" s="41" t="str">
        <x:v>可演示；导入与存储为流程演示</x:v>
      </x:c>
      <x:c r="L14" s="41" t="str">
        <x:v>P0/P1</x:v>
      </x:c>
      <x:c r="M14" s="39" t="str">
        <x:v>准备真实主数据并确认权限、导入、存储和统计口径</x:v>
      </x:c>
    </x:row>
    <x:row r="15" ht="80" customHeight="1">
      <x:c r="A15" s="39" t="str">
        <x:v>M11</x:v>
      </x:c>
      <x:c r="B15" s="39" t="str">
        <x:v>原需求补充与上线约束</x:v>
      </x:c>
      <x:c r="C15" s="39" t="str">
        <x:v>承接当前原型未完整覆盖的编号、豁免、提醒、工单池、报销和归档要求。</x:v>
      </x:c>
      <x:c r="D15" s="39" t="str">
        <x:v>编号规则、不可拍照豁免、SLA提醒、工单池、简版报销、分类映射、归档</x:v>
      </x:c>
      <x:c r="E15" s="39" t="str">
        <x:v>ADMIN、IT、CS、TL、MASTER、FIN</x:v>
      </x:c>
      <x:c r="F15" s="39" t="str">
        <x:v>历史需求、客户规则、SLA、分类和保留政策</x:v>
      </x:c>
      <x:c r="G15" s="39" t="str">
        <x:v>以跨模块规则补充当前页面和生产约束</x:v>
      </x:c>
      <x:c r="H15" s="39" t="str">
        <x:v>编号关系、豁免记录、提醒、报销和归档日志</x:v>
      </x:c>
      <x:c r="I15" s="39" t="str">
        <x:v>历史需求与客户确认</x:v>
      </x:c>
      <x:c r="J15" s="39" t="str">
        <x:v>CALL、移动端、财务、存储</x:v>
      </x:c>
      <x:c r="K15" s="41" t="str">
        <x:v>部分覆盖或未覆盖</x:v>
      </x:c>
      <x:c r="L15" s="41" t="str">
        <x:v>待评审</x:v>
      </x:c>
      <x:c r="M15" s="39" t="str">
        <x:v>逐项确认是否进入生产范围及验收方式</x:v>
      </x:c>
    </x:row>
  </x:sheetData>
  <x:conditionalFormatting sqref="K5:K15">
    <x:cfRule type="containsText" dxfId="0" priority="1" operator="containsText" text="可演示"/>
    <x:cfRule type="containsText" dxfId="1" priority="2" operator="containsText" text="流程演示"/>
    <x:cfRule type="containsText" dxfId="2" priority="3" operator="containsText" text="部分覆盖"/>
  </x:conditionalFormatting>
  <x:pageMargins left="0.7" right="0.7" top="0.75" bottom="0.75" header="0.3" footer="0.3"/>
  <x:tableParts count="1">
    <x:tablePart xmlns:r="http://schemas.openxmlformats.org/officeDocument/2006/relationships" r:id="Rc10bfbf9858c4fa6"/>
  </x:tableParts>
</x:worksheet>
</file>

<file path=xl/worksheets/sheet3.xml><?xml version="1.0" encoding="utf-8"?>
<x:worksheet xmlns:x="http://schemas.openxmlformats.org/spreadsheetml/2006/main">
  <x:sheetPr>
    <x:tabColor rgb="FF168678"/>
  </x:sheetPr>
  <x:sheetViews>
    <x:sheetView showGridLines="0" workbookViewId="0">
      <x:pane xSplit="4" ySplit="12" topLeftCell="E13" activePane="bottomRight" state="frozen"/>
    </x:sheetView>
  </x:sheetViews>
  <x:sheetFormatPr defaultRowHeight="15"/>
  <x:cols>
    <x:col min="1" max="1" width="11" hidden="0" customWidth="1"/>
    <x:col min="2" max="2" width="20" hidden="0" customWidth="1"/>
    <x:col min="3" max="3" width="20" hidden="0" customWidth="1"/>
    <x:col min="4" max="4" width="22" hidden="0" customWidth="1"/>
    <x:col min="5" max="5" width="28" hidden="0" customWidth="1"/>
    <x:col min="6" max="6" width="14" hidden="0" customWidth="1"/>
    <x:col min="7" max="7" width="18" hidden="0" customWidth="1"/>
    <x:col min="8" max="8" width="40" hidden="0" customWidth="1"/>
    <x:col min="9" max="9" width="28" hidden="0" customWidth="1"/>
    <x:col min="10" max="10" width="18" hidden="0" customWidth="1"/>
    <x:col min="11" max="11" width="20" hidden="0" customWidth="1"/>
    <x:col min="12" max="12" width="30" hidden="0" customWidth="1"/>
    <x:col min="13" max="13" width="38" hidden="0" customWidth="1"/>
    <x:col min="14" max="14" width="34" hidden="0" customWidth="1"/>
    <x:col min="15" max="15" width="18" hidden="0" customWidth="1"/>
    <x:col min="16" max="16" width="40" hidden="0" customWidth="1"/>
  </x:cols>
  <x:sheetData>
    <x:row r="2" ht="30" customHeight="1">
      <x:c r="A2" s="100" t="str">
        <x:v>EC工单系统业务流程架构</x:v>
      </x:c>
      <x:c r="B2" s="100"/>
      <x:c r="C2" s="100"/>
      <x:c r="D2" s="100"/>
      <x:c r="E2" s="100"/>
      <x:c r="F2" s="100"/>
      <x:c r="G2" s="100"/>
      <x:c r="H2" s="100"/>
      <x:c r="I2" s="100"/>
      <x:c r="J2" s="100"/>
      <x:c r="K2" s="100"/>
      <x:c r="L2" s="100"/>
      <x:c r="M2" s="100"/>
      <x:c r="N2" s="100"/>
      <x:c r="O2" s="100"/>
      <x:c r="P2" s="100"/>
    </x:row>
    <x:row r="3" ht="22" customHeight="1">
      <x:c r="A3" s="101" t="str">
        <x:v>流程口径：C01 为客户请求到报告归档的核心闭环；E 类为报价、标书和财务延伸流程；S 类为主数据、权限、通知与异常支撑流程。</x:v>
      </x:c>
      <x:c r="B3" s="101"/>
      <x:c r="C3" s="101"/>
      <x:c r="D3" s="101"/>
      <x:c r="E3" s="101"/>
      <x:c r="F3" s="101"/>
      <x:c r="G3" s="101"/>
      <x:c r="H3" s="101"/>
      <x:c r="I3" s="101"/>
      <x:c r="J3" s="101"/>
      <x:c r="K3" s="101"/>
      <x:c r="L3" s="101"/>
      <x:c r="M3" s="101"/>
      <x:c r="N3" s="101"/>
      <x:c r="O3" s="101"/>
      <x:c r="P3" s="101"/>
    </x:row>
    <x:row r="4" ht="38" customHeight="1">
      <x:c r="A4"/>
      <x:c r="B4"/>
      <x:c r="C4"/>
      <x:c r="D4"/>
      <x:c r="E4"/>
      <x:c r="F4"/>
      <x:c r="G4"/>
      <x:c r="H4"/>
      <x:c r="I4"/>
      <x:c r="J4"/>
      <x:c r="K4"/>
      <x:c r="L4"/>
      <x:c r="M4"/>
      <x:c r="N4"/>
      <x:c r="O4"/>
      <x:c r="P4"/>
    </x:row>
    <x:row r="5" ht="24" customHeight="1">
      <x:c r="A5" s="143" t="str">
        <x:v>工单核心主链（C01）</x:v>
      </x:c>
      <x:c r="B5" s="143" t="str"/>
      <x:c r="C5" s="143" t="str"/>
      <x:c r="D5" s="143" t="str"/>
      <x:c r="E5" s="143" t="str"/>
      <x:c r="F5" s="143" t="str"/>
      <x:c r="G5" s="143" t="str"/>
      <x:c r="H5" s="143" t="str"/>
      <x:c r="I5" s="143" t="str"/>
      <x:c r="J5" s="143" t="str"/>
      <x:c r="K5" s="143" t="str"/>
      <x:c r="L5" s="143" t="str"/>
      <x:c r="M5" s="143" t="str"/>
      <x:c r="N5" s="143" t="str"/>
      <x:c r="O5" s="143" t="str"/>
      <x:c r="P5" s="143" t="str"/>
    </x:row>
    <x:row r="6" ht="34" customHeight="1">
      <x:c r="A6" s="148" t="str">
        <x:v>1 客户请求</x:v>
      </x:c>
      <x:c r="B6" s="149" t="str">
        <x:v>→</x:v>
      </x:c>
      <x:c r="C6" s="148" t="str">
        <x:v>2 受理建单</x:v>
      </x:c>
      <x:c r="D6" s="149" t="str">
        <x:v>→</x:v>
      </x:c>
      <x:c r="E6" s="148" t="str">
        <x:v>3 分派接单</x:v>
      </x:c>
      <x:c r="F6" s="149" t="str">
        <x:v>→</x:v>
      </x:c>
      <x:c r="G6" s="148" t="str">
        <x:v>4 现场处理</x:v>
      </x:c>
      <x:c r="H6" s="149" t="str">
        <x:v>→</x:v>
      </x:c>
      <x:c r="I6" s="148" t="str">
        <x:v>5 客户确认</x:v>
      </x:c>
      <x:c r="J6" s="149" t="str">
        <x:v>→</x:v>
      </x:c>
      <x:c r="K6" s="148" t="str">
        <x:v>6 提交完工</x:v>
      </x:c>
      <x:c r="L6" s="149" t="str">
        <x:v>→</x:v>
      </x:c>
      <x:c r="M6" s="148" t="str">
        <x:v>7 报告交付</x:v>
      </x:c>
      <x:c r="N6" s="149" t="str">
        <x:v>→</x:v>
      </x:c>
      <x:c r="O6" s="148" t="str">
        <x:v>8 归档关闭</x:v>
      </x:c>
      <x:c r="P6" s="147" t="str"/>
    </x:row>
    <x:row r="7" ht="42" customHeight="1">
      <x:c r="A7" s="154" t="str">
        <x:v>来电／WhatsApp／邮件／现场</x:v>
      </x:c>
      <x:c r="B7" s="154" t="str"/>
      <x:c r="C7" s="154" t="str">
        <x:v>登记诉求并生成CALL</x:v>
      </x:c>
      <x:c r="D7" s="154" t="str"/>
      <x:c r="E7" s="154" t="str">
        <x:v>主管分派；师傅接单</x:v>
      </x:c>
      <x:c r="F7" s="154" t="str"/>
      <x:c r="G7" s="154" t="str">
        <x:v>签到、处理、照片与材料</x:v>
      </x:c>
      <x:c r="H7" s="154" t="str"/>
      <x:c r="I7" s="154" t="str">
        <x:v>满意度、签名或不在场</x:v>
      </x:c>
      <x:c r="J7" s="154" t="str"/>
      <x:c r="K7" s="154" t="str">
        <x:v>生成SR／完工单并完成CALL</x:v>
      </x:c>
      <x:c r="L7" s="154" t="str"/>
      <x:c r="M7" s="154" t="str">
        <x:v>发送客户并记录结果</x:v>
      </x:c>
      <x:c r="N7" s="154" t="str"/>
      <x:c r="O7" s="154" t="str">
        <x:v>保留报告、日志和附件</x:v>
      </x:c>
      <x:c r="P7" s="154" t="str"/>
    </x:row>
    <x:row r="8" ht="24" customHeight="1">
      <x:c r="A8" s="158" t="str">
        <x:v>分支及上下游联动</x:v>
      </x:c>
      <x:c r="B8" s="158" t="str"/>
      <x:c r="C8" s="158" t="str"/>
      <x:c r="D8" s="158" t="str"/>
      <x:c r="E8" s="158" t="str"/>
      <x:c r="F8" s="158" t="str"/>
      <x:c r="G8" s="158" t="str"/>
      <x:c r="H8" s="158" t="str"/>
      <x:c r="I8" s="158" t="str"/>
      <x:c r="J8" s="158" t="str"/>
      <x:c r="K8" s="158" t="str"/>
      <x:c r="L8" s="158" t="str"/>
      <x:c r="M8" s="158" t="str"/>
      <x:c r="N8" s="158" t="str"/>
      <x:c r="O8" s="158" t="str"/>
      <x:c r="P8" s="158" t="str"/>
    </x:row>
    <x:row r="9" ht="40" customHeight="1">
      <x:c r="A9" s="202" t="str">
        <x:v>异常回退</x:v>
      </x:c>
      <x:c r="B9" s="167" t="str">
        <x:v>直接关闭；拒单回待分派；超时升级</x:v>
      </x:c>
      <x:c r="C9" s="167" t="str"/>
      <x:c r="D9" s="168" t="str"/>
      <x:c r="E9" s="203" t="str">
        <x:v>报价采购</x:v>
      </x:c>
      <x:c r="F9" s="178" t="str">
        <x:v>需要报价→中单→备货采购→安装CALL回流</x:v>
      </x:c>
      <x:c r="G9" s="178" t="str"/>
      <x:c r="H9" s="179" t="str"/>
      <x:c r="I9" s="204" t="str">
        <x:v>独立业务</x:v>
      </x:c>
      <x:c r="J9" s="189" t="str">
        <x:v>标书跟进；合约开票；收款与接口同步</x:v>
      </x:c>
      <x:c r="K9" s="189" t="str"/>
      <x:c r="L9" s="190" t="str"/>
      <x:c r="M9" s="205" t="str">
        <x:v>基础支撑</x:v>
      </x:c>
      <x:c r="N9" s="200" t="str">
        <x:v>客户/地点/字典/权限/存储/SLA通知</x:v>
      </x:c>
      <x:c r="O9" s="200" t="str"/>
      <x:c r="P9" s="201" t="str"/>
    </x:row>
    <x:row r="10" ht="22" customHeight="1">
      <x:c r="A10" s="140" t="str">
        <x:v>评审建议：先确认 C01 主链与状态流转，再确认异常回退，最后确认 E/S 类流程是否进入本期范围及其系统边界。</x:v>
      </x:c>
      <x:c r="B10" s="140"/>
      <x:c r="C10" s="140"/>
      <x:c r="D10" s="140"/>
      <x:c r="E10" s="140"/>
      <x:c r="F10" s="140"/>
      <x:c r="G10" s="140"/>
      <x:c r="H10" s="140"/>
      <x:c r="I10" s="140"/>
      <x:c r="J10" s="140"/>
      <x:c r="K10" s="140"/>
      <x:c r="L10" s="140"/>
      <x:c r="M10" s="140"/>
      <x:c r="N10" s="140"/>
      <x:c r="O10" s="140"/>
      <x:c r="P10" s="140"/>
    </x:row>
    <x:row r="11" ht="72" customHeight="1">
      <x:c r="A11"/>
      <x:c r="B11"/>
      <x:c r="C11"/>
      <x:c r="D11"/>
      <x:c r="E11"/>
      <x:c r="F11"/>
      <x:c r="G11"/>
      <x:c r="H11"/>
      <x:c r="I11"/>
      <x:c r="J11"/>
      <x:c r="K11"/>
      <x:c r="L11"/>
      <x:c r="M11"/>
      <x:c r="N11"/>
      <x:c r="O11"/>
      <x:c r="P11"/>
    </x:row>
    <x:row r="12" ht="38" customHeight="1">
      <x:c r="A12" s="216" t="str">
        <x:v>流程层级</x:v>
      </x:c>
      <x:c r="B12" s="217" t="str">
        <x:v>流程编号／名称</x:v>
      </x:c>
      <x:c r="C12" s="217" t="str">
        <x:v>主流程环节</x:v>
      </x:c>
      <x:c r="D12" s="217" t="str">
        <x:v>步骤／业务节点</x:v>
      </x:c>
      <x:c r="E12" s="217" t="str">
        <x:v>触发条件</x:v>
      </x:c>
      <x:c r="F12" s="217" t="str">
        <x:v>主责角色</x:v>
      </x:c>
      <x:c r="G12" s="217" t="str">
        <x:v>参与角色</x:v>
      </x:c>
      <x:c r="H12" s="217" t="str">
        <x:v>业务动作</x:v>
      </x:c>
      <x:c r="I12" s="217" t="str">
        <x:v>页面／表单</x:v>
      </x:c>
      <x:c r="J12" s="217" t="str">
        <x:v>前置状态</x:v>
      </x:c>
      <x:c r="K12" s="217" t="str">
        <x:v>后置状态</x:v>
      </x:c>
      <x:c r="L12" s="217" t="str">
        <x:v>关键产出／通知</x:v>
      </x:c>
      <x:c r="M12" s="217" t="str">
        <x:v>业务规则</x:v>
      </x:c>
      <x:c r="N12" s="217" t="str">
        <x:v>异常／回退</x:v>
      </x:c>
      <x:c r="O12" s="217" t="str">
        <x:v>关联需求</x:v>
      </x:c>
      <x:c r="P12" s="218" t="str">
        <x:v>客户确认点</x:v>
      </x:c>
    </x:row>
    <x:row r="13" ht="62" customHeight="1">
      <x:c r="A13" s="251" t="str">
        <x:v>核心闭环</x:v>
      </x:c>
      <x:c r="B13" s="239" t="str">
        <x:v>C01
工单服务核心闭环</x:v>
      </x:c>
      <x:c r="C13" s="239" t="str">
        <x:v>1 受理建单</x:v>
      </x:c>
      <x:c r="D13" s="240" t="str">
        <x:v>C01-01｜接收请求</x:v>
      </x:c>
      <x:c r="E13" s="241" t="str">
        <x:v>客户来电、WhatsApp、邮件或现场沟通</x:v>
      </x:c>
      <x:c r="F13" s="255" t="str">
        <x:v>CS</x:v>
      </x:c>
      <x:c r="G13" s="255" t="str">
        <x:v>—</x:v>
      </x:c>
      <x:c r="H13" s="223" t="str">
        <x:v>登记客户诉求、联系人和来源渠道</x:v>
      </x:c>
      <x:c r="I13" s="223" t="str">
        <x:v>CALL受理记录</x:v>
      </x:c>
      <x:c r="J13" s="223" t="str">
        <x:v>无</x:v>
      </x:c>
      <x:c r="K13" s="223" t="str">
        <x:v>受理中</x:v>
      </x:c>
      <x:c r="L13" s="223" t="str">
        <x:v>来电/消息记录</x:v>
      </x:c>
      <x:c r="M13" s="223" t="str">
        <x:v>人工记录，不包含自动抓取</x:v>
      </x:c>
      <x:c r="N13" s="223" t="str">
        <x:v>—</x:v>
      </x:c>
      <x:c r="O13" s="223" t="str">
        <x:v>F006、F008</x:v>
      </x:c>
      <x:c r="P13" s="223" t="str">
        <x:v>联系人未知时需先补客户资料</x:v>
      </x:c>
    </x:row>
    <x:row r="14" ht="62" customHeight="1">
      <x:c r="A14" s="251" t="str">
        <x:v>核心闭环</x:v>
      </x:c>
      <x:c r="B14" s="239" t="str">
        <x:v>C01
工单服务核心闭环</x:v>
      </x:c>
      <x:c r="C14" s="239" t="str">
        <x:v>1 受理建单</x:v>
      </x:c>
      <x:c r="D14" s="240" t="str">
        <x:v>C01-02｜受理判断</x:v>
      </x:c>
      <x:c r="E14" s="241" t="str">
        <x:v>已登记客户诉求</x:v>
      </x:c>
      <x:c r="F14" s="255" t="str">
        <x:v>CS</x:v>
      </x:c>
      <x:c r="G14" s="255" t="str">
        <x:v>—</x:v>
      </x:c>
      <x:c r="H14" s="223" t="str">
        <x:v>判断仅答疑、创建CALL或取消</x:v>
      </x:c>
      <x:c r="I14" s="223" t="str">
        <x:v>CALL受理记录</x:v>
      </x:c>
      <x:c r="J14" s="223" t="str">
        <x:v>受理中</x:v>
      </x:c>
      <x:c r="K14" s="223" t="str">
        <x:v>已答疑/进入建单/已取消</x:v>
      </x:c>
      <x:c r="L14" s="223" t="str">
        <x:v>处理结论</x:v>
      </x:c>
      <x:c r="M14" s="223" t="str">
        <x:v>仅答疑不生成CALL；取消需记录原因</x:v>
      </x:c>
      <x:c r="N14" s="223" t="str">
        <x:v>—</x:v>
      </x:c>
      <x:c r="O14" s="223" t="str">
        <x:v>F006、F012</x:v>
      </x:c>
      <x:c r="P14" s="223" t="str">
        <x:v>仅答疑是否需要保留独立编号待确认</x:v>
      </x:c>
    </x:row>
    <x:row r="15" ht="62" customHeight="1">
      <x:c r="A15" s="251" t="str">
        <x:v>核心闭环</x:v>
      </x:c>
      <x:c r="B15" s="239" t="str">
        <x:v>C01
工单服务核心闭环</x:v>
      </x:c>
      <x:c r="C15" s="239" t="str">
        <x:v>1 受理建单</x:v>
      </x:c>
      <x:c r="D15" s="240" t="str">
        <x:v>C01-03｜填写CALL</x:v>
      </x:c>
      <x:c r="E15" s="241" t="str">
        <x:v>选择创建CALL</x:v>
      </x:c>
      <x:c r="F15" s="255" t="str">
        <x:v>CS</x:v>
      </x:c>
      <x:c r="G15" s="255" t="str">
        <x:v>CR</x:v>
      </x:c>
      <x:c r="H15" s="223" t="str">
        <x:v>选择客户、地点、类型并填写问题和附件</x:v>
      </x:c>
      <x:c r="I15" s="223" t="str">
        <x:v>新建/编辑CALL</x:v>
      </x:c>
      <x:c r="J15" s="223" t="str">
        <x:v>草稿</x:v>
      </x:c>
      <x:c r="K15" s="223" t="str">
        <x:v>草稿</x:v>
      </x:c>
      <x:c r="L15" s="223" t="str">
        <x:v>完整CALL资料</x:v>
      </x:c>
      <x:c r="M15" s="223" t="str">
        <x:v>客户与地点可从主数据带入</x:v>
      </x:c>
      <x:c r="N15" s="223" t="str">
        <x:v>—</x:v>
      </x:c>
      <x:c r="O15" s="223" t="str">
        <x:v>F007-F009、F073</x:v>
      </x:c>
      <x:c r="P15" s="223" t="str">
        <x:v>政府前缀和必填项待确认</x:v>
      </x:c>
    </x:row>
    <x:row r="16" ht="62" customHeight="1">
      <x:c r="A16" s="251" t="str">
        <x:v>核心闭环</x:v>
      </x:c>
      <x:c r="B16" s="239" t="str">
        <x:v>C01
工单服务核心闭环</x:v>
      </x:c>
      <x:c r="C16" s="239" t="str">
        <x:v>1 受理建单</x:v>
      </x:c>
      <x:c r="D16" s="240" t="str">
        <x:v>C01-04｜提交建单</x:v>
      </x:c>
      <x:c r="E16" s="241" t="str">
        <x:v>必填校验通过</x:v>
      </x:c>
      <x:c r="F16" s="255" t="str">
        <x:v>CS</x:v>
      </x:c>
      <x:c r="G16" s="255" t="str">
        <x:v>CR</x:v>
      </x:c>
      <x:c r="H16" s="223" t="str">
        <x:v>提交CALL并写入操作时间线</x:v>
      </x:c>
      <x:c r="I16" s="223" t="str">
        <x:v>新建/编辑CALL</x:v>
      </x:c>
      <x:c r="J16" s="223" t="str">
        <x:v>草稿</x:v>
      </x:c>
      <x:c r="K16" s="223" t="str">
        <x:v>待分派</x:v>
      </x:c>
      <x:c r="L16" s="223" t="str">
        <x:v>CALL及待分派任务</x:v>
      </x:c>
      <x:c r="M16" s="223" t="str">
        <x:v>CALL编号与任务编号独立</x:v>
      </x:c>
      <x:c r="N16" s="223" t="str">
        <x:v>—</x:v>
      </x:c>
      <x:c r="O16" s="223" t="str">
        <x:v>F007、F013、F079</x:v>
      </x:c>
      <x:c r="P16" s="223" t="str">
        <x:v>业务时区与并发防重需生产验证</x:v>
      </x:c>
    </x:row>
    <x:row r="17" ht="62" customHeight="1">
      <x:c r="A17" s="251" t="str">
        <x:v>核心闭环</x:v>
      </x:c>
      <x:c r="B17" s="239" t="str">
        <x:v>C01
工单服务核心闭环</x:v>
      </x:c>
      <x:c r="C17" s="239" t="str">
        <x:v>1 受理建单</x:v>
      </x:c>
      <x:c r="D17" s="240" t="str">
        <x:v>C01-05｜直接完成/取消</x:v>
      </x:c>
      <x:c r="E17" s="241" t="str">
        <x:v>无需派工或无效、重复、客户取消</x:v>
      </x:c>
      <x:c r="F17" s="255" t="str">
        <x:v>CS</x:v>
      </x:c>
      <x:c r="G17" s="255" t="str">
        <x:v>TL、ADMIN</x:v>
      </x:c>
      <x:c r="H17" s="223" t="str">
        <x:v>填写原因后直接完成或取消</x:v>
      </x:c>
      <x:c r="I17" s="223" t="str">
        <x:v>CALL详情</x:v>
      </x:c>
      <x:c r="J17" s="223" t="str">
        <x:v>受理中/待分派</x:v>
      </x:c>
      <x:c r="K17" s="223" t="str">
        <x:v>已完成/已取消</x:v>
      </x:c>
      <x:c r="L17" s="223" t="str">
        <x:v>关闭记录和时间线</x:v>
      </x:c>
      <x:c r="M17" s="223" t="str">
        <x:v>按角色显示操作入口</x:v>
      </x:c>
      <x:c r="N17" s="223" t="str">
        <x:v>结束主流程；不再进入分派</x:v>
      </x:c>
      <x:c r="O17" s="223" t="str">
        <x:v>F012</x:v>
      </x:c>
      <x:c r="P17" s="223" t="str">
        <x:v>是否需要审批及可撤回规则待确认</x:v>
      </x:c>
    </x:row>
    <x:row r="18" ht="62" customHeight="1">
      <x:c r="A18" s="251" t="str">
        <x:v>核心闭环</x:v>
      </x:c>
      <x:c r="B18" s="239" t="str">
        <x:v>C01
工单服务核心闭环</x:v>
      </x:c>
      <x:c r="C18" s="239" t="str">
        <x:v>2 分派接单</x:v>
      </x:c>
      <x:c r="D18" s="240" t="str">
        <x:v>C01-06｜查看待分派</x:v>
      </x:c>
      <x:c r="E18" s="241" t="str">
        <x:v>CALL进入待分派</x:v>
      </x:c>
      <x:c r="F18" s="255" t="str">
        <x:v>TL</x:v>
      </x:c>
      <x:c r="G18" s="255" t="str">
        <x:v>区域CR、ADMIN</x:v>
      </x:c>
      <x:c r="H18" s="223" t="str">
        <x:v>查看任务、客户、区域和当前指标</x:v>
      </x:c>
      <x:c r="I18" s="223" t="str">
        <x:v>分派中心</x:v>
      </x:c>
      <x:c r="J18" s="223" t="str">
        <x:v>待分派</x:v>
      </x:c>
      <x:c r="K18" s="223" t="str">
        <x:v>待分派</x:v>
      </x:c>
      <x:c r="L18" s="223" t="str">
        <x:v>候选任务</x:v>
      </x:c>
      <x:c r="M18" s="223" t="str">
        <x:v>权限按区域/团队过滤</x:v>
      </x:c>
      <x:c r="N18" s="223" t="str">
        <x:v>—</x:v>
      </x:c>
      <x:c r="O18" s="223" t="str">
        <x:v>F014、F015、F020</x:v>
      </x:c>
      <x:c r="P18" s="223" t="str">
        <x:v>正式权限矩阵待确认</x:v>
      </x:c>
    </x:row>
    <x:row r="19" ht="62" customHeight="1">
      <x:c r="A19" s="251" t="str">
        <x:v>核心闭环</x:v>
      </x:c>
      <x:c r="B19" s="239" t="str">
        <x:v>C01
工单服务核心闭环</x:v>
      </x:c>
      <x:c r="C19" s="239" t="str">
        <x:v>2 分派接单</x:v>
      </x:c>
      <x:c r="D19" s="240" t="str">
        <x:v>C01-07｜筛选候选师傅</x:v>
      </x:c>
      <x:c r="E19" s="241" t="str">
        <x:v>选择待分派任务</x:v>
      </x:c>
      <x:c r="F19" s="255" t="str">
        <x:v>TL</x:v>
      </x:c>
      <x:c r="G19" s="255" t="str">
        <x:v>CR</x:v>
      </x:c>
      <x:c r="H19" s="223" t="str">
        <x:v>查看系统推荐并按技能人工筛选</x:v>
      </x:c>
      <x:c r="I19" s="223" t="str">
        <x:v>分派弹窗</x:v>
      </x:c>
      <x:c r="J19" s="223" t="str">
        <x:v>待分派</x:v>
      </x:c>
      <x:c r="K19" s="223" t="str">
        <x:v>待分派</x:v>
      </x:c>
      <x:c r="L19" s="223" t="str">
        <x:v>候选师傅清单</x:v>
      </x:c>
      <x:c r="M19" s="223" t="str">
        <x:v>仅同区域、可接单、最低负载用于推荐；技能不自动排序</x:v>
      </x:c>
      <x:c r="N19" s="223" t="str">
        <x:v>—</x:v>
      </x:c>
      <x:c r="O19" s="223" t="str">
        <x:v>F016-F018</x:v>
      </x:c>
      <x:c r="P19" s="223" t="str">
        <x:v>请假来源和忙碌阈值待确认</x:v>
      </x:c>
    </x:row>
    <x:row r="20" ht="62" customHeight="1">
      <x:c r="A20" s="251" t="str">
        <x:v>核心闭环</x:v>
      </x:c>
      <x:c r="B20" s="239" t="str">
        <x:v>C01
工单服务核心闭环</x:v>
      </x:c>
      <x:c r="C20" s="239" t="str">
        <x:v>2 分派接单</x:v>
      </x:c>
      <x:c r="D20" s="240" t="str">
        <x:v>C01-08｜确认分派</x:v>
      </x:c>
      <x:c r="E20" s="241" t="str">
        <x:v>已选择师傅</x:v>
      </x:c>
      <x:c r="F20" s="255" t="str">
        <x:v>TL</x:v>
      </x:c>
      <x:c r="G20" s="255" t="str">
        <x:v>CR</x:v>
      </x:c>
      <x:c r="H20" s="223" t="str">
        <x:v>填写派工备注并确认分派</x:v>
      </x:c>
      <x:c r="I20" s="223" t="str">
        <x:v>分派弹窗</x:v>
      </x:c>
      <x:c r="J20" s="223" t="str">
        <x:v>待分派/待确认/待处理/处理中</x:v>
      </x:c>
      <x:c r="K20" s="223" t="str">
        <x:v>待确认</x:v>
      </x:c>
      <x:c r="L20" s="223" t="str">
        <x:v>分派日志及师傅通知</x:v>
      </x:c>
      <x:c r="M20" s="223" t="str">
        <x:v>系统自动判定SR或完工单；改派保留原记录</x:v>
      </x:c>
      <x:c r="N20" s="223" t="str">
        <x:v>—</x:v>
      </x:c>
      <x:c r="O20" s="223" t="str">
        <x:v>F019-F021</x:v>
      </x:c>
      <x:c r="P20" s="223" t="str">
        <x:v>CR能否直接分派待确认</x:v>
      </x:c>
    </x:row>
    <x:row r="21" ht="62" customHeight="1">
      <x:c r="A21" s="251" t="str">
        <x:v>核心闭环</x:v>
      </x:c>
      <x:c r="B21" s="239" t="str">
        <x:v>C01
工单服务核心闭环</x:v>
      </x:c>
      <x:c r="C21" s="239" t="str">
        <x:v>2 分派接单</x:v>
      </x:c>
      <x:c r="D21" s="240" t="str">
        <x:v>C01-09｜师傅接单</x:v>
      </x:c>
      <x:c r="E21" s="241" t="str">
        <x:v>收到分派通知</x:v>
      </x:c>
      <x:c r="F21" s="255" t="str">
        <x:v>MASTER</x:v>
      </x:c>
      <x:c r="G21" s="255" t="str">
        <x:v>—</x:v>
      </x:c>
      <x:c r="H21" s="223" t="str">
        <x:v>确认收到任务</x:v>
      </x:c>
      <x:c r="I21" s="223" t="str">
        <x:v>师傅CALL详情</x:v>
      </x:c>
      <x:c r="J21" s="223" t="str">
        <x:v>待确认</x:v>
      </x:c>
      <x:c r="K21" s="223" t="str">
        <x:v>待处理</x:v>
      </x:c>
      <x:c r="L21" s="223" t="str">
        <x:v>接单记录</x:v>
      </x:c>
      <x:c r="M21" s="223" t="str">
        <x:v>仅本人任务可操作</x:v>
      </x:c>
      <x:c r="N21" s="223" t="str">
        <x:v>—</x:v>
      </x:c>
      <x:c r="O21" s="223" t="str">
        <x:v>F022、F026</x:v>
      </x:c>
      <x:c r="P21" s="223" t="str">
        <x:v>预计到场是否强制待确认</x:v>
      </x:c>
    </x:row>
    <x:row r="22" ht="62" customHeight="1">
      <x:c r="A22" s="251" t="str">
        <x:v>核心闭环</x:v>
      </x:c>
      <x:c r="B22" s="239" t="str">
        <x:v>C01
工单服务核心闭环</x:v>
      </x:c>
      <x:c r="C22" s="239" t="str">
        <x:v>2 分派接单</x:v>
      </x:c>
      <x:c r="D22" s="240" t="str">
        <x:v>C01-10｜师傅拒单</x:v>
      </x:c>
      <x:c r="E22" s="241" t="str">
        <x:v>无法接单</x:v>
      </x:c>
      <x:c r="F22" s="255" t="str">
        <x:v>MASTER</x:v>
      </x:c>
      <x:c r="G22" s="255" t="str">
        <x:v>—</x:v>
      </x:c>
      <x:c r="H22" s="223" t="str">
        <x:v>选择拒单并填写原因</x:v>
      </x:c>
      <x:c r="I22" s="223" t="str">
        <x:v>师傅CALL详情</x:v>
      </x:c>
      <x:c r="J22" s="223" t="str">
        <x:v>待确认</x:v>
      </x:c>
      <x:c r="K22" s="223" t="str">
        <x:v>待分派</x:v>
      </x:c>
      <x:c r="L22" s="223" t="str">
        <x:v>拒单记录及主管通知</x:v>
      </x:c>
      <x:c r="M22" s="223" t="str">
        <x:v>拒单原因必填</x:v>
      </x:c>
      <x:c r="N22" s="223" t="str">
        <x:v>退回“待分派”，保留拒单原因并重新选择师傅</x:v>
      </x:c>
      <x:c r="O22" s="223" t="str">
        <x:v>F022、F075</x:v>
      </x:c>
      <x:c r="P22" s="223" t="str">
        <x:v>拒单次数和升级策略待确认</x:v>
      </x:c>
    </x:row>
    <x:row r="23" ht="62" customHeight="1">
      <x:c r="A23" s="251" t="str">
        <x:v>核心闭环</x:v>
      </x:c>
      <x:c r="B23" s="239" t="str">
        <x:v>C01
工单服务核心闭环</x:v>
      </x:c>
      <x:c r="C23" s="239" t="str">
        <x:v>2 分派接单</x:v>
      </x:c>
      <x:c r="D23" s="240" t="str">
        <x:v>C01-11｜工单池申请</x:v>
      </x:c>
      <x:c r="E23" s="241" t="str">
        <x:v>任务开放到工单池</x:v>
      </x:c>
      <x:c r="F23" s="255" t="str">
        <x:v>MASTER</x:v>
      </x:c>
      <x:c r="G23" s="255" t="str">
        <x:v>TL</x:v>
      </x:c>
      <x:c r="H23" s="223" t="str">
        <x:v>师傅申请接单，主管通过或拒绝</x:v>
      </x:c>
      <x:c r="I23" s="223" t="str">
        <x:v>工单池/分派申请审批</x:v>
      </x:c>
      <x:c r="J23" s="223" t="str">
        <x:v>待分派</x:v>
      </x:c>
      <x:c r="K23" s="223" t="str">
        <x:v>待审批→待确认/待分派</x:v>
      </x:c>
      <x:c r="L23" s="223" t="str">
        <x:v>审批记录和分派结果</x:v>
      </x:c>
      <x:c r="M23" s="223" t="str">
        <x:v>审批通过后分派给申请师傅</x:v>
      </x:c>
      <x:c r="N23" s="223" t="str">
        <x:v>审批拒绝回待分派；审批通过进入待确认</x:v>
      </x:c>
      <x:c r="O23" s="223" t="str">
        <x:v>F023、F076</x:v>
      </x:c>
      <x:c r="P23" s="223" t="str">
        <x:v>是否启用工单池待确认</x:v>
      </x:c>
    </x:row>
    <x:row r="24" ht="62" customHeight="1">
      <x:c r="A24" s="251" t="str">
        <x:v>核心闭环</x:v>
      </x:c>
      <x:c r="B24" s="239" t="str">
        <x:v>C01
工单服务核心闭环</x:v>
      </x:c>
      <x:c r="C24" s="239" t="str">
        <x:v>3 现场执行</x:v>
      </x:c>
      <x:c r="D24" s="240" t="str">
        <x:v>C01-12｜查看任务</x:v>
      </x:c>
      <x:c r="E24" s="241" t="str">
        <x:v>师傅已接单</x:v>
      </x:c>
      <x:c r="F24" s="255" t="str">
        <x:v>MASTER</x:v>
      </x:c>
      <x:c r="G24" s="255" t="str">
        <x:v>—</x:v>
      </x:c>
      <x:c r="H24" s="223" t="str">
        <x:v>查看客户、地点、问题和附件</x:v>
      </x:c>
      <x:c r="I24" s="223" t="str">
        <x:v>师傅首页/CALL详情</x:v>
      </x:c>
      <x:c r="J24" s="223" t="str">
        <x:v>待处理</x:v>
      </x:c>
      <x:c r="K24" s="223" t="str">
        <x:v>待处理</x:v>
      </x:c>
      <x:c r="L24" s="223" t="str">
        <x:v>现场任务资料</x:v>
      </x:c>
      <x:c r="M24" s="223" t="str">
        <x:v>仅展示本人授权任务</x:v>
      </x:c>
      <x:c r="N24" s="223" t="str">
        <x:v>—</x:v>
      </x:c>
      <x:c r="O24" s="223" t="str">
        <x:v>F024-F026</x:v>
      </x:c>
      <x:c r="P24" s="223" t="str">
        <x:v>紧急和催单排序规则待确认</x:v>
      </x:c>
    </x:row>
    <x:row r="25" ht="62" customHeight="1">
      <x:c r="A25" s="251" t="str">
        <x:v>核心闭环</x:v>
      </x:c>
      <x:c r="B25" s="239" t="str">
        <x:v>C01
工单服务核心闭环</x:v>
      </x:c>
      <x:c r="C25" s="239" t="str">
        <x:v>3 现场执行</x:v>
      </x:c>
      <x:c r="D25" s="240" t="str">
        <x:v>C01-13｜现场签到</x:v>
      </x:c>
      <x:c r="E25" s="241" t="str">
        <x:v>到达现场</x:v>
      </x:c>
      <x:c r="F25" s="255" t="str">
        <x:v>MASTER</x:v>
      </x:c>
      <x:c r="G25" s="255" t="str">
        <x:v>—</x:v>
      </x:c>
      <x:c r="H25" s="223" t="str">
        <x:v>点击签到并记录时间和位置说明</x:v>
      </x:c>
      <x:c r="I25" s="223" t="str">
        <x:v>现场处理</x:v>
      </x:c>
      <x:c r="J25" s="223" t="str">
        <x:v>待处理</x:v>
      </x:c>
      <x:c r="K25" s="223" t="str">
        <x:v>处理中</x:v>
      </x:c>
      <x:c r="L25" s="223" t="str">
        <x:v>签到记录</x:v>
      </x:c>
      <x:c r="M25" s="223" t="str">
        <x:v>签到后才能开始处理</x:v>
      </x:c>
      <x:c r="N25" s="223" t="str">
        <x:v>—</x:v>
      </x:c>
      <x:c r="O25" s="223" t="str">
        <x:v>F026、F029</x:v>
      </x:c>
      <x:c r="P25" s="223" t="str">
        <x:v>真实定位与围栏需真机POC</x:v>
      </x:c>
    </x:row>
    <x:row r="26" ht="62" customHeight="1">
      <x:c r="A26" s="251" t="str">
        <x:v>核心闭环</x:v>
      </x:c>
      <x:c r="B26" s="239" t="str">
        <x:v>C01
工单服务核心闭环</x:v>
      </x:c>
      <x:c r="C26" s="239" t="str">
        <x:v>3 现场执行</x:v>
      </x:c>
      <x:c r="D26" s="240" t="str">
        <x:v>C01-14｜记录处理</x:v>
      </x:c>
      <x:c r="E26" s="241" t="str">
        <x:v>签到完成</x:v>
      </x:c>
      <x:c r="F26" s="255" t="str">
        <x:v>MASTER</x:v>
      </x:c>
      <x:c r="G26" s="255" t="str">
        <x:v>—</x:v>
      </x:c>
      <x:c r="H26" s="223" t="str">
        <x:v>填写处理内容，上传Before/After照片及附件</x:v>
      </x:c>
      <x:c r="I26" s="223" t="str">
        <x:v>现场处理/服务报告</x:v>
      </x:c>
      <x:c r="J26" s="223" t="str">
        <x:v>处理中</x:v>
      </x:c>
      <x:c r="K26" s="223" t="str">
        <x:v>处理中</x:v>
      </x:c>
      <x:c r="L26" s="223" t="str">
        <x:v>现场处理记录</x:v>
      </x:c>
      <x:c r="M26" s="223" t="str">
        <x:v>照片即时保存；不可拍照客户按豁免规则处理</x:v>
      </x:c>
      <x:c r="N26" s="223" t="str">
        <x:v>—</x:v>
      </x:c>
      <x:c r="O26" s="223" t="str">
        <x:v>F027-F030、F074</x:v>
      </x:c>
      <x:c r="P26" s="223" t="str">
        <x:v>照片数量、大小和保留期待确认</x:v>
      </x:c>
    </x:row>
    <x:row r="27" ht="62" customHeight="1">
      <x:c r="A27" s="251" t="str">
        <x:v>核心闭环</x:v>
      </x:c>
      <x:c r="B27" s="239" t="str">
        <x:v>C01
工单服务核心闭环</x:v>
      </x:c>
      <x:c r="C27" s="239" t="str">
        <x:v>3 现场执行</x:v>
      </x:c>
      <x:c r="D27" s="240" t="str">
        <x:v>C01-15｜填写报告</x:v>
      </x:c>
      <x:c r="E27" s="241" t="str">
        <x:v>现场处理完成</x:v>
      </x:c>
      <x:c r="F27" s="255" t="str">
        <x:v>MASTER</x:v>
      </x:c>
      <x:c r="G27" s="255" t="str">
        <x:v>—</x:v>
      </x:c>
      <x:c r="H27" s="223" t="str">
        <x:v>填写SR或完工单，选择是否需要报价</x:v>
      </x:c>
      <x:c r="I27" s="223" t="str">
        <x:v>服务报告/完工单</x:v>
      </x:c>
      <x:c r="J27" s="223" t="str">
        <x:v>处理中</x:v>
      </x:c>
      <x:c r="K27" s="223" t="str">
        <x:v>处理中</x:v>
      </x:c>
      <x:c r="L27" s="223" t="str">
        <x:v>待提交报告</x:v>
      </x:c>
      <x:c r="M27" s="223" t="str">
        <x:v>单据类型由系统按物料/采购/报价关联判定</x:v>
      </x:c>
      <x:c r="N27" s="223" t="str">
        <x:v>—</x:v>
      </x:c>
      <x:c r="O27" s="223" t="str">
        <x:v>F027、F028、F030、F032</x:v>
      </x:c>
      <x:c r="P27" s="223" t="str">
        <x:v>SR编号、完工单模板和OCR方案待确认</x:v>
      </x:c>
    </x:row>
    <x:row r="28" ht="62" customHeight="1">
      <x:c r="A28" s="251" t="str">
        <x:v>核心闭环</x:v>
      </x:c>
      <x:c r="B28" s="239" t="str">
        <x:v>C01
工单服务核心闭环</x:v>
      </x:c>
      <x:c r="C28" s="239" t="str">
        <x:v>3 现场执行</x:v>
      </x:c>
      <x:c r="D28" s="240" t="str">
        <x:v>C01-16｜客户确认</x:v>
      </x:c>
      <x:c r="E28" s="241" t="str">
        <x:v>需要客户确认</x:v>
      </x:c>
      <x:c r="F28" s="255" t="str">
        <x:v>MASTER</x:v>
      </x:c>
      <x:c r="G28" s="255" t="str">
        <x:v>客户</x:v>
      </x:c>
      <x:c r="H28" s="223" t="str">
        <x:v>记录满意度和签名，或标记客户不在场</x:v>
      </x:c>
      <x:c r="I28" s="223" t="str">
        <x:v>完工单与客户确认</x:v>
      </x:c>
      <x:c r="J28" s="223" t="str">
        <x:v>处理中</x:v>
      </x:c>
      <x:c r="K28" s="223" t="str">
        <x:v>处理中</x:v>
      </x:c>
      <x:c r="L28" s="223" t="str">
        <x:v>客户确认记录</x:v>
      </x:c>
      <x:c r="M28" s="223" t="str">
        <x:v>签名与不在场二选一</x:v>
      </x:c>
      <x:c r="N28" s="223" t="str">
        <x:v>客户不在场时记录原因；是否允许完工须确认</x:v>
      </x:c>
      <x:c r="O28" s="223" t="str">
        <x:v>F031</x:v>
      </x:c>
      <x:c r="P28" s="223" t="str">
        <x:v>签名正本和法律效力待确认</x:v>
      </x:c>
    </x:row>
    <x:row r="29" ht="62" customHeight="1">
      <x:c r="A29" s="251" t="str">
        <x:v>核心闭环</x:v>
      </x:c>
      <x:c r="B29" s="239" t="str">
        <x:v>C01
工单服务核心闭环</x:v>
      </x:c>
      <x:c r="C29" s="239" t="str">
        <x:v>3 现场执行</x:v>
      </x:c>
      <x:c r="D29" s="240" t="str">
        <x:v>C01-17｜提交完工</x:v>
      </x:c>
      <x:c r="E29" s="241" t="str">
        <x:v>必填项通过</x:v>
      </x:c>
      <x:c r="F29" s="255" t="str">
        <x:v>MASTER</x:v>
      </x:c>
      <x:c r="G29" s="255" t="str">
        <x:v>—</x:v>
      </x:c>
      <x:c r="H29" s="223" t="str">
        <x:v>提交服务报告或完工单并完成CALL</x:v>
      </x:c>
      <x:c r="I29" s="223" t="str">
        <x:v>现场处理/完工单</x:v>
      </x:c>
      <x:c r="J29" s="223" t="str">
        <x:v>处理中</x:v>
      </x:c>
      <x:c r="K29" s="223" t="str">
        <x:v>已完成</x:v>
      </x:c>
      <x:c r="L29" s="223" t="str">
        <x:v>报告、通知及可选报价请求</x:v>
      </x:c>
      <x:c r="M29" s="223" t="str">
        <x:v>当前原型提交后直接已完成并写入时间线</x:v>
      </x:c>
      <x:c r="N29" s="223" t="str">
        <x:v>校验不通过则留在处理中并提示缺失资料</x:v>
      </x:c>
      <x:c r="O29" s="223" t="str">
        <x:v>F033、F043</x:v>
      </x:c>
      <x:c r="P29" s="223" t="str">
        <x:v>是否增加主管完工确认节点待客户确认</x:v>
      </x:c>
    </x:row>
    <x:row r="30" ht="62" customHeight="1">
      <x:c r="A30" s="251" t="str">
        <x:v>核心闭环</x:v>
      </x:c>
      <x:c r="B30" s="239" t="str">
        <x:v>C01
工单服务核心闭环</x:v>
      </x:c>
      <x:c r="C30" s="239" t="str">
        <x:v>4 报告交付与归档</x:v>
      </x:c>
      <x:c r="D30" s="240" t="str">
        <x:v>C01-18｜形成报告</x:v>
      </x:c>
      <x:c r="E30" s="241" t="str">
        <x:v>CALL完工提交</x:v>
      </x:c>
      <x:c r="F30" s="255" t="str">
        <x:v>系统</x:v>
      </x:c>
      <x:c r="G30" s="255" t="str">
        <x:v>—</x:v>
      </x:c>
      <x:c r="H30" s="223" t="str">
        <x:v>按单据类型形成SR或完工单记录</x:v>
      </x:c>
      <x:c r="I30" s="223" t="str">
        <x:v>报告管理</x:v>
      </x:c>
      <x:c r="J30" s="223" t="str">
        <x:v>处理中</x:v>
      </x:c>
      <x:c r="K30" s="223" t="str">
        <x:v>已完成</x:v>
      </x:c>
      <x:c r="L30" s="223" t="str">
        <x:v>报告档案</x:v>
      </x:c>
      <x:c r="M30" s="223" t="str">
        <x:v>报告与CALL一一关联或按规则关联</x:v>
      </x:c>
      <x:c r="N30" s="223" t="str">
        <x:v>—</x:v>
      </x:c>
      <x:c r="O30" s="223" t="str">
        <x:v>F035、F037</x:v>
      </x:c>
      <x:c r="P30" s="223" t="str">
        <x:v>正式编号和模板待确认</x:v>
      </x:c>
    </x:row>
    <x:row r="31" ht="62" customHeight="1">
      <x:c r="A31" s="251" t="str">
        <x:v>核心闭环</x:v>
      </x:c>
      <x:c r="B31" s="239" t="str">
        <x:v>C01
工单服务核心闭环</x:v>
      </x:c>
      <x:c r="C31" s="239" t="str">
        <x:v>4 报告交付与归档</x:v>
      </x:c>
      <x:c r="D31" s="240" t="str">
        <x:v>C01-19｜查询查看</x:v>
      </x:c>
      <x:c r="E31" s="241" t="str">
        <x:v>报告已生成</x:v>
      </x:c>
      <x:c r="F31" s="255" t="str">
        <x:v>CS</x:v>
      </x:c>
      <x:c r="G31" s="255" t="str">
        <x:v>CR、TL、ADMIN</x:v>
      </x:c>
      <x:c r="H31" s="223" t="str">
        <x:v>按编号、客户、区域、状态和内容筛选并查看</x:v>
      </x:c>
      <x:c r="I31" s="223" t="str">
        <x:v>报告管理/详情</x:v>
      </x:c>
      <x:c r="J31" s="223" t="str">
        <x:v>已完成</x:v>
      </x:c>
      <x:c r="K31" s="223" t="str">
        <x:v>已完成</x:v>
      </x:c>
      <x:c r="L31" s="223" t="str">
        <x:v>报告详情</x:v>
      </x:c>
      <x:c r="M31" s="223" t="str">
        <x:v>按角色与数据范围控制访问</x:v>
      </x:c>
      <x:c r="N31" s="223" t="str">
        <x:v>—</x:v>
      </x:c>
      <x:c r="O31" s="223" t="str">
        <x:v>F036、F037</x:v>
      </x:c>
      <x:c r="P31" s="223" t="str">
        <x:v>客户是否可直接访问待确认</x:v>
      </x:c>
    </x:row>
    <x:row r="32" ht="62" customHeight="1">
      <x:c r="A32" s="251" t="str">
        <x:v>核心闭环</x:v>
      </x:c>
      <x:c r="B32" s="239" t="str">
        <x:v>C01
工单服务核心闭环</x:v>
      </x:c>
      <x:c r="C32" s="239" t="str">
        <x:v>4 报告交付与归档</x:v>
      </x:c>
      <x:c r="D32" s="240" t="str">
        <x:v>C01-20｜发送客户</x:v>
      </x:c>
      <x:c r="E32" s="241" t="str">
        <x:v>报告可发送</x:v>
      </x:c>
      <x:c r="F32" s="255" t="str">
        <x:v>CS</x:v>
      </x:c>
      <x:c r="G32" s="255" t="str">
        <x:v>CR</x:v>
      </x:c>
      <x:c r="H32" s="223" t="str">
        <x:v>选择渠道和收件人发送报告</x:v>
      </x:c>
      <x:c r="I32" s="223" t="str">
        <x:v>报告发送</x:v>
      </x:c>
      <x:c r="J32" s="223" t="str">
        <x:v>已完成</x:v>
      </x:c>
      <x:c r="K32" s="223" t="str">
        <x:v>已完成</x:v>
      </x:c>
      <x:c r="L32" s="223" t="str">
        <x:v>发送动作和客户副本</x:v>
      </x:c>
      <x:c r="M32" s="223" t="str">
        <x:v>原型仅模拟Email/WhatsApp发送</x:v>
      </x:c>
      <x:c r="N32" s="223" t="str">
        <x:v>发送失败进入重试或人工补发</x:v>
      </x:c>
      <x:c r="O32" s="223" t="str">
        <x:v>F038</x:v>
      </x:c>
      <x:c r="P32" s="223" t="str">
        <x:v>真实模板、鉴权和失败重试需POC</x:v>
      </x:c>
    </x:row>
    <x:row r="33" ht="62" customHeight="1">
      <x:c r="A33" s="251" t="str">
        <x:v>核心闭环</x:v>
      </x:c>
      <x:c r="B33" s="239" t="str">
        <x:v>C01
工单服务核心闭环</x:v>
      </x:c>
      <x:c r="C33" s="239" t="str">
        <x:v>4 报告交付与归档</x:v>
      </x:c>
      <x:c r="D33" s="240" t="str">
        <x:v>C01-21｜记录归档</x:v>
      </x:c>
      <x:c r="E33" s="241" t="str">
        <x:v>发送完成或达到归档条件</x:v>
      </x:c>
      <x:c r="F33" s="255" t="str">
        <x:v>系统</x:v>
      </x:c>
      <x:c r="G33" s="255" t="str">
        <x:v>ADMIN</x:v>
      </x:c>
      <x:c r="H33" s="223" t="str">
        <x:v>记录发送结果并按保留规则归档</x:v>
      </x:c>
      <x:c r="I33" s="223" t="str">
        <x:v>发送日志/归档规则</x:v>
      </x:c>
      <x:c r="J33" s="223" t="str">
        <x:v>已完成</x:v>
      </x:c>
      <x:c r="K33" s="223" t="str">
        <x:v>已归档（待确认）</x:v>
      </x:c>
      <x:c r="L33" s="223" t="str">
        <x:v>发送日志及归档记录</x:v>
      </x:c>
      <x:c r="M33" s="223" t="str">
        <x:v>归档不等同删除，必须支持恢复审计</x:v>
      </x:c>
      <x:c r="N33" s="223" t="str">
        <x:v>—</x:v>
      </x:c>
      <x:c r="O33" s="223" t="str">
        <x:v>F039、F080</x:v>
      </x:c>
      <x:c r="P33" s="223" t="str">
        <x:v>是否新增已归档主状态待确认</x:v>
      </x:c>
    </x:row>
    <x:row r="34" ht="62" customHeight="1">
      <x:c r="A34" s="252" t="str">
        <x:v>延伸流程</x:v>
      </x:c>
      <x:c r="B34" s="242" t="str">
        <x:v>E01
报价、中单与采购联动</x:v>
      </x:c>
      <x:c r="C34" s="242" t="str">
        <x:v>报价→采购→安装回流</x:v>
      </x:c>
      <x:c r="D34" s="243" t="str">
        <x:v>E01-01｜触发报价</x:v>
      </x:c>
      <x:c r="E34" s="244" t="str">
        <x:v>服务报告选择需要报价或人工新建</x:v>
      </x:c>
      <x:c r="F34" s="256" t="str">
        <x:v>MASTER</x:v>
      </x:c>
      <x:c r="G34" s="256" t="str">
        <x:v>QUO、CR</x:v>
      </x:c>
      <x:c r="H34" s="227" t="str">
        <x:v>生成或登记报价需求并关联CALL/SR/客户</x:v>
      </x:c>
      <x:c r="I34" s="227" t="str">
        <x:v>报价单</x:v>
      </x:c>
      <x:c r="J34" s="227" t="str">
        <x:v>无报价</x:v>
      </x:c>
      <x:c r="K34" s="227" t="str">
        <x:v>待报价</x:v>
      </x:c>
      <x:c r="L34" s="227" t="str">
        <x:v>报价需求</x:v>
      </x:c>
      <x:c r="M34" s="227" t="str">
        <x:v>同一来源避免重复创建</x:v>
      </x:c>
      <x:c r="N34" s="227" t="str">
        <x:v>—</x:v>
      </x:c>
      <x:c r="O34" s="227" t="str">
        <x:v>F040、F043</x:v>
      </x:c>
      <x:c r="P34" s="227" t="str">
        <x:v>自动触发条件待确认</x:v>
      </x:c>
    </x:row>
    <x:row r="35" ht="62" customHeight="1">
      <x:c r="A35" s="252" t="str">
        <x:v>延伸流程</x:v>
      </x:c>
      <x:c r="B35" s="242" t="str">
        <x:v>E01
报价、中单与采购联动</x:v>
      </x:c>
      <x:c r="C35" s="242" t="str">
        <x:v>报价→采购→安装回流</x:v>
      </x:c>
      <x:c r="D35" s="243" t="str">
        <x:v>E01-02｜编制报价</x:v>
      </x:c>
      <x:c r="E35" s="244" t="str">
        <x:v>报价需求进入待报价</x:v>
      </x:c>
      <x:c r="F35" s="256" t="str">
        <x:v>QUO</x:v>
      </x:c>
      <x:c r="G35" s="256" t="str">
        <x:v>—</x:v>
      </x:c>
      <x:c r="H35" s="227" t="str">
        <x:v>维护类别、物料、数量、金额、税率和期限</x:v>
      </x:c>
      <x:c r="I35" s="227" t="str">
        <x:v>报价单/明细</x:v>
      </x:c>
      <x:c r="J35" s="227" t="str">
        <x:v>待报价</x:v>
      </x:c>
      <x:c r="K35" s="227" t="str">
        <x:v>报价中</x:v>
      </x:c>
      <x:c r="L35" s="227" t="str">
        <x:v>报价草稿</x:v>
      </x:c>
      <x:c r="M35" s="227" t="str">
        <x:v>历史成本和供应商仅作参考，不锁库存</x:v>
      </x:c>
      <x:c r="N35" s="227" t="str">
        <x:v>—</x:v>
      </x:c>
      <x:c r="O35" s="227" t="str">
        <x:v>F041、F042</x:v>
      </x:c>
      <x:c r="P35" s="227" t="str">
        <x:v>金额审批和成本来源待确认</x:v>
      </x:c>
    </x:row>
    <x:row r="36" ht="62" customHeight="1">
      <x:c r="A36" s="252" t="str">
        <x:v>延伸流程</x:v>
      </x:c>
      <x:c r="B36" s="242" t="str">
        <x:v>E01
报价、中单与采购联动</x:v>
      </x:c>
      <x:c r="C36" s="242" t="str">
        <x:v>报价→采购→安装回流</x:v>
      </x:c>
      <x:c r="D36" s="243" t="str">
        <x:v>E01-03｜发出与修订</x:v>
      </x:c>
      <x:c r="E36" s="244" t="str">
        <x:v>报价草稿完成</x:v>
      </x:c>
      <x:c r="F36" s="256" t="str">
        <x:v>QUO</x:v>
      </x:c>
      <x:c r="G36" s="256" t="str">
        <x:v>—</x:v>
      </x:c>
      <x:c r="H36" s="227" t="str">
        <x:v>发出报价；客户要求修改时建立新版本</x:v>
      </x:c>
      <x:c r="I36" s="227" t="str">
        <x:v>报价单</x:v>
      </x:c>
      <x:c r="J36" s="227" t="str">
        <x:v>报价中</x:v>
      </x:c>
      <x:c r="K36" s="227" t="str">
        <x:v>报价中</x:v>
      </x:c>
      <x:c r="L36" s="227" t="str">
        <x:v>客户报价及修订历史</x:v>
      </x:c>
      <x:c r="M36" s="227" t="str">
        <x:v>保留R1/R2等版本记录</x:v>
      </x:c>
      <x:c r="N36" s="227" t="str">
        <x:v>—</x:v>
      </x:c>
      <x:c r="O36" s="227" t="str">
        <x:v>F044、F045</x:v>
      </x:c>
      <x:c r="P36" s="227" t="str">
        <x:v>发送渠道和电子签名待确认</x:v>
      </x:c>
    </x:row>
    <x:row r="37" ht="62" customHeight="1">
      <x:c r="A37" s="252" t="str">
        <x:v>延伸流程</x:v>
      </x:c>
      <x:c r="B37" s="242" t="str">
        <x:v>E01
报价、中单与采购联动</x:v>
      </x:c>
      <x:c r="C37" s="242" t="str">
        <x:v>报价→采购→安装回流</x:v>
      </x:c>
      <x:c r="D37" s="243" t="str">
        <x:v>E01-04｜记录结果</x:v>
      </x:c>
      <x:c r="E37" s="244" t="str">
        <x:v>客户回复报价</x:v>
      </x:c>
      <x:c r="F37" s="256" t="str">
        <x:v>QUO</x:v>
      </x:c>
      <x:c r="G37" s="256" t="str">
        <x:v>BOSS</x:v>
      </x:c>
      <x:c r="H37" s="227" t="str">
        <x:v>标记已中单或丢单并记录原因</x:v>
      </x:c>
      <x:c r="I37" s="227" t="str">
        <x:v>报价状态更新</x:v>
      </x:c>
      <x:c r="J37" s="227" t="str">
        <x:v>报价中</x:v>
      </x:c>
      <x:c r="K37" s="227" t="str">
        <x:v>已中单/丢单</x:v>
      </x:c>
      <x:c r="L37" s="227" t="str">
        <x:v>报价结果</x:v>
      </x:c>
      <x:c r="M37" s="227" t="str">
        <x:v>状态变化写入业务记录</x:v>
      </x:c>
      <x:c r="N37" s="227" t="str">
        <x:v>—</x:v>
      </x:c>
      <x:c r="O37" s="227" t="str">
        <x:v>F044</x:v>
      </x:c>
      <x:c r="P37" s="227" t="str">
        <x:v>中单证明和修改权限待确认</x:v>
      </x:c>
    </x:row>
    <x:row r="38" ht="62" customHeight="1">
      <x:c r="A38" s="252" t="str">
        <x:v>延伸流程</x:v>
      </x:c>
      <x:c r="B38" s="242" t="str">
        <x:v>E01
报价、中单与采购联动</x:v>
      </x:c>
      <x:c r="C38" s="242" t="str">
        <x:v>报价→采购→安装回流</x:v>
      </x:c>
      <x:c r="D38" s="243" t="str">
        <x:v>E01-05｜生成备货单</x:v>
      </x:c>
      <x:c r="E38" s="244" t="str">
        <x:v>报价变为已中单</x:v>
      </x:c>
      <x:c r="F38" s="256" t="str">
        <x:v>系统</x:v>
      </x:c>
      <x:c r="G38" s="256" t="str">
        <x:v>PUR</x:v>
      </x:c>
      <x:c r="H38" s="227" t="str">
        <x:v>自动创建一张关联备货单</x:v>
      </x:c>
      <x:c r="I38" s="227" t="str">
        <x:v>备货单</x:v>
      </x:c>
      <x:c r="J38" s="227" t="str">
        <x:v>已中单</x:v>
      </x:c>
      <x:c r="K38" s="227" t="str">
        <x:v>待下单</x:v>
      </x:c>
      <x:c r="L38" s="227" t="str">
        <x:v>备货任务</x:v>
      </x:c>
      <x:c r="M38" s="227" t="str">
        <x:v>同一报价重复触发不得重复建单</x:v>
      </x:c>
      <x:c r="N38" s="227" t="str">
        <x:v>—</x:v>
      </x:c>
      <x:c r="O38" s="227" t="str">
        <x:v>F051、F054</x:v>
      </x:c>
      <x:c r="P38" s="227" t="str">
        <x:v>自动化是否进入一期待确认</x:v>
      </x:c>
    </x:row>
    <x:row r="39" ht="62" customHeight="1">
      <x:c r="A39" s="252" t="str">
        <x:v>延伸流程</x:v>
      </x:c>
      <x:c r="B39" s="242" t="str">
        <x:v>E01
报价、中单与采购联动</x:v>
      </x:c>
      <x:c r="C39" s="242" t="str">
        <x:v>报价→采购→安装回流</x:v>
      </x:c>
      <x:c r="D39" s="243" t="str">
        <x:v>E01-06｜建立采购单</x:v>
      </x:c>
      <x:c r="E39" s="244" t="str">
        <x:v>备货单需要采购</x:v>
      </x:c>
      <x:c r="F39" s="256" t="str">
        <x:v>PUR</x:v>
      </x:c>
      <x:c r="G39" s="256" t="str">
        <x:v>—</x:v>
      </x:c>
      <x:c r="H39" s="227" t="str">
        <x:v>按供应商手工建立一张或多张采购单</x:v>
      </x:c>
      <x:c r="I39" s="227" t="str">
        <x:v>采购单</x:v>
      </x:c>
      <x:c r="J39" s="227" t="str">
        <x:v>待下单</x:v>
      </x:c>
      <x:c r="K39" s="227" t="str">
        <x:v>已下单</x:v>
      </x:c>
      <x:c r="L39" s="227" t="str">
        <x:v>采购单</x:v>
      </x:c>
      <x:c r="M39" s="227" t="str">
        <x:v>一张备货单可关联多张采购单</x:v>
      </x:c>
      <x:c r="N39" s="227" t="str">
        <x:v>—</x:v>
      </x:c>
      <x:c r="O39" s="227" t="str">
        <x:v>F051、F053</x:v>
      </x:c>
      <x:c r="P39" s="227" t="str">
        <x:v>审批及现有采购系统边界待确认</x:v>
      </x:c>
    </x:row>
    <x:row r="40" ht="62" customHeight="1">
      <x:c r="A40" s="252" t="str">
        <x:v>延伸流程</x:v>
      </x:c>
      <x:c r="B40" s="242" t="str">
        <x:v>E01
报价、中单与采购联动</x:v>
      </x:c>
      <x:c r="C40" s="242" t="str">
        <x:v>报价→采购→安装回流</x:v>
      </x:c>
      <x:c r="D40" s="243" t="str">
        <x:v>E01-07｜跟踪到货</x:v>
      </x:c>
      <x:c r="E40" s="244" t="str">
        <x:v>供应商发货</x:v>
      </x:c>
      <x:c r="F40" s="256" t="str">
        <x:v>PUR</x:v>
      </x:c>
      <x:c r="G40" s="256" t="str">
        <x:v>—</x:v>
      </x:c>
      <x:c r="H40" s="227" t="str">
        <x:v>更新已发货、到货和验收状态</x:v>
      </x:c>
      <x:c r="I40" s="227" t="str">
        <x:v>采购单</x:v>
      </x:c>
      <x:c r="J40" s="227" t="str">
        <x:v>已下单</x:v>
      </x:c>
      <x:c r="K40" s="227" t="str">
        <x:v>已发货→到货→验收</x:v>
      </x:c>
      <x:c r="L40" s="227" t="str">
        <x:v>到货通知和验收记录</x:v>
      </x:c>
      <x:c r="M40" s="227" t="str">
        <x:v>停滞超过阈值触发提醒</x:v>
      </x:c>
      <x:c r="N40" s="227" t="str">
        <x:v>—</x:v>
      </x:c>
      <x:c r="O40" s="227" t="str">
        <x:v>F052、F075</x:v>
      </x:c>
      <x:c r="P40" s="227" t="str">
        <x:v>阈值和通知对象待确认</x:v>
      </x:c>
    </x:row>
    <x:row r="41" ht="62" customHeight="1">
      <x:c r="A41" s="252" t="str">
        <x:v>延伸流程</x:v>
      </x:c>
      <x:c r="B41" s="242" t="str">
        <x:v>E01
报价、中单与采购联动</x:v>
      </x:c>
      <x:c r="C41" s="242" t="str">
        <x:v>报价→采购→安装回流</x:v>
      </x:c>
      <x:c r="D41" s="243" t="str">
        <x:v>E01-08｜创建后续CALL</x:v>
      </x:c>
      <x:c r="E41" s="244" t="str">
        <x:v>采购验收完成且需要安装</x:v>
      </x:c>
      <x:c r="F41" s="256" t="str">
        <x:v>PUR</x:v>
      </x:c>
      <x:c r="G41" s="256" t="str">
        <x:v>TL</x:v>
      </x:c>
      <x:c r="H41" s="227" t="str">
        <x:v>选择是否建立待分派安装CALL</x:v>
      </x:c>
      <x:c r="I41" s="227" t="str">
        <x:v>采购单/新建CALL</x:v>
      </x:c>
      <x:c r="J41" s="227" t="str">
        <x:v>验收</x:v>
      </x:c>
      <x:c r="K41" s="227" t="str">
        <x:v>待分派</x:v>
      </x:c>
      <x:c r="L41" s="227" t="str">
        <x:v>安装CALL</x:v>
      </x:c>
      <x:c r="M41" s="227" t="str">
        <x:v>仅在客户确认启用后执行</x:v>
      </x:c>
      <x:c r="N41" s="227" t="str">
        <x:v>—</x:v>
      </x:c>
      <x:c r="O41" s="227" t="str">
        <x:v>F055、F056</x:v>
      </x:c>
      <x:c r="P41" s="227" t="str">
        <x:v>编号后缀和责任人待确认</x:v>
      </x:c>
    </x:row>
    <x:row r="42" ht="62" customHeight="1">
      <x:c r="A42" s="252" t="str">
        <x:v>延伸流程</x:v>
      </x:c>
      <x:c r="B42" s="242" t="str">
        <x:v>E02
标书登记与投标跟进</x:v>
      </x:c>
      <x:c r="C42" s="242" t="str">
        <x:v>投标机会跟进</x:v>
      </x:c>
      <x:c r="D42" s="243" t="str">
        <x:v>E02-01｜登记标书</x:v>
      </x:c>
      <x:c r="E42" s="244" t="str">
        <x:v>收到招标文件或主动建立机会</x:v>
      </x:c>
      <x:c r="F42" s="256" t="str">
        <x:v>TENDER</x:v>
      </x:c>
      <x:c r="G42" s="256" t="str">
        <x:v>—</x:v>
      </x:c>
      <x:c r="H42" s="227" t="str">
        <x:v>新建或导入标书及附件</x:v>
      </x:c>
      <x:c r="I42" s="227" t="str">
        <x:v>标书表单</x:v>
      </x:c>
      <x:c r="J42" s="227" t="str">
        <x:v>无</x:v>
      </x:c>
      <x:c r="K42" s="227" t="str">
        <x:v>待投标</x:v>
      </x:c>
      <x:c r="L42" s="227" t="str">
        <x:v>标书记录</x:v>
      </x:c>
      <x:c r="M42" s="227" t="str">
        <x:v>导入失败保留错误原因</x:v>
      </x:c>
      <x:c r="N42" s="227" t="str">
        <x:v>—</x:v>
      </x:c>
      <x:c r="O42" s="227" t="str">
        <x:v>F046、F047</x:v>
      </x:c>
      <x:c r="P42" s="227" t="str">
        <x:v>来源与导入模板待确认</x:v>
      </x:c>
    </x:row>
    <x:row r="43" ht="62" customHeight="1">
      <x:c r="A43" s="252" t="str">
        <x:v>延伸流程</x:v>
      </x:c>
      <x:c r="B43" s="242" t="str">
        <x:v>E02
标书登记与投标跟进</x:v>
      </x:c>
      <x:c r="C43" s="242" t="str">
        <x:v>投标机会跟进</x:v>
      </x:c>
      <x:c r="D43" s="243" t="str">
        <x:v>E02-02｜投标准备</x:v>
      </x:c>
      <x:c r="E43" s="244" t="str">
        <x:v>标书进入待投标</x:v>
      </x:c>
      <x:c r="F43" s="256" t="str">
        <x:v>TENDER</x:v>
      </x:c>
      <x:c r="G43" s="256" t="str">
        <x:v>—</x:v>
      </x:c>
      <x:c r="H43" s="227" t="str">
        <x:v>维护回标方式、截止时间、资料和内部备注</x:v>
      </x:c>
      <x:c r="I43" s="227" t="str">
        <x:v>标书详情</x:v>
      </x:c>
      <x:c r="J43" s="227" t="str">
        <x:v>待投标</x:v>
      </x:c>
      <x:c r="K43" s="227" t="str">
        <x:v>待投标</x:v>
      </x:c>
      <x:c r="L43" s="227" t="str">
        <x:v>准备记录和倒计时</x:v>
      </x:c>
      <x:c r="M43" s="227" t="str">
        <x:v>到期前按规则提醒</x:v>
      </x:c>
      <x:c r="N43" s="227" t="str">
        <x:v>—</x:v>
      </x:c>
      <x:c r="O43" s="227" t="str">
        <x:v>F047-F049</x:v>
      </x:c>
      <x:c r="P43" s="227" t="str">
        <x:v>提醒频率和升级对象待确认</x:v>
      </x:c>
    </x:row>
    <x:row r="44" ht="62" customHeight="1">
      <x:c r="A44" s="252" t="str">
        <x:v>延伸流程</x:v>
      </x:c>
      <x:c r="B44" s="242" t="str">
        <x:v>E02
标书登记与投标跟进</x:v>
      </x:c>
      <x:c r="C44" s="242" t="str">
        <x:v>投标机会跟进</x:v>
      </x:c>
      <x:c r="D44" s="243" t="str">
        <x:v>E02-03｜师傅排程</x:v>
      </x:c>
      <x:c r="E44" s="244" t="str">
        <x:v>投标需要现场或技术人员</x:v>
      </x:c>
      <x:c r="F44" s="256" t="str">
        <x:v>TENDER</x:v>
      </x:c>
      <x:c r="G44" s="256" t="str">
        <x:v>TL</x:v>
      </x:c>
      <x:c r="H44" s="227" t="str">
        <x:v>按区域、技能和日期安排师傅</x:v>
      </x:c>
      <x:c r="I44" s="227" t="str">
        <x:v>标书师傅排程</x:v>
      </x:c>
      <x:c r="J44" s="227" t="str">
        <x:v>待投标</x:v>
      </x:c>
      <x:c r="K44" s="227" t="str">
        <x:v>待投标</x:v>
      </x:c>
      <x:c r="L44" s="227" t="str">
        <x:v>标书排程</x:v>
      </x:c>
      <x:c r="M44" s="227" t="str">
        <x:v>技能用于人工筛选</x:v>
      </x:c>
      <x:c r="N44" s="227" t="str">
        <x:v>—</x:v>
      </x:c>
      <x:c r="O44" s="227" t="str">
        <x:v>F050</x:v>
      </x:c>
      <x:c r="P44" s="227" t="str">
        <x:v>是否保留排程功能待确认</x:v>
      </x:c>
    </x:row>
    <x:row r="45" ht="62" customHeight="1">
      <x:c r="A45" s="252" t="str">
        <x:v>延伸流程</x:v>
      </x:c>
      <x:c r="B45" s="242" t="str">
        <x:v>E02
标书登记与投标跟进</x:v>
      </x:c>
      <x:c r="C45" s="242" t="str">
        <x:v>投标机会跟进</x:v>
      </x:c>
      <x:c r="D45" s="243" t="str">
        <x:v>E02-04｜记录结果</x:v>
      </x:c>
      <x:c r="E45" s="244" t="str">
        <x:v>截止或收到评标结果</x:v>
      </x:c>
      <x:c r="F45" s="256" t="str">
        <x:v>TENDER</x:v>
      </x:c>
      <x:c r="G45" s="256" t="str">
        <x:v>BOSS</x:v>
      </x:c>
      <x:c r="H45" s="227" t="str">
        <x:v>维护已中标、未中标或不投标</x:v>
      </x:c>
      <x:c r="I45" s="227" t="str">
        <x:v>标书详情</x:v>
      </x:c>
      <x:c r="J45" s="227" t="str">
        <x:v>待投标</x:v>
      </x:c>
      <x:c r="K45" s="227" t="str">
        <x:v>已中标/未中标/不投标</x:v>
      </x:c>
      <x:c r="L45" s="227" t="str">
        <x:v>结果与统计</x:v>
      </x:c>
      <x:c r="M45" s="227" t="str">
        <x:v>状态变更写入记录</x:v>
      </x:c>
      <x:c r="N45" s="227" t="str">
        <x:v>—</x:v>
      </x:c>
      <x:c r="O45" s="227" t="str">
        <x:v>F048、F049</x:v>
      </x:c>
      <x:c r="P45" s="227" t="str">
        <x:v>中标后是否自动转报价待确认</x:v>
      </x:c>
    </x:row>
    <x:row r="46" ht="62" customHeight="1">
      <x:c r="A46" s="252" t="str">
        <x:v>延伸流程</x:v>
      </x:c>
      <x:c r="B46" s="242" t="str">
        <x:v>E03
开票、收款与接口同步</x:v>
      </x:c>
      <x:c r="C46" s="242" t="str">
        <x:v>财务交付</x:v>
      </x:c>
      <x:c r="D46" s="243" t="str">
        <x:v>E03-01｜生成待开票</x:v>
      </x:c>
      <x:c r="E46" s="244" t="str">
        <x:v>合约到期或业务达到开票条件</x:v>
      </x:c>
      <x:c r="F46" s="256" t="str">
        <x:v>系统</x:v>
      </x:c>
      <x:c r="G46" s="256" t="str">
        <x:v>FIN</x:v>
      </x:c>
      <x:c r="H46" s="227" t="str">
        <x:v>按合约日期和频率生成待开票记录</x:v>
      </x:c>
      <x:c r="I46" s="227" t="str">
        <x:v>保养合约/待开票</x:v>
      </x:c>
      <x:c r="J46" s="227" t="str">
        <x:v>未开票</x:v>
      </x:c>
      <x:c r="K46" s="227" t="str">
        <x:v>待开票</x:v>
      </x:c>
      <x:c r="L46" s="227" t="str">
        <x:v>待开票项目</x:v>
      </x:c>
      <x:c r="M46" s="227" t="str">
        <x:v>周期规则必须避免重复生成</x:v>
      </x:c>
      <x:c r="N46" s="227" t="str">
        <x:v>—</x:v>
      </x:c>
      <x:c r="O46" s="227" t="str">
        <x:v>F057、F061</x:v>
      </x:c>
      <x:c r="P46" s="227" t="str">
        <x:v>跨期和调整规则待确认</x:v>
      </x:c>
    </x:row>
    <x:row r="47" ht="62" customHeight="1">
      <x:c r="A47" s="252" t="str">
        <x:v>延伸流程</x:v>
      </x:c>
      <x:c r="B47" s="242" t="str">
        <x:v>E03
开票、收款与接口同步</x:v>
      </x:c>
      <x:c r="C47" s="242" t="str">
        <x:v>财务交付</x:v>
      </x:c>
      <x:c r="D47" s="243" t="str">
        <x:v>E03-02｜开具发票</x:v>
      </x:c>
      <x:c r="E47" s="244" t="str">
        <x:v>待开票记录通过审核</x:v>
      </x:c>
      <x:c r="F47" s="256" t="str">
        <x:v>FIN</x:v>
      </x:c>
      <x:c r="G47" s="256" t="str">
        <x:v>—</x:v>
      </x:c>
      <x:c r="H47" s="227" t="str">
        <x:v>筛选、全选并批量开票和打印</x:v>
      </x:c>
      <x:c r="I47" s="227" t="str">
        <x:v>待开票/发票管理</x:v>
      </x:c>
      <x:c r="J47" s="227" t="str">
        <x:v>待开票</x:v>
      </x:c>
      <x:c r="K47" s="227" t="str">
        <x:v>已开票</x:v>
      </x:c>
      <x:c r="L47" s="227" t="str">
        <x:v>发票及打印记录</x:v>
      </x:c>
      <x:c r="M47" s="227" t="str">
        <x:v>金额变更需按权限控制</x:v>
      </x:c>
      <x:c r="N47" s="227" t="str">
        <x:v>—</x:v>
      </x:c>
      <x:c r="O47" s="227" t="str">
        <x:v>F057、F058</x:v>
      </x:c>
      <x:c r="P47" s="227" t="str">
        <x:v>审批和重印规则待确认</x:v>
      </x:c>
    </x:row>
    <x:row r="48" ht="62" customHeight="1">
      <x:c r="A48" s="252" t="str">
        <x:v>延伸流程</x:v>
      </x:c>
      <x:c r="B48" s="242" t="str">
        <x:v>E03
开票、收款与接口同步</x:v>
      </x:c>
      <x:c r="C48" s="242" t="str">
        <x:v>财务交付</x:v>
      </x:c>
      <x:c r="D48" s="243" t="str">
        <x:v>E03-03｜登记收款</x:v>
      </x:c>
      <x:c r="E48" s="244" t="str">
        <x:v>客户付款到账</x:v>
      </x:c>
      <x:c r="F48" s="256" t="str">
        <x:v>FIN</x:v>
      </x:c>
      <x:c r="G48" s="256" t="str">
        <x:v>—</x:v>
      </x:c>
      <x:c r="H48" s="227" t="str">
        <x:v>关联发票，录入金额、日期和方式</x:v>
      </x:c>
      <x:c r="I48" s="227" t="str">
        <x:v>收款/收据</x:v>
      </x:c>
      <x:c r="J48" s="227" t="str">
        <x:v>已开票</x:v>
      </x:c>
      <x:c r="K48" s="227" t="str">
        <x:v>已收款</x:v>
      </x:c>
      <x:c r="L48" s="227" t="str">
        <x:v>收款记录</x:v>
      </x:c>
      <x:c r="M48" s="227" t="str">
        <x:v>不得超过未收金额；异常需说明</x:v>
      </x:c>
      <x:c r="N48" s="227" t="str">
        <x:v>—</x:v>
      </x:c>
      <x:c r="O48" s="227" t="str">
        <x:v>F058、F059</x:v>
      </x:c>
      <x:c r="P48" s="227" t="str">
        <x:v>冲销和部分收款规则待确认</x:v>
      </x:c>
    </x:row>
    <x:row r="49" ht="62" customHeight="1">
      <x:c r="A49" s="252" t="str">
        <x:v>延伸流程</x:v>
      </x:c>
      <x:c r="B49" s="242" t="str">
        <x:v>E03
开票、收款与接口同步</x:v>
      </x:c>
      <x:c r="C49" s="242" t="str">
        <x:v>财务交付</x:v>
      </x:c>
      <x:c r="D49" s="243" t="str">
        <x:v>E03-04｜生成收据</x:v>
      </x:c>
      <x:c r="E49" s="244" t="str">
        <x:v>收款保存成功</x:v>
      </x:c>
      <x:c r="F49" s="256" t="str">
        <x:v>系统</x:v>
      </x:c>
      <x:c r="G49" s="256" t="str">
        <x:v>FIN</x:v>
      </x:c>
      <x:c r="H49" s="227" t="str">
        <x:v>生成收据编号并打印或重印</x:v>
      </x:c>
      <x:c r="I49" s="227" t="str">
        <x:v>收款/收据</x:v>
      </x:c>
      <x:c r="J49" s="227" t="str">
        <x:v>已收款</x:v>
      </x:c>
      <x:c r="K49" s="227" t="str">
        <x:v>已收款</x:v>
      </x:c>
      <x:c r="L49" s="227" t="str">
        <x:v>收据及打印日志</x:v>
      </x:c>
      <x:c r="M49" s="227" t="str">
        <x:v>收据编号唯一</x:v>
      </x:c>
      <x:c r="N49" s="227" t="str">
        <x:v>—</x:v>
      </x:c>
      <x:c r="O49" s="227" t="str">
        <x:v>F059</x:v>
      </x:c>
      <x:c r="P49" s="227" t="str">
        <x:v>编号格式和重印权限待确认</x:v>
      </x:c>
    </x:row>
    <x:row r="50" ht="62" customHeight="1">
      <x:c r="A50" s="252" t="str">
        <x:v>延伸流程</x:v>
      </x:c>
      <x:c r="B50" s="242" t="str">
        <x:v>E03
开票、收款与接口同步</x:v>
      </x:c>
      <x:c r="C50" s="242" t="str">
        <x:v>财务交付</x:v>
      </x:c>
      <x:c r="D50" s="243" t="str">
        <x:v>E03-05｜同步Peachtree</x:v>
      </x:c>
      <x:c r="E50" s="244" t="str">
        <x:v>客户、发票或收款数据需要交换</x:v>
      </x:c>
      <x:c r="F50" s="256" t="str">
        <x:v>FIN</x:v>
      </x:c>
      <x:c r="G50" s="256" t="str">
        <x:v>ADMIN、IT</x:v>
      </x:c>
      <x:c r="H50" s="227" t="str">
        <x:v>按配置执行同步并记录结果</x:v>
      </x:c>
      <x:c r="I50" s="227" t="str">
        <x:v>Peachtree接口配置</x:v>
      </x:c>
      <x:c r="J50" s="227" t="str">
        <x:v>待同步</x:v>
      </x:c>
      <x:c r="K50" s="227" t="str">
        <x:v>成功/失败</x:v>
      </x:c>
      <x:c r="L50" s="227" t="str">
        <x:v>同步日志</x:v>
      </x:c>
      <x:c r="M50" s="227" t="str">
        <x:v>原型仅模拟，不代表真实接口可用</x:v>
      </x:c>
      <x:c r="N50" s="227" t="str">
        <x:v>同步失败保留错误日志，可人工重试</x:v>
      </x:c>
      <x:c r="O50" s="227" t="str">
        <x:v>F062</x:v>
      </x:c>
      <x:c r="P50" s="227" t="str">
        <x:v>系统版本、鉴权、方向和重试需POC</x:v>
      </x:c>
    </x:row>
    <x:row r="51" ht="62" customHeight="1">
      <x:c r="A51" s="253" t="str">
        <x:v>支撑流程</x:v>
      </x:c>
      <x:c r="B51" s="245" t="str">
        <x:v>S01
主数据、权限与导入</x:v>
      </x:c>
      <x:c r="C51" s="245" t="str">
        <x:v>基础资料与系统配置</x:v>
      </x:c>
      <x:c r="D51" s="246" t="str">
        <x:v>S01-01｜维护用户权限</x:v>
      </x:c>
      <x:c r="E51" s="247" t="str">
        <x:v>人员入职、调岗或离职</x:v>
      </x:c>
      <x:c r="F51" s="257" t="str">
        <x:v>ADMIN</x:v>
      </x:c>
      <x:c r="G51" s="257" t="str">
        <x:v>—</x:v>
      </x:c>
      <x:c r="H51" s="231" t="str">
        <x:v>维护用户、角色、区域、主管、技能和状态</x:v>
      </x:c>
      <x:c r="I51" s="231" t="str">
        <x:v>用户管理</x:v>
      </x:c>
      <x:c r="J51" s="231" t="str">
        <x:v>无</x:v>
      </x:c>
      <x:c r="K51" s="231" t="str">
        <x:v>启用/禁用/离职</x:v>
      </x:c>
      <x:c r="L51" s="231" t="str">
        <x:v>账号及权限数据</x:v>
      </x:c>
      <x:c r="M51" s="231" t="str">
        <x:v>离职保留历史关联</x:v>
      </x:c>
      <x:c r="N51" s="231" t="str">
        <x:v>—</x:v>
      </x:c>
      <x:c r="O51" s="231" t="str">
        <x:v>F066、F072</x:v>
      </x:c>
      <x:c r="P51" s="231" t="str">
        <x:v>是否同步钉钉通讯录待确认</x:v>
      </x:c>
    </x:row>
    <x:row r="52" ht="62" customHeight="1">
      <x:c r="A52" s="253" t="str">
        <x:v>支撑流程</x:v>
      </x:c>
      <x:c r="B52" s="245" t="str">
        <x:v>S01
主数据、权限与导入</x:v>
      </x:c>
      <x:c r="C52" s="245" t="str">
        <x:v>基础资料与系统配置</x:v>
      </x:c>
      <x:c r="D52" s="246" t="str">
        <x:v>S01-02｜维护客户地点</x:v>
      </x:c>
      <x:c r="E52" s="247" t="str">
        <x:v>新增或变更客户服务资料</x:v>
      </x:c>
      <x:c r="F52" s="257" t="str">
        <x:v>CS</x:v>
      </x:c>
      <x:c r="G52" s="257" t="str">
        <x:v>CR、ADMIN</x:v>
      </x:c>
      <x:c r="H52" s="231" t="str">
        <x:v>维护客户、联系人、地点、合约和不可拍照规则</x:v>
      </x:c>
      <x:c r="I52" s="231" t="str">
        <x:v>客户管理</x:v>
      </x:c>
      <x:c r="J52" s="231" t="str">
        <x:v>无</x:v>
      </x:c>
      <x:c r="K52" s="231" t="str">
        <x:v>启用/禁用</x:v>
      </x:c>
      <x:c r="L52" s="231" t="str">
        <x:v>客户与地点主数据</x:v>
      </x:c>
      <x:c r="M52" s="231" t="str">
        <x:v>地点决定区域与默认负责人</x:v>
      </x:c>
      <x:c r="N52" s="231" t="str">
        <x:v>—</x:v>
      </x:c>
      <x:c r="O52" s="231" t="str">
        <x:v>F067、F074</x:v>
      </x:c>
      <x:c r="P52" s="231" t="str">
        <x:v>客户主键和Peachtree ID待确认</x:v>
      </x:c>
    </x:row>
    <x:row r="53" ht="62" customHeight="1">
      <x:c r="A53" s="253" t="str">
        <x:v>支撑流程</x:v>
      </x:c>
      <x:c r="B53" s="245" t="str">
        <x:v>S01
主数据、权限与导入</x:v>
      </x:c>
      <x:c r="C53" s="245" t="str">
        <x:v>基础资料与系统配置</x:v>
      </x:c>
      <x:c r="D53" s="246" t="str">
        <x:v>S01-03｜维护业务字典</x:v>
      </x:c>
      <x:c r="E53" s="247" t="str">
        <x:v>业务分类或规则调整</x:v>
      </x:c>
      <x:c r="F53" s="257" t="str">
        <x:v>ADMIN</x:v>
      </x:c>
      <x:c r="G53" s="257" t="str">
        <x:v>—</x:v>
      </x:c>
      <x:c r="H53" s="231" t="str">
        <x:v>新增、排序、停用CALL类型、区域、状态及扩展字典</x:v>
      </x:c>
      <x:c r="I53" s="231" t="str">
        <x:v>业务字典管理</x:v>
      </x:c>
      <x:c r="J53" s="231" t="str">
        <x:v>无</x:v>
      </x:c>
      <x:c r="K53" s="231" t="str">
        <x:v>启用/停用</x:v>
      </x:c>
      <x:c r="L53" s="231" t="str">
        <x:v>可用字典项</x:v>
      </x:c>
      <x:c r="M53" s="231" t="str">
        <x:v>停用项不影响历史数据显示</x:v>
      </x:c>
      <x:c r="N53" s="231" t="str">
        <x:v>—</x:v>
      </x:c>
      <x:c r="O53" s="231" t="str">
        <x:v>F068、F069、F078</x:v>
      </x:c>
      <x:c r="P53" s="231" t="str">
        <x:v>状态和分类映射待确认</x:v>
      </x:c>
    </x:row>
    <x:row r="54" ht="62" customHeight="1">
      <x:c r="A54" s="253" t="str">
        <x:v>支撑流程</x:v>
      </x:c>
      <x:c r="B54" s="245" t="str">
        <x:v>S01
主数据、权限与导入</x:v>
      </x:c>
      <x:c r="C54" s="245" t="str">
        <x:v>基础资料与系统配置</x:v>
      </x:c>
      <x:c r="D54" s="246" t="str">
        <x:v>S01-04｜批量导入</x:v>
      </x:c>
      <x:c r="E54" s="247" t="str">
        <x:v>首批上线或历史数据迁移</x:v>
      </x:c>
      <x:c r="F54" s="257" t="str">
        <x:v>ADMIN</x:v>
      </x:c>
      <x:c r="G54" s="257" t="str">
        <x:v>—</x:v>
      </x:c>
      <x:c r="H54" s="231" t="str">
        <x:v>上传Excel，校验、预览并确认导入</x:v>
      </x:c>
      <x:c r="I54" s="231" t="str">
        <x:v>Excel导入</x:v>
      </x:c>
      <x:c r="J54" s="231" t="str">
        <x:v>待导入</x:v>
      </x:c>
      <x:c r="K54" s="231" t="str">
        <x:v>成功/失败</x:v>
      </x:c>
      <x:c r="L54" s="231" t="str">
        <x:v>导入结果和错误清单</x:v>
      </x:c>
      <x:c r="M54" s="231" t="str">
        <x:v>错误数据不得静默写入</x:v>
      </x:c>
      <x:c r="N54" s="231" t="str">
        <x:v>校验失败不得写入，输出错误清单</x:v>
      </x:c>
      <x:c r="O54" s="231" t="str">
        <x:v>F070</x:v>
      </x:c>
      <x:c r="P54" s="231" t="str">
        <x:v>模板、重复键和迁移范围待确认</x:v>
      </x:c>
    </x:row>
    <x:row r="55" ht="62" customHeight="1">
      <x:c r="A55" s="253" t="str">
        <x:v>支撑流程</x:v>
      </x:c>
      <x:c r="B55" s="245" t="str">
        <x:v>S01
主数据、权限与导入</x:v>
      </x:c>
      <x:c r="C55" s="245" t="str">
        <x:v>基础资料与系统配置</x:v>
      </x:c>
      <x:c r="D55" s="246" t="str">
        <x:v>S01-05｜配置存储归档</x:v>
      </x:c>
      <x:c r="E55" s="247" t="str">
        <x:v>上线准备或容量策略调整</x:v>
      </x:c>
      <x:c r="F55" s="257" t="str">
        <x:v>ADMIN</x:v>
      </x:c>
      <x:c r="G55" s="257" t="str">
        <x:v>IT</x:v>
      </x:c>
      <x:c r="H55" s="231" t="str">
        <x:v>配置文件类型、大小、保留期、备份和恢复</x:v>
      </x:c>
      <x:c r="I55" s="231" t="str">
        <x:v>附件存储/归档规则</x:v>
      </x:c>
      <x:c r="J55" s="231" t="str">
        <x:v>无</x:v>
      </x:c>
      <x:c r="K55" s="231" t="str">
        <x:v>生效</x:v>
      </x:c>
      <x:c r="L55" s="231" t="str">
        <x:v>存储与归档策略</x:v>
      </x:c>
      <x:c r="M55" s="231" t="str">
        <x:v>归档不得破坏业务关联和审计</x:v>
      </x:c>
      <x:c r="N55" s="231" t="str">
        <x:v>—</x:v>
      </x:c>
      <x:c r="O55" s="231" t="str">
        <x:v>F071、F080</x:v>
      </x:c>
      <x:c r="P55" s="231" t="str">
        <x:v>供应商、容量和恢复演练待确认</x:v>
      </x:c>
    </x:row>
    <x:row r="56" ht="62" customHeight="1">
      <x:c r="A56" s="253" t="str">
        <x:v>支撑流程</x:v>
      </x:c>
      <x:c r="B56" s="245" t="str">
        <x:v>S02
SLA、通知与异常闭环</x:v>
      </x:c>
      <x:c r="C56" s="245" t="str">
        <x:v>全程监控与升级</x:v>
      </x:c>
      <x:c r="D56" s="246" t="str">
        <x:v>S02-01｜配置规则</x:v>
      </x:c>
      <x:c r="E56" s="247" t="str">
        <x:v>客户确认SLA和提醒对象</x:v>
      </x:c>
      <x:c r="F56" s="257" t="str">
        <x:v>ADMIN</x:v>
      </x:c>
      <x:c r="G56" s="257" t="str">
        <x:v>TL</x:v>
      </x:c>
      <x:c r="H56" s="231" t="str">
        <x:v>配置未接单、未到场、处理超时和采购停滞阈值</x:v>
      </x:c>
      <x:c r="I56" s="231" t="str">
        <x:v>SLA与提醒规则</x:v>
      </x:c>
      <x:c r="J56" s="231" t="str">
        <x:v>无</x:v>
      </x:c>
      <x:c r="K56" s="231" t="str">
        <x:v>启用</x:v>
      </x:c>
      <x:c r="L56" s="231" t="str">
        <x:v>提醒规则</x:v>
      </x:c>
      <x:c r="M56" s="231" t="str">
        <x:v>每类事件独立配置</x:v>
      </x:c>
      <x:c r="N56" s="231" t="str">
        <x:v>—</x:v>
      </x:c>
      <x:c r="O56" s="231" t="str">
        <x:v>F075</x:v>
      </x:c>
      <x:c r="P56" s="231" t="str">
        <x:v>SLA、升级级别和工作时间待确认</x:v>
      </x:c>
    </x:row>
    <x:row r="57" ht="62" customHeight="1">
      <x:c r="A57" s="253" t="str">
        <x:v>支撑流程</x:v>
      </x:c>
      <x:c r="B57" s="245" t="str">
        <x:v>S02
SLA、通知与异常闭环</x:v>
      </x:c>
      <x:c r="C57" s="245" t="str">
        <x:v>全程监控与升级</x:v>
      </x:c>
      <x:c r="D57" s="246" t="str">
        <x:v>S02-02｜触发异常</x:v>
      </x:c>
      <x:c r="E57" s="247" t="str">
        <x:v>业务记录超过阈值</x:v>
      </x:c>
      <x:c r="F57" s="257" t="str">
        <x:v>系统</x:v>
      </x:c>
      <x:c r="G57" s="257" t="str">
        <x:v>—</x:v>
      </x:c>
      <x:c r="H57" s="231" t="str">
        <x:v>计算异常并生成系统通知</x:v>
      </x:c>
      <x:c r="I57" s="231" t="str">
        <x:v>首页看板/通知中心</x:v>
      </x:c>
      <x:c r="J57" s="231" t="str">
        <x:v>业务进行中</x:v>
      </x:c>
      <x:c r="K57" s="231" t="str">
        <x:v>异常待处理</x:v>
      </x:c>
      <x:c r="L57" s="231" t="str">
        <x:v>异常记录和通知</x:v>
      </x:c>
      <x:c r="M57" s="231" t="str">
        <x:v>原型主要展示系统内提醒</x:v>
      </x:c>
      <x:c r="N57" s="231" t="str">
        <x:v>生成待处理异常；通知失败和误报规则待确认</x:v>
      </x:c>
      <x:c r="O57" s="231" t="str">
        <x:v>F003、F005、F065</x:v>
      </x:c>
      <x:c r="P57" s="231" t="str">
        <x:v>实时任务和调度频率需POC</x:v>
      </x:c>
    </x:row>
    <x:row r="58" ht="62" customHeight="1">
      <x:c r="A58" s="253" t="str">
        <x:v>支撑流程</x:v>
      </x:c>
      <x:c r="B58" s="245" t="str">
        <x:v>S02
SLA、通知与异常闭环</x:v>
      </x:c>
      <x:c r="C58" s="245" t="str">
        <x:v>全程监控与升级</x:v>
      </x:c>
      <x:c r="D58" s="246" t="str">
        <x:v>S02-03｜处理异常</x:v>
      </x:c>
      <x:c r="E58" s="247" t="str">
        <x:v>负责人收到提醒</x:v>
      </x:c>
      <x:c r="F58" s="257" t="str">
        <x:v>CS</x:v>
      </x:c>
      <x:c r="G58" s="257" t="str">
        <x:v>TL、CR、PUR、QUO</x:v>
      </x:c>
      <x:c r="H58" s="231" t="str">
        <x:v>进入关联业务，催单、改派、补资料或更新状态</x:v>
      </x:c>
      <x:c r="I58" s="231" t="str">
        <x:v>CALL详情/分派/采购</x:v>
      </x:c>
      <x:c r="J58" s="231" t="str">
        <x:v>异常待处理</x:v>
      </x:c>
      <x:c r="K58" s="231" t="str">
        <x:v>处理中/已解除</x:v>
      </x:c>
      <x:c r="L58" s="231" t="str">
        <x:v>处理记录</x:v>
      </x:c>
      <x:c r="M58" s="231" t="str">
        <x:v>每次处理写入时间线</x:v>
      </x:c>
      <x:c r="N58" s="231" t="str">
        <x:v>按催单、改派、补资料或状态更新解除异常</x:v>
      </x:c>
      <x:c r="O58" s="231" t="str">
        <x:v>F011、F012、F019、F075</x:v>
      </x:c>
      <x:c r="P58" s="231" t="str">
        <x:v>升级到何种角色待确认</x:v>
      </x:c>
    </x:row>
    <x:row r="59" ht="62" customHeight="1">
      <x:c r="A59" s="254" t="str">
        <x:v>支撑流程</x:v>
      </x:c>
      <x:c r="B59" s="248" t="str">
        <x:v>S02
SLA、通知与异常闭环</x:v>
      </x:c>
      <x:c r="C59" s="248" t="str">
        <x:v>全程监控与升级</x:v>
      </x:c>
      <x:c r="D59" s="249" t="str">
        <x:v>S02-04｜关闭异常</x:v>
      </x:c>
      <x:c r="E59" s="250" t="str">
        <x:v>业务恢复正常或主管确认</x:v>
      </x:c>
      <x:c r="F59" s="258" t="str">
        <x:v>系统</x:v>
      </x:c>
      <x:c r="G59" s="258" t="str">
        <x:v>负责人</x:v>
      </x:c>
      <x:c r="H59" s="235" t="str">
        <x:v>记录解除原因并关闭提醒</x:v>
      </x:c>
      <x:c r="I59" s="235" t="str">
        <x:v>通知/异常记录</x:v>
      </x:c>
      <x:c r="J59" s="235" t="str">
        <x:v>异常待处理</x:v>
      </x:c>
      <x:c r="K59" s="235" t="str">
        <x:v>已解除</x:v>
      </x:c>
      <x:c r="L59" s="235" t="str">
        <x:v>闭环日志</x:v>
      </x:c>
      <x:c r="M59" s="235" t="str">
        <x:v>业务状态变化可自动解除相应提醒</x:v>
      </x:c>
      <x:c r="N59" s="235" t="str">
        <x:v>—</x:v>
      </x:c>
      <x:c r="O59" s="235" t="str">
        <x:v>F004、F065、F075</x:v>
      </x:c>
      <x:c r="P59" s="235" t="str">
        <x:v>误报和人工关闭权限待确认</x:v>
      </x:c>
    </x:row>
  </x:sheetData>
  <x:conditionalFormatting sqref="A5:B51">
    <x:cfRule type="duplicateValues" dxfId="3" priority="1"/>
  </x:conditionalFormatting>
  <x:pageMargins left="0.7" right="0.7" top="0.75" bottom="0.75" header="0.3" footer="0.3"/>
  <x:tableParts count="1">
    <x:tablePart xmlns:r="http://schemas.openxmlformats.org/officeDocument/2006/relationships" r:id="R1b4cf62c36c14404"/>
  </x:tableParts>
</x:worksheet>
</file>

<file path=xl/worksheets/sheet4.xml><?xml version="1.0" encoding="utf-8"?>
<x:worksheet xmlns:x="http://schemas.openxmlformats.org/spreadsheetml/2006/main">
  <x:sheetPr>
    <x:tabColor rgb="FF1B8A7A"/>
  </x:sheetPr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10" hidden="0" customWidth="1"/>
    <x:col min="2" max="2" width="22" hidden="0" customWidth="1"/>
    <x:col min="3" max="3" width="30" hidden="0" customWidth="1"/>
    <x:col min="4" max="4" width="48" hidden="0" customWidth="1"/>
    <x:col min="5" max="5" width="18" hidden="0" customWidth="1"/>
    <x:col min="6" max="6" width="25" hidden="0" customWidth="1"/>
    <x:col min="7" max="7" width="42" hidden="0" customWidth="1"/>
    <x:col min="8" max="8" width="54" hidden="0" customWidth="1"/>
    <x:col min="9" max="9" width="50" hidden="0" customWidth="1"/>
    <x:col min="10" max="10" width="13" hidden="0" customWidth="1"/>
    <x:col min="11" max="11" width="24" hidden="0" customWidth="1"/>
    <x:col min="12" max="12" width="14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3" hidden="0" customWidth="1"/>
    <x:col min="18" max="18" width="13" hidden="0" customWidth="1"/>
    <x:col min="19" max="19" width="13" hidden="0" customWidth="1"/>
    <x:col min="20" max="20" width="13" hidden="0" customWidth="1"/>
    <x:col min="21" max="21" width="35" hidden="0" customWidth="1"/>
    <x:col min="22" max="22" width="35" hidden="0" customWidth="1"/>
    <x:col min="23" max="23" width="24" hidden="0" customWidth="1"/>
  </x:cols>
  <x:sheetData>
    <x:row r="2">
      <x:c r="A2" s="80" t="str">
        <x:v>需求清单（按模块、功能、表单、字段和交互展开）</x:v>
      </x:c>
      <x:c r="B2" s="81"/>
      <x:c r="C2" s="81"/>
      <x:c r="D2" s="81"/>
      <x:c r="E2" s="81"/>
      <x:c r="F2" s="81"/>
      <x:c r="G2" s="81"/>
      <x:c r="H2" s="81"/>
      <x:c r="I2" s="81"/>
      <x:c r="J2" s="81"/>
      <x:c r="K2" s="81"/>
      <x:c r="L2" s="81"/>
      <x:c r="M2" s="81"/>
      <x:c r="N2" s="81"/>
      <x:c r="O2" s="81"/>
      <x:c r="P2" s="81"/>
      <x:c r="Q2" s="81"/>
      <x:c r="R2" s="81"/>
      <x:c r="S2" s="81"/>
      <x:c r="T2" s="81"/>
      <x:c r="U2" s="81"/>
      <x:c r="V2" s="81"/>
      <x:c r="W2" s="81"/>
    </x:row>
    <x:row r="3">
      <x:c r="A3" s="82" t="str">
        <x:v>黄色单元格由项目组与客户持续维护；完成率根据开发、测试、验收状态自动计算。</x:v>
      </x:c>
      <x:c r="B3" s="83"/>
      <x:c r="C3" s="83"/>
      <x:c r="D3" s="83"/>
      <x:c r="E3" s="83"/>
      <x:c r="F3" s="83"/>
      <x:c r="G3" s="83"/>
      <x:c r="H3" s="83"/>
      <x:c r="I3" s="83"/>
      <x:c r="J3" s="83"/>
      <x:c r="K3" s="83"/>
      <x:c r="L3" s="83"/>
      <x:c r="M3" s="83"/>
      <x:c r="N3" s="83"/>
      <x:c r="O3" s="83"/>
      <x:c r="P3" s="83"/>
      <x:c r="Q3" s="83"/>
      <x:c r="R3" s="83"/>
      <x:c r="S3" s="83"/>
      <x:c r="T3" s="83"/>
      <x:c r="U3" s="83"/>
      <x:c r="V3" s="83"/>
      <x:c r="W3" s="83"/>
    </x:row>
    <x:row r="4" ht="38" customHeight="1">
      <x:c r="A4" s="16" t="str">
        <x:v>编号</x:v>
      </x:c>
      <x:c r="B4" s="17" t="str">
        <x:v>模块</x:v>
      </x:c>
      <x:c r="C4" s="17" t="str">
        <x:v>功能</x:v>
      </x:c>
      <x:c r="D4" s="17" t="str">
        <x:v>功能说明</x:v>
      </x:c>
      <x:c r="E4" s="17" t="str">
        <x:v>主要角色</x:v>
      </x:c>
      <x:c r="F4" s="17" t="str">
        <x:v>表单/页面</x:v>
      </x:c>
      <x:c r="G4" s="17" t="str">
        <x:v>表单说明</x:v>
      </x:c>
      <x:c r="H4" s="17" t="str">
        <x:v>表单字段</x:v>
      </x:c>
      <x:c r="I4" s="17" t="str">
        <x:v>交互/业务规则</x:v>
      </x:c>
      <x:c r="J4" s="17" t="str">
        <x:v>原型覆盖</x:v>
      </x:c>
      <x:c r="K4" s="17" t="str">
        <x:v>建议范围</x:v>
      </x:c>
      <x:c r="L4" s="17" t="str">
        <x:v>客户确认</x:v>
      </x:c>
      <x:c r="M4" s="17" t="str">
        <x:v>开发状态</x:v>
      </x:c>
      <x:c r="N4" s="17" t="str">
        <x:v>测试状态</x:v>
      </x:c>
      <x:c r="O4" s="17" t="str">
        <x:v>验收状态</x:v>
      </x:c>
      <x:c r="P4" s="17" t="str">
        <x:v>完成率</x:v>
      </x:c>
      <x:c r="Q4" s="17" t="str">
        <x:v>责任人</x:v>
      </x:c>
      <x:c r="R4" s="17" t="str">
        <x:v>计划开始</x:v>
      </x:c>
      <x:c r="S4" s="17" t="str">
        <x:v>计划结束</x:v>
      </x:c>
      <x:c r="T4" s="17" t="str">
        <x:v>实际完成</x:v>
      </x:c>
      <x:c r="U4" s="17" t="str">
        <x:v>依赖/待确认</x:v>
      </x:c>
      <x:c r="V4" s="17" t="str">
        <x:v>客户反馈</x:v>
      </x:c>
      <x:c r="W4" s="18" t="str">
        <x:v>来源依据</x:v>
      </x:c>
    </x:row>
    <x:row r="5" ht="76" customHeight="1">
      <x:c r="A5" s="38" t="str">
        <x:v>F001</x:v>
      </x:c>
      <x:c r="B5" s="38" t="str">
        <x:v>首页与通知</x:v>
      </x:c>
      <x:c r="C5" s="38" t="str">
        <x:v>查看 7 个工单状态的数量和分布</x:v>
      </x:c>
      <x:c r="D5" s="38" t="str">
        <x:v>面向全部角色，支持查看 7 个工单状态的数量和分布；正式交付需结合真实数据、权限和验收规则确认。</x:v>
      </x:c>
      <x:c r="E5" s="38" t="str">
        <x:v>全部角色</x:v>
      </x:c>
      <x:c r="F5" s="38" t="str">
        <x:v>首页看板</x:v>
      </x:c>
      <x:c r="G5" s="38" t="str">
        <x:v>按角色展示状态指标、今日待办、异常事项和最近动态。</x:v>
      </x:c>
      <x:c r="H5" s="38" t="str">
        <x:v>状态数量、CALL编号、客户/摘要、异常类型、时间/操作人/内容</x:v>
      </x:c>
      <x:c r="I5" s="38" t="str">
        <x:v>点击状态卡片查看对应CALL列表；卡片数量按当前角色数据范围汇总。</x:v>
      </x:c>
      <x:c r="J5" s="40" t="str">
        <x:v>可演示</x:v>
      </x:c>
      <x:c r="K5" s="40" t="str">
        <x:v>P0</x:v>
      </x:c>
      <x:c r="L5" s="87" t="str">
        <x:v>待客户确认</x:v>
      </x:c>
      <x:c r="M5" s="87" t="str">
        <x:v>未开始</x:v>
      </x:c>
      <x:c r="N5" s="87" t="str">
        <x:v>未开始</x:v>
      </x:c>
      <x:c r="O5" s="87" t="str">
        <x:v>未开始</x:v>
      </x:c>
      <x:c r="P5" s="88" t="n">
        <x:f>IF(O5="已验收",1,IF(O5="验收中",0.9,IF(N5="已通过",0.85,IF(N5="测试中",0.7,IF(M5="已完成",0.6,IF(M5="开发中",0.35,IF(M5="设计中",0.1,0)))))))</x:f>
        <x:v>0</x:v>
      </x:c>
      <x:c r="Q5" s="89" t="str"/>
      <x:c r="R5" s="90"/>
      <x:c r="S5" s="90"/>
      <x:c r="T5" s="90"/>
      <x:c r="U5" s="89" t="str"/>
      <x:c r="V5" s="89" t="str"/>
      <x:c r="W5" s="38" t="str">
        <x:v>当前原型 + 最新需求清单</x:v>
      </x:c>
    </x:row>
    <x:row r="6" ht="76" customHeight="1">
      <x:c r="A6" s="39" t="str">
        <x:v>F002</x:v>
      </x:c>
      <x:c r="B6" s="39" t="str">
        <x:v>首页与通知</x:v>
      </x:c>
      <x:c r="C6" s="39" t="str">
        <x:v>查看本人、团队或管理范围内的今日待办</x:v>
      </x:c>
      <x:c r="D6" s="39" t="str">
        <x:v>面向CS、CR、TL、ADMIN、BOSS，支持查看本人、团队或管理范围内的今日待办；正式交付需结合真实数据、权限和验收规则确认。</x:v>
      </x:c>
      <x:c r="E6" s="39" t="str">
        <x:v>CS、CR、TL、ADMIN、BOSS</x:v>
      </x:c>
      <x:c r="F6" s="39" t="str">
        <x:v>首页看板</x:v>
      </x:c>
      <x:c r="G6" s="39" t="str">
        <x:v>按角色展示状态指标、今日待办、异常事项和最近动态。</x:v>
      </x:c>
      <x:c r="H6" s="39" t="str">
        <x:v>状态数量、CALL编号、客户/摘要、异常类型、时间/操作人/内容</x:v>
      </x:c>
      <x:c r="I6" s="39" t="str">
        <x:v>进入页面查看本人、团队或管理范围内的今日待办；点击相关卡片或编号下钻。点击状态卡片或待办记录进入对应列表/详情；数据按角色范围过滤。</x:v>
      </x:c>
      <x:c r="J6" s="41" t="str">
        <x:v>可演示</x:v>
      </x:c>
      <x:c r="K6" s="41" t="str">
        <x:v>P0</x:v>
      </x:c>
      <x:c r="L6" s="91" t="str">
        <x:v>待客户确认</x:v>
      </x:c>
      <x:c r="M6" s="91" t="str">
        <x:v>未开始</x:v>
      </x:c>
      <x:c r="N6" s="91" t="str">
        <x:v>未开始</x:v>
      </x:c>
      <x:c r="O6" s="91" t="str">
        <x:v>未开始</x:v>
      </x:c>
      <x:c r="P6" s="92" t="n">
        <x:f>IF(O6="已验收",1,IF(O6="验收中",0.9,IF(N6="已通过",0.85,IF(N6="测试中",0.7,IF(M6="已完成",0.6,IF(M6="开发中",0.35,IF(M6="设计中",0.1,0)))))))</x:f>
        <x:v>0</x:v>
      </x:c>
      <x:c r="Q6" s="93" t="str"/>
      <x:c r="R6" s="94"/>
      <x:c r="S6" s="94"/>
      <x:c r="T6" s="94"/>
      <x:c r="U6" s="93" t="str"/>
      <x:c r="V6" s="93" t="str"/>
      <x:c r="W6" s="39" t="str">
        <x:v>当前原型 + 最新需求清单</x:v>
      </x:c>
    </x:row>
    <x:row r="7" ht="76" customHeight="1">
      <x:c r="A7" s="39" t="str">
        <x:v>F003</x:v>
      </x:c>
      <x:c r="B7" s="39" t="str">
        <x:v>首页与通知</x:v>
      </x:c>
      <x:c r="C7" s="39" t="str">
        <x:v>查看异常 CALL、紧急事项、拒单和需关注事项</x:v>
      </x:c>
      <x:c r="D7" s="39" t="str">
        <x:v>面向CS、CR、TL、BOSS，支持查看异常 CALL、紧急事项、拒单和需关注事项；正式交付需结合真实数据、权限和验收规则确认。</x:v>
      </x:c>
      <x:c r="E7" s="39" t="str">
        <x:v>CS、CR、TL、BOSS</x:v>
      </x:c>
      <x:c r="F7" s="39" t="str">
        <x:v>首页看板</x:v>
      </x:c>
      <x:c r="G7" s="39" t="str">
        <x:v>按角色展示状态指标、今日待办、异常事项和最近动态。</x:v>
      </x:c>
      <x:c r="H7" s="39" t="str">
        <x:v>状态数量、CALL编号、客户/摘要、异常类型、时间/操作人/内容</x:v>
      </x:c>
      <x:c r="I7" s="39" t="str">
        <x:v>进入页面查看异常 CALL、紧急事项、拒单和需关注事项；点击相关卡片或编号下钻。点击状态卡片或待办记录进入对应列表/详情；数据按角色范围过滤。</x:v>
      </x:c>
      <x:c r="J7" s="41" t="str">
        <x:v>可演示</x:v>
      </x:c>
      <x:c r="K7" s="41" t="str">
        <x:v>P0</x:v>
      </x:c>
      <x:c r="L7" s="91" t="str">
        <x:v>待客户确认</x:v>
      </x:c>
      <x:c r="M7" s="91" t="str">
        <x:v>未开始</x:v>
      </x:c>
      <x:c r="N7" s="91" t="str">
        <x:v>未开始</x:v>
      </x:c>
      <x:c r="O7" s="91" t="str">
        <x:v>未开始</x:v>
      </x:c>
      <x:c r="P7" s="92" t="n">
        <x:f>IF(O7="已验收",1,IF(O7="验收中",0.9,IF(N7="已通过",0.85,IF(N7="测试中",0.7,IF(M7="已完成",0.6,IF(M7="开发中",0.35,IF(M7="设计中",0.1,0)))))))</x:f>
        <x:v>0</x:v>
      </x:c>
      <x:c r="Q7" s="93" t="str"/>
      <x:c r="R7" s="94"/>
      <x:c r="S7" s="94"/>
      <x:c r="T7" s="94"/>
      <x:c r="U7" s="93" t="str"/>
      <x:c r="V7" s="93" t="str"/>
      <x:c r="W7" s="39" t="str">
        <x:v>当前原型 + 最新需求清单</x:v>
      </x:c>
    </x:row>
    <x:row r="8" ht="76" customHeight="1">
      <x:c r="A8" s="39" t="str">
        <x:v>F004</x:v>
      </x:c>
      <x:c r="B8" s="39" t="str">
        <x:v>首页与通知</x:v>
      </x:c>
      <x:c r="C8" s="39" t="str">
        <x:v>查看最近业务动态、状态时间线和最近来电</x:v>
      </x:c>
      <x:c r="D8" s="39" t="str">
        <x:v>面向全部角色，支持查看最近业务动态、状态时间线和最近来电；正式交付需结合真实数据、权限和验收规则确认。</x:v>
      </x:c>
      <x:c r="E8" s="39" t="str">
        <x:v>全部角色</x:v>
      </x:c>
      <x:c r="F8" s="39" t="str">
        <x:v>首页看板</x:v>
      </x:c>
      <x:c r="G8" s="39" t="str">
        <x:v>按角色展示状态指标、今日待办、异常事项和最近动态。</x:v>
      </x:c>
      <x:c r="H8" s="39" t="str">
        <x:v>状态数量、CALL编号、客户/摘要、异常类型、时间/操作人/内容</x:v>
      </x:c>
      <x:c r="I8" s="39" t="str">
        <x:v>进入页面查看最近业务动态、状态时间线和最近来电；点击相关卡片或编号下钻。点击状态卡片或待办记录进入对应列表/详情；数据按角色范围过滤。</x:v>
      </x:c>
      <x:c r="J8" s="41" t="str">
        <x:v>可演示</x:v>
      </x:c>
      <x:c r="K8" s="41" t="str">
        <x:v>P0</x:v>
      </x:c>
      <x:c r="L8" s="91" t="str">
        <x:v>待客户确认</x:v>
      </x:c>
      <x:c r="M8" s="91" t="str">
        <x:v>未开始</x:v>
      </x:c>
      <x:c r="N8" s="91" t="str">
        <x:v>未开始</x:v>
      </x:c>
      <x:c r="O8" s="91" t="str">
        <x:v>未开始</x:v>
      </x:c>
      <x:c r="P8" s="92" t="n">
        <x:f>IF(O8="已验收",1,IF(O8="验收中",0.9,IF(N8="已通过",0.85,IF(N8="测试中",0.7,IF(M8="已完成",0.6,IF(M8="开发中",0.35,IF(M8="设计中",0.1,0)))))))</x:f>
        <x:v>0</x:v>
      </x:c>
      <x:c r="Q8" s="93" t="str"/>
      <x:c r="R8" s="94"/>
      <x:c r="S8" s="94"/>
      <x:c r="T8" s="94"/>
      <x:c r="U8" s="93" t="str"/>
      <x:c r="V8" s="93" t="str"/>
      <x:c r="W8" s="39" t="str">
        <x:v>当前原型 + 最新需求清单</x:v>
      </x:c>
    </x:row>
    <x:row r="9" ht="76" customHeight="1">
      <x:c r="A9" s="39" t="str">
        <x:v>F005</x:v>
      </x:c>
      <x:c r="B9" s="39" t="str">
        <x:v>首页与通知</x:v>
      </x:c>
      <x:c r="C9" s="39" t="str">
        <x:v>接收派单、拒单、完成、报价等业务通知</x:v>
      </x:c>
      <x:c r="D9" s="39" t="str">
        <x:v>面向相关角色，支持接收派单、拒单、完成、报价等业务通知；正式交付需结合真实数据、权限和验收规则确认。</x:v>
      </x:c>
      <x:c r="E9" s="39" t="str">
        <x:v>相关角色</x:v>
      </x:c>
      <x:c r="F9" s="39" t="str">
        <x:v>通知中心</x:v>
      </x:c>
      <x:c r="G9" s="39" t="str">
        <x:v>展示派单、拒单、完成、报价等业务通知。</x:v>
      </x:c>
      <x:c r="H9" s="39" t="str">
        <x:v>通知类型、接收角色/人员、关联编号、发送时间、已读状态</x:v>
      </x:c>
      <x:c r="I9" s="39" t="str">
        <x:v>点击通知打开关联业务；支持标记已读。外部渠道需接口POC。</x:v>
      </x:c>
      <x:c r="J9" s="41" t="str">
        <x:v>流程演示</x:v>
      </x:c>
      <x:c r="K9" s="41" t="str">
        <x:v>P0/P1</x:v>
      </x:c>
      <x:c r="L9" s="91" t="str">
        <x:v>待客户确认</x:v>
      </x:c>
      <x:c r="M9" s="91" t="str">
        <x:v>未开始</x:v>
      </x:c>
      <x:c r="N9" s="91" t="str">
        <x:v>未开始</x:v>
      </x:c>
      <x:c r="O9" s="91" t="str">
        <x:v>未开始</x:v>
      </x:c>
      <x:c r="P9" s="92" t="n">
        <x:f>IF(O9="已验收",1,IF(O9="验收中",0.9,IF(N9="已通过",0.85,IF(N9="测试中",0.7,IF(M9="已完成",0.6,IF(M9="开发中",0.35,IF(M9="设计中",0.1,0)))))))</x:f>
        <x:v>0</x:v>
      </x:c>
      <x:c r="Q9" s="93" t="str"/>
      <x:c r="R9" s="94"/>
      <x:c r="S9" s="94"/>
      <x:c r="T9" s="94"/>
      <x:c r="U9" s="93" t="str">
        <x:v>需确认渠道</x:v>
      </x:c>
      <x:c r="V9" s="93" t="str"/>
      <x:c r="W9" s="39" t="str">
        <x:v>当前原型 + 最新需求清单</x:v>
      </x:c>
    </x:row>
    <x:row r="10" ht="76" customHeight="1">
      <x:c r="A10" s="39" t="str">
        <x:v>F006</x:v>
      </x:c>
      <x:c r="B10" s="39" t="str">
        <x:v>CALL 受理与工单管理</x:v>
      </x:c>
      <x:c r="C10" s="39" t="str">
        <x:v>记录来电并判断“仅答疑”或“创建工单”</x:v>
      </x:c>
      <x:c r="D10" s="39" t="str">
        <x:v>面向CS，支持记录来电并判断“仅答疑”或“创建工单”；正式交付需结合真实数据、权限和验收规则确认。</x:v>
      </x:c>
      <x:c r="E10" s="39" t="str">
        <x:v>CS</x:v>
      </x:c>
      <x:c r="F10" s="39" t="str">
        <x:v>CALL受理记录</x:v>
      </x:c>
      <x:c r="G10" s="39" t="str">
        <x:v>记录客户来电或消息，并判断仅答疑、建单或其他处理。</x:v>
      </x:c>
      <x:c r="H10" s="39" t="str">
        <x:v>客户、联系人/电话、来源渠道、内容摘要、受理判断、跟进备注</x:v>
      </x:c>
      <x:c r="I10" s="39" t="str">
        <x:v>登记来电后选择“仅答疑”或“创建CALL”；创建时进入新建CALL表单。</x:v>
      </x:c>
      <x:c r="J10" s="41" t="str">
        <x:v>可演示</x:v>
      </x:c>
      <x:c r="K10" s="41" t="str">
        <x:v>P0</x:v>
      </x:c>
      <x:c r="L10" s="91" t="str">
        <x:v>待客户确认</x:v>
      </x:c>
      <x:c r="M10" s="91" t="str">
        <x:v>未开始</x:v>
      </x:c>
      <x:c r="N10" s="91" t="str">
        <x:v>未开始</x:v>
      </x:c>
      <x:c r="O10" s="91" t="str">
        <x:v>未开始</x:v>
      </x:c>
      <x:c r="P10" s="92" t="n">
        <x:f>IF(O10="已验收",1,IF(O10="验收中",0.9,IF(N10="已通过",0.85,IF(N10="测试中",0.7,IF(M10="已完成",0.6,IF(M10="开发中",0.35,IF(M10="设计中",0.1,0)))))))</x:f>
        <x:v>0</x:v>
      </x:c>
      <x:c r="Q10" s="93" t="str"/>
      <x:c r="R10" s="94"/>
      <x:c r="S10" s="94"/>
      <x:c r="T10" s="94"/>
      <x:c r="U10" s="93" t="str"/>
      <x:c r="V10" s="93" t="str"/>
      <x:c r="W10" s="39" t="str">
        <x:v>当前原型 + 最新需求清单</x:v>
      </x:c>
    </x:row>
    <x:row r="11" ht="76" customHeight="1">
      <x:c r="A11" s="39" t="str">
        <x:v>F007</x:v>
      </x:c>
      <x:c r="B11" s="39" t="str">
        <x:v>CALL 受理与工单管理</x:v>
      </x:c>
      <x:c r="C11" s="39" t="str">
        <x:v>新建工单、保存草稿、提交和取消</x:v>
      </x:c>
      <x:c r="D11" s="39" t="str">
        <x:v>面向CS、CR、ADMIN，支持新建工单、保存草稿、提交和取消；正式交付需结合真实数据、权限和验收规则确认。</x:v>
      </x:c>
      <x:c r="E11" s="39" t="str">
        <x:v>CS、CR、ADMIN</x:v>
      </x:c>
      <x:c r="F11" s="39" t="str">
        <x:v>新建/编辑CALL</x:v>
      </x:c>
      <x:c r="G11" s="39" t="str">
        <x:v>创建、编辑和暂存CALL，记录客户、地点、分类及问题信息。</x:v>
      </x:c>
      <x:c r="H11" s="39" t="str">
        <x:v>CALL编号、任务编号、客户/联系人、联系电话、CALL代码、CALL类型、区域、标准地点/地址、问题描述、附件、优先级/紧急、保存方式</x:v>
      </x:c>
      <x:c r="I11" s="39" t="str">
        <x:v>点击新建，填写并校验必填项，可保存草稿、提交或取消。</x:v>
      </x:c>
      <x:c r="J11" s="41" t="str">
        <x:v>可演示</x:v>
      </x:c>
      <x:c r="K11" s="41" t="str">
        <x:v>P0</x:v>
      </x:c>
      <x:c r="L11" s="91" t="str">
        <x:v>待客户确认</x:v>
      </x:c>
      <x:c r="M11" s="91" t="str">
        <x:v>未开始</x:v>
      </x:c>
      <x:c r="N11" s="91" t="str">
        <x:v>未开始</x:v>
      </x:c>
      <x:c r="O11" s="91" t="str">
        <x:v>未开始</x:v>
      </x:c>
      <x:c r="P11" s="92" t="n">
        <x:f>IF(O11="已验收",1,IF(O11="验收中",0.9,IF(N11="已通过",0.85,IF(N11="测试中",0.7,IF(M11="已完成",0.6,IF(M11="开发中",0.35,IF(M11="设计中",0.1,0)))))))</x:f>
        <x:v>0</x:v>
      </x:c>
      <x:c r="Q11" s="93" t="str"/>
      <x:c r="R11" s="94"/>
      <x:c r="S11" s="94"/>
      <x:c r="T11" s="94"/>
      <x:c r="U11" s="93" t="str"/>
      <x:c r="V11" s="93" t="str"/>
      <x:c r="W11" s="39" t="str">
        <x:v>当前原型 + 最新需求清单</x:v>
      </x:c>
    </x:row>
    <x:row r="12" ht="76" customHeight="1">
      <x:c r="A12" s="39" t="str">
        <x:v>F008</x:v>
      </x:c>
      <x:c r="B12" s="39" t="str">
        <x:v>CALL 受理与工单管理</x:v>
      </x:c>
      <x:c r="C12" s="39" t="str">
        <x:v>选择客户、联系人并带入客户资料</x:v>
      </x:c>
      <x:c r="D12" s="39" t="str">
        <x:v>面向CS、CR，支持选择客户、联系人并带入客户资料；正式交付需结合真实数据、权限和验收规则确认。</x:v>
      </x:c>
      <x:c r="E12" s="39" t="str">
        <x:v>CS、CR</x:v>
      </x:c>
      <x:c r="F12" s="39" t="str">
        <x:v>新建/编辑CALL</x:v>
      </x:c>
      <x:c r="G12" s="39" t="str">
        <x:v>创建、编辑和暂存CALL，记录客户、地点、分类及问题信息。</x:v>
      </x:c>
      <x:c r="H12" s="39" t="str">
        <x:v>CALL编号、任务编号、客户/联系人、联系电话、CALL代码、CALL类型、区域、标准地点/地址、问题描述、附件、优先级/紧急、保存方式</x:v>
      </x:c>
      <x:c r="I12" s="39" t="str">
        <x:v>点击新建或编辑，系统生成编号；完成必填校验后可保存草稿或提交。</x:v>
      </x:c>
      <x:c r="J12" s="41" t="str">
        <x:v>可演示</x:v>
      </x:c>
      <x:c r="K12" s="41" t="str">
        <x:v>P0</x:v>
      </x:c>
      <x:c r="L12" s="91" t="str">
        <x:v>待客户确认</x:v>
      </x:c>
      <x:c r="M12" s="91" t="str">
        <x:v>未开始</x:v>
      </x:c>
      <x:c r="N12" s="91" t="str">
        <x:v>未开始</x:v>
      </x:c>
      <x:c r="O12" s="91" t="str">
        <x:v>未开始</x:v>
      </x:c>
      <x:c r="P12" s="92" t="n">
        <x:f>IF(O12="已验收",1,IF(O12="验收中",0.9,IF(N12="已通过",0.85,IF(N12="测试中",0.7,IF(M12="已完成",0.6,IF(M12="开发中",0.35,IF(M12="设计中",0.1,0)))))))</x:f>
        <x:v>0</x:v>
      </x:c>
      <x:c r="Q12" s="93" t="str"/>
      <x:c r="R12" s="94"/>
      <x:c r="S12" s="94"/>
      <x:c r="T12" s="94"/>
      <x:c r="U12" s="93" t="str"/>
      <x:c r="V12" s="93" t="str"/>
      <x:c r="W12" s="39" t="str">
        <x:v>当前原型 + 最新需求清单</x:v>
      </x:c>
    </x:row>
    <x:row r="13" ht="76" customHeight="1">
      <x:c r="A13" s="39" t="str">
        <x:v>F009</x:v>
      </x:c>
      <x:c r="B13" s="39" t="str">
        <x:v>CALL 受理与工单管理</x:v>
      </x:c>
      <x:c r="C13" s="39" t="str">
        <x:v>填写 CALL 代码、类型、区域、标准地点、问题描述和附件</x:v>
      </x:c>
      <x:c r="D13" s="39" t="str">
        <x:v>面向CS、CR、TL，支持填写 CALL 代码、类型、区域、标准地点、问题描述和附件；正式交付需结合真实数据、权限和验收规则确认。</x:v>
      </x:c>
      <x:c r="E13" s="39" t="str">
        <x:v>CS、CR、TL</x:v>
      </x:c>
      <x:c r="F13" s="39" t="str">
        <x:v>新建/编辑CALL</x:v>
      </x:c>
      <x:c r="G13" s="39" t="str">
        <x:v>创建、编辑和暂存CALL，记录客户、地点、分类及问题信息。</x:v>
      </x:c>
      <x:c r="H13" s="39" t="str">
        <x:v>CALL编号、任务编号、客户/联系人、联系电话、CALL代码、CALL类型、区域、标准地点/地址、问题描述、附件、优先级/紧急、保存方式</x:v>
      </x:c>
      <x:c r="I13" s="39" t="str">
        <x:v>点击新建或编辑，系统生成编号；完成必填校验后可保存草稿或提交。</x:v>
      </x:c>
      <x:c r="J13" s="41" t="str">
        <x:v>可演示</x:v>
      </x:c>
      <x:c r="K13" s="41" t="str">
        <x:v>P0</x:v>
      </x:c>
      <x:c r="L13" s="91" t="str">
        <x:v>待客户确认</x:v>
      </x:c>
      <x:c r="M13" s="91" t="str">
        <x:v>未开始</x:v>
      </x:c>
      <x:c r="N13" s="91" t="str">
        <x:v>未开始</x:v>
      </x:c>
      <x:c r="O13" s="91" t="str">
        <x:v>未开始</x:v>
      </x:c>
      <x:c r="P13" s="92" t="n">
        <x:f>IF(O13="已验收",1,IF(O13="验收中",0.9,IF(N13="已通过",0.85,IF(N13="测试中",0.7,IF(M13="已完成",0.6,IF(M13="开发中",0.35,IF(M13="设计中",0.1,0)))))))</x:f>
        <x:v>0</x:v>
      </x:c>
      <x:c r="Q13" s="93" t="str"/>
      <x:c r="R13" s="94"/>
      <x:c r="S13" s="94"/>
      <x:c r="T13" s="94"/>
      <x:c r="U13" s="93" t="str"/>
      <x:c r="V13" s="93" t="str"/>
      <x:c r="W13" s="39" t="str">
        <x:v>当前原型 + 最新需求清单</x:v>
      </x:c>
    </x:row>
    <x:row r="14" ht="76" customHeight="1">
      <x:c r="A14" s="39" t="str">
        <x:v>F010</x:v>
      </x:c>
      <x:c r="B14" s="39" t="str">
        <x:v>CALL 受理与工单管理</x:v>
      </x:c>
      <x:c r="C14" s="39" t="str">
        <x:v>按状态、类型、区域、负责人、师傅、客户和关键词筛选</x:v>
      </x:c>
      <x:c r="D14" s="39" t="str">
        <x:v>面向CS、CR、TL、ADMIN，支持按状态、类型、区域、负责人、师傅、客户和关键词筛选；正式交付需结合真实数据、权限和验收规则确认。</x:v>
      </x:c>
      <x:c r="E14" s="39" t="str">
        <x:v>CS、CR、TL、ADMIN</x:v>
      </x:c>
      <x:c r="F14" s="39" t="str">
        <x:v>CALL列表与筛选</x:v>
      </x:c>
      <x:c r="G14" s="39" t="str">
        <x:v>按多个业务维度查询CALL并进入详情。</x:v>
      </x:c>
      <x:c r="H14" s="39" t="str">
        <x:v>关键词、状态、CALL类型、区域、负责人/师傅、客户、编号/客户/类型、状态/负责人/更新时间</x:v>
      </x:c>
      <x:c r="I14" s="39" t="str">
        <x:v>组合选择状态、类型、区域、人员、客户或关键词，列表即时刷新并支持清空。</x:v>
      </x:c>
      <x:c r="J14" s="41" t="str">
        <x:v>可演示</x:v>
      </x:c>
      <x:c r="K14" s="41" t="str">
        <x:v>P0</x:v>
      </x:c>
      <x:c r="L14" s="91" t="str">
        <x:v>待客户确认</x:v>
      </x:c>
      <x:c r="M14" s="91" t="str">
        <x:v>未开始</x:v>
      </x:c>
      <x:c r="N14" s="91" t="str">
        <x:v>未开始</x:v>
      </x:c>
      <x:c r="O14" s="91" t="str">
        <x:v>未开始</x:v>
      </x:c>
      <x:c r="P14" s="92" t="n">
        <x:f>IF(O14="已验收",1,IF(O14="验收中",0.9,IF(N14="已通过",0.85,IF(N14="测试中",0.7,IF(M14="已完成",0.6,IF(M14="开发中",0.35,IF(M14="设计中",0.1,0)))))))</x:f>
        <x:v>0</x:v>
      </x:c>
      <x:c r="Q14" s="93" t="str"/>
      <x:c r="R14" s="94"/>
      <x:c r="S14" s="94"/>
      <x:c r="T14" s="94"/>
      <x:c r="U14" s="93" t="str"/>
      <x:c r="V14" s="93" t="str"/>
      <x:c r="W14" s="39" t="str">
        <x:v>当前原型 + 最新需求清单</x:v>
      </x:c>
    </x:row>
    <x:row r="15" ht="76" customHeight="1">
      <x:c r="A15" s="39" t="str">
        <x:v>F011</x:v>
      </x:c>
      <x:c r="B15" s="39" t="str">
        <x:v>CALL 受理与工单管理</x:v>
      </x:c>
      <x:c r="C15" s="39" t="str">
        <x:v>查看 CALL 详情、处理记录、催单记录和状态时间线</x:v>
      </x:c>
      <x:c r="D15" s="39" t="str">
        <x:v>面向相关业务角色，支持查看 CALL 详情、处理记录、催单记录和状态时间线；正式交付需结合真实数据、权限和验收规则确认。</x:v>
      </x:c>
      <x:c r="E15" s="39" t="str">
        <x:v>相关业务角色</x:v>
      </x:c>
      <x:c r="F15" s="39" t="str">
        <x:v>CALL详情与操作</x:v>
      </x:c>
      <x:c r="G15" s="39" t="str">
        <x:v>展示CALL完整资料、处理记录、催单记录和状态时间线。</x:v>
      </x:c>
      <x:c r="H15" s="39" t="str">
        <x:v>CALL/任务编号、状态/类型/区域、客户/联系人/电话、地址/标准地点、TL/师傅/负责人、问题描述/附件、处理时间线、催单记录、完成/取消原因</x:v>
      </x:c>
      <x:c r="I15" s="39" t="str">
        <x:v>进入页面查看 CALL 详情、处理记录、催单记录和状态时间线；点击相关卡片或编号下钻。根据角色和状态显示完成、取消、补充、催单、编辑、关联报价等操作；操作后写入时间线。</x:v>
      </x:c>
      <x:c r="J15" s="41" t="str">
        <x:v>可演示</x:v>
      </x:c>
      <x:c r="K15" s="41" t="str">
        <x:v>P0</x:v>
      </x:c>
      <x:c r="L15" s="91" t="str">
        <x:v>待客户确认</x:v>
      </x:c>
      <x:c r="M15" s="91" t="str">
        <x:v>未开始</x:v>
      </x:c>
      <x:c r="N15" s="91" t="str">
        <x:v>未开始</x:v>
      </x:c>
      <x:c r="O15" s="91" t="str">
        <x:v>未开始</x:v>
      </x:c>
      <x:c r="P15" s="92" t="n">
        <x:f>IF(O15="已验收",1,IF(O15="验收中",0.9,IF(N15="已通过",0.85,IF(N15="测试中",0.7,IF(M15="已完成",0.6,IF(M15="开发中",0.35,IF(M15="设计中",0.1,0)))))))</x:f>
        <x:v>0</x:v>
      </x:c>
      <x:c r="Q15" s="93" t="str"/>
      <x:c r="R15" s="94"/>
      <x:c r="S15" s="94"/>
      <x:c r="T15" s="94"/>
      <x:c r="U15" s="93" t="str"/>
      <x:c r="V15" s="93" t="str"/>
      <x:c r="W15" s="39" t="str">
        <x:v>当前原型 + 最新需求清单</x:v>
      </x:c>
    </x:row>
    <x:row r="16" ht="76" customHeight="1">
      <x:c r="A16" s="39" t="str">
        <x:v>F012</x:v>
      </x:c>
      <x:c r="B16" s="39" t="str">
        <x:v>CALL 受理与工单管理</x:v>
      </x:c>
      <x:c r="C16" s="39" t="str">
        <x:v>直接完成、取消、补充资料、催单、编辑和关联报价</x:v>
      </x:c>
      <x:c r="D16" s="39" t="str">
        <x:v>面向CS、CR、TL、ADMIN，支持直接完成、取消、补充资料、催单、编辑和关联报价；正式交付需结合真实数据、权限和验收规则确认。</x:v>
      </x:c>
      <x:c r="E16" s="39" t="str">
        <x:v>CS、CR、TL、ADMIN</x:v>
      </x:c>
      <x:c r="F16" s="39" t="str">
        <x:v>CALL详情与操作</x:v>
      </x:c>
      <x:c r="G16" s="39" t="str">
        <x:v>展示CALL完整资料、处理记录、催单记录和状态时间线。</x:v>
      </x:c>
      <x:c r="H16" s="39" t="str">
        <x:v>CALL/任务编号、状态/类型/区域、客户/联系人/电话、地址/标准地点、TL/师傅/负责人、问题描述/附件、处理时间线、催单记录、完成/取消原因</x:v>
      </x:c>
      <x:c r="I16" s="39" t="str">
        <x:v>详情页按角色和当前状态展示允许动作；确认后更新状态并写入时间线。</x:v>
      </x:c>
      <x:c r="J16" s="41" t="str">
        <x:v>可演示</x:v>
      </x:c>
      <x:c r="K16" s="41" t="str">
        <x:v>P0/P1</x:v>
      </x:c>
      <x:c r="L16" s="91" t="str">
        <x:v>待客户确认</x:v>
      </x:c>
      <x:c r="M16" s="91" t="str">
        <x:v>未开始</x:v>
      </x:c>
      <x:c r="N16" s="91" t="str">
        <x:v>未开始</x:v>
      </x:c>
      <x:c r="O16" s="91" t="str">
        <x:v>未开始</x:v>
      </x:c>
      <x:c r="P16" s="92" t="n">
        <x:f>IF(O16="已验收",1,IF(O16="验收中",0.9,IF(N16="已通过",0.85,IF(N16="测试中",0.7,IF(M16="已完成",0.6,IF(M16="开发中",0.35,IF(M16="设计中",0.1,0)))))))</x:f>
        <x:v>0</x:v>
      </x:c>
      <x:c r="Q16" s="93" t="str"/>
      <x:c r="R16" s="94"/>
      <x:c r="S16" s="94"/>
      <x:c r="T16" s="94"/>
      <x:c r="U16" s="93" t="str"/>
      <x:c r="V16" s="93" t="str"/>
      <x:c r="W16" s="39" t="str">
        <x:v>当前原型 + 最新需求清单</x:v>
      </x:c>
    </x:row>
    <x:row r="17" ht="76" customHeight="1">
      <x:c r="A17" s="39" t="str">
        <x:v>F013</x:v>
      </x:c>
      <x:c r="B17" s="39" t="str">
        <x:v>CALL 受理与工单管理</x:v>
      </x:c>
      <x:c r="C17" s="39" t="str">
        <x:v>使用“任务编号”作为分派中心独立流水号，与 CALL 编号分离</x:v>
      </x:c>
      <x:c r="D17" s="39" t="str">
        <x:v>分派任务使用独立任务编号，不能覆盖CALL编号；两个编号均需支持关联查询。</x:v>
      </x:c>
      <x:c r="E17" s="39" t="str">
        <x:v>TL、CR、ADMIN</x:v>
      </x:c>
      <x:c r="F17" s="39" t="str">
        <x:v>分派中心/分派弹窗</x:v>
      </x:c>
      <x:c r="G17" s="39" t="str">
        <x:v>查看待分派任务，筛选候选师傅并完成首次分派或改派。</x:v>
      </x:c>
      <x:c r="H17" s="39" t="str">
        <x:v>任务编号/CALL编号、客户/区域/类型/描述、师傅姓名、区域/技能、今日负载、工作状态、选择师傅、单据类型、派工备注、分派历史</x:v>
      </x:c>
      <x:c r="I17" s="39" t="str">
        <x:v>选择任务后打开分派弹窗；系统推荐同区域可接单且负载最低的师傅，人工可按技能筛选并确认。</x:v>
      </x:c>
      <x:c r="J17" s="41" t="str">
        <x:v>可演示</x:v>
      </x:c>
      <x:c r="K17" s="41" t="str">
        <x:v>P0</x:v>
      </x:c>
      <x:c r="L17" s="91" t="str">
        <x:v>待客户确认</x:v>
      </x:c>
      <x:c r="M17" s="91" t="str">
        <x:v>未开始</x:v>
      </x:c>
      <x:c r="N17" s="91" t="str">
        <x:v>未开始</x:v>
      </x:c>
      <x:c r="O17" s="91" t="str">
        <x:v>未开始</x:v>
      </x:c>
      <x:c r="P17" s="92" t="n">
        <x:f>IF(O17="已验收",1,IF(O17="验收中",0.9,IF(N17="已通过",0.85,IF(N17="测试中",0.7,IF(M17="已完成",0.6,IF(M17="开发中",0.35,IF(M17="设计中",0.1,0)))))))</x:f>
        <x:v>0</x:v>
      </x:c>
      <x:c r="Q17" s="93" t="str"/>
      <x:c r="R17" s="94"/>
      <x:c r="S17" s="94"/>
      <x:c r="T17" s="94"/>
      <x:c r="U17" s="93" t="str">
        <x:v>需确认编号规则</x:v>
      </x:c>
      <x:c r="V17" s="93" t="str"/>
      <x:c r="W17" s="39" t="str">
        <x:v>当前原型 + 最新需求清单</x:v>
      </x:c>
    </x:row>
    <x:row r="18" ht="76" customHeight="1">
      <x:c r="A18" s="39" t="str">
        <x:v>F014</x:v>
      </x:c>
      <x:c r="B18" s="39" t="str">
        <x:v>分派与调度</x:v>
      </x:c>
      <x:c r="C18" s="39" t="str">
        <x:v>查看待分派、已分派、申请审批和可接单师傅指标</x:v>
      </x:c>
      <x:c r="D18" s="39" t="str">
        <x:v>面向TL、CR、ADMIN，支持查看待分派、已分派、申请审批和可接单师傅指标；正式交付需结合真实数据、权限和验收规则确认。</x:v>
      </x:c>
      <x:c r="E18" s="39" t="str">
        <x:v>TL、CR、ADMIN</x:v>
      </x:c>
      <x:c r="F18" s="39" t="str">
        <x:v>分派中心/分派弹窗</x:v>
      </x:c>
      <x:c r="G18" s="39" t="str">
        <x:v>查看待分派任务，筛选候选师傅并完成首次分派或改派。</x:v>
      </x:c>
      <x:c r="H18" s="39" t="str">
        <x:v>任务编号/CALL编号、客户/区域/类型/描述、师傅姓名、区域/技能、今日负载、工作状态、选择师傅、单据类型、派工备注、分派历史</x:v>
      </x:c>
      <x:c r="I18" s="39" t="str">
        <x:v>进入页面查看待分派、已分派、申请审批和可接单师傅指标；点击相关卡片或编号下钻。选择任务后打开分派弹窗；系统推荐同区域可接单且负载最低的师傅，人工可按技能筛选并确认。</x:v>
      </x:c>
      <x:c r="J18" s="41" t="str">
        <x:v>可演示</x:v>
      </x:c>
      <x:c r="K18" s="41" t="str">
        <x:v>P0</x:v>
      </x:c>
      <x:c r="L18" s="91" t="str">
        <x:v>待客户确认</x:v>
      </x:c>
      <x:c r="M18" s="91" t="str">
        <x:v>未开始</x:v>
      </x:c>
      <x:c r="N18" s="91" t="str">
        <x:v>未开始</x:v>
      </x:c>
      <x:c r="O18" s="91" t="str">
        <x:v>未开始</x:v>
      </x:c>
      <x:c r="P18" s="92" t="n">
        <x:f>IF(O18="已验收",1,IF(O18="验收中",0.9,IF(N18="已通过",0.85,IF(N18="测试中",0.7,IF(M18="已完成",0.6,IF(M18="开发中",0.35,IF(M18="设计中",0.1,0)))))))</x:f>
        <x:v>0</x:v>
      </x:c>
      <x:c r="Q18" s="93" t="str"/>
      <x:c r="R18" s="94"/>
      <x:c r="S18" s="94"/>
      <x:c r="T18" s="94"/>
      <x:c r="U18" s="93" t="str"/>
      <x:c r="V18" s="93" t="str"/>
      <x:c r="W18" s="39" t="str">
        <x:v>当前原型 + 最新需求清单</x:v>
      </x:c>
    </x:row>
    <x:row r="19" ht="76" customHeight="1">
      <x:c r="A19" s="39" t="str">
        <x:v>F015</x:v>
      </x:c>
      <x:c r="B19" s="39" t="str">
        <x:v>分派与调度</x:v>
      </x:c>
      <x:c r="C19" s="39" t="str">
        <x:v>按任务编号、CALL、客户、区域、状态和类型搜索</x:v>
      </x:c>
      <x:c r="D19" s="39" t="str">
        <x:v>面向TL、CR，支持按任务编号、CALL、客户、区域、状态和类型搜索；正式交付需结合真实数据、权限和验收规则确认。</x:v>
      </x:c>
      <x:c r="E19" s="39" t="str">
        <x:v>TL、CR</x:v>
      </x:c>
      <x:c r="F19" s="39" t="str">
        <x:v>分派中心/分派弹窗</x:v>
      </x:c>
      <x:c r="G19" s="39" t="str">
        <x:v>查看待分派任务，筛选候选师傅并完成首次分派或改派。</x:v>
      </x:c>
      <x:c r="H19" s="39" t="str">
        <x:v>任务编号/CALL编号、客户/区域/类型/描述、师傅姓名、区域/技能、今日负载、工作状态、选择师傅、单据类型、派工备注、分派历史</x:v>
      </x:c>
      <x:c r="I19" s="39" t="str">
        <x:v>设置条件后刷新结果，支持清空筛选；点击记录进入详情。选择任务后打开分派弹窗；系统推荐同区域可接单且负载最低的师傅，人工可按技能筛选并确认。</x:v>
      </x:c>
      <x:c r="J19" s="41" t="str">
        <x:v>可演示</x:v>
      </x:c>
      <x:c r="K19" s="41" t="str">
        <x:v>P0</x:v>
      </x:c>
      <x:c r="L19" s="91" t="str">
        <x:v>待客户确认</x:v>
      </x:c>
      <x:c r="M19" s="91" t="str">
        <x:v>未开始</x:v>
      </x:c>
      <x:c r="N19" s="91" t="str">
        <x:v>未开始</x:v>
      </x:c>
      <x:c r="O19" s="91" t="str">
        <x:v>未开始</x:v>
      </x:c>
      <x:c r="P19" s="92" t="n">
        <x:f>IF(O19="已验收",1,IF(O19="验收中",0.9,IF(N19="已通过",0.85,IF(N19="测试中",0.7,IF(M19="已完成",0.6,IF(M19="开发中",0.35,IF(M19="设计中",0.1,0)))))))</x:f>
        <x:v>0</x:v>
      </x:c>
      <x:c r="Q19" s="93" t="str"/>
      <x:c r="R19" s="94"/>
      <x:c r="S19" s="94"/>
      <x:c r="T19" s="94"/>
      <x:c r="U19" s="93" t="str"/>
      <x:c r="V19" s="93" t="str"/>
      <x:c r="W19" s="39" t="str">
        <x:v>当前原型 + 最新需求清单</x:v>
      </x:c>
    </x:row>
    <x:row r="20" ht="76" customHeight="1">
      <x:c r="A20" s="39" t="str">
        <x:v>F016</x:v>
      </x:c>
      <x:c r="B20" s="39" t="str">
        <x:v>分派与调度</x:v>
      </x:c>
      <x:c r="C20" s="39" t="str">
        <x:v>在同区域的可接单师傅中推荐负载最低者；无候选人时不跨区推荐、不自动派单</x:v>
      </x:c>
      <x:c r="D20" s="39" t="str">
        <x:v>系统仅在同区域、启用且可接单的师傅中推荐当前负载最低者，不自动执行派单。</x:v>
      </x:c>
      <x:c r="E20" s="39" t="str">
        <x:v>TL、CR</x:v>
      </x:c>
      <x:c r="F20" s="39" t="str">
        <x:v>分派中心/分派弹窗</x:v>
      </x:c>
      <x:c r="G20" s="39" t="str">
        <x:v>查看待分派任务，筛选候选师傅并完成首次分派或改派。</x:v>
      </x:c>
      <x:c r="H20" s="39" t="str">
        <x:v>任务编号/CALL编号、客户/区域/类型/描述、师傅姓名、区域/技能、今日负载、工作状态、选择师傅、单据类型、派工备注、分派历史</x:v>
      </x:c>
      <x:c r="I20" s="39" t="str">
        <x:v>选择任务后打开分派弹窗；系统推荐同区域可接单且负载最低的师傅，人工可按技能筛选并确认。</x:v>
      </x:c>
      <x:c r="J20" s="41" t="str">
        <x:v>可演示</x:v>
      </x:c>
      <x:c r="K20" s="41" t="str">
        <x:v>P0</x:v>
      </x:c>
      <x:c r="L20" s="91" t="str">
        <x:v>待客户确认</x:v>
      </x:c>
      <x:c r="M20" s="91" t="str">
        <x:v>未开始</x:v>
      </x:c>
      <x:c r="N20" s="91" t="str">
        <x:v>未开始</x:v>
      </x:c>
      <x:c r="O20" s="91" t="str">
        <x:v>未开始</x:v>
      </x:c>
      <x:c r="P20" s="92" t="n">
        <x:f>IF(O20="已验收",1,IF(O20="验收中",0.9,IF(N20="已通过",0.85,IF(N20="测试中",0.7,IF(M20="已完成",0.6,IF(M20="开发中",0.35,IF(M20="设计中",0.1,0)))))))</x:f>
        <x:v>0</x:v>
      </x:c>
      <x:c r="Q20" s="93" t="str"/>
      <x:c r="R20" s="94"/>
      <x:c r="S20" s="94"/>
      <x:c r="T20" s="94"/>
      <x:c r="U20" s="93" t="str">
        <x:v>需 POC 验证</x:v>
      </x:c>
      <x:c r="V20" s="93" t="str"/>
      <x:c r="W20" s="39" t="str">
        <x:v>当前原型 + 最新需求清单</x:v>
      </x:c>
    </x:row>
    <x:row r="21" ht="76" customHeight="1">
      <x:c r="A21" s="39" t="str">
        <x:v>F017</x:v>
      </x:c>
      <x:c r="B21" s="39" t="str">
        <x:v>分派与调度</x:v>
      </x:c>
      <x:c r="C21" s="39" t="str">
        <x:v>人工按师傅技能筛选候选人；技能不参与自动推荐</x:v>
      </x:c>
      <x:c r="D21" s="39" t="str">
        <x:v>技能仅供人工筛选，不参与自动推荐优先级。</x:v>
      </x:c>
      <x:c r="E21" s="39" t="str">
        <x:v>TL、CR</x:v>
      </x:c>
      <x:c r="F21" s="39" t="str">
        <x:v>分派中心/分派弹窗</x:v>
      </x:c>
      <x:c r="G21" s="39" t="str">
        <x:v>查看待分派任务，筛选候选师傅并完成首次分派或改派。</x:v>
      </x:c>
      <x:c r="H21" s="39" t="str">
        <x:v>任务编号/CALL编号、客户/区域/类型/描述、师傅姓名、区域/技能、今日负载、工作状态、选择师傅、单据类型、派工备注、分派历史</x:v>
      </x:c>
      <x:c r="I21" s="39" t="str">
        <x:v>设置条件后刷新结果，支持清空筛选；点击记录进入详情。选择任务后打开分派弹窗；系统推荐同区域可接单且负载最低的师傅，人工可按技能筛选并确认。</x:v>
      </x:c>
      <x:c r="J21" s="41" t="str">
        <x:v>可演示</x:v>
      </x:c>
      <x:c r="K21" s="41" t="str">
        <x:v>P0</x:v>
      </x:c>
      <x:c r="L21" s="91" t="str">
        <x:v>待客户确认</x:v>
      </x:c>
      <x:c r="M21" s="91" t="str">
        <x:v>未开始</x:v>
      </x:c>
      <x:c r="N21" s="91" t="str">
        <x:v>未开始</x:v>
      </x:c>
      <x:c r="O21" s="91" t="str">
        <x:v>未开始</x:v>
      </x:c>
      <x:c r="P21" s="92" t="n">
        <x:f>IF(O21="已验收",1,IF(O21="验收中",0.9,IF(N21="已通过",0.85,IF(N21="测试中",0.7,IF(M21="已完成",0.6,IF(M21="开发中",0.35,IF(M21="设计中",0.1,0)))))))</x:f>
        <x:v>0</x:v>
      </x:c>
      <x:c r="Q21" s="93" t="str"/>
      <x:c r="R21" s="94"/>
      <x:c r="S21" s="94"/>
      <x:c r="T21" s="94"/>
      <x:c r="U21" s="93" t="str">
        <x:v>需确认技能主数据</x:v>
      </x:c>
      <x:c r="V21" s="93" t="str"/>
      <x:c r="W21" s="39" t="str">
        <x:v>当前原型 + 最新需求清单</x:v>
      </x:c>
    </x:row>
    <x:row r="22" ht="76" customHeight="1">
      <x:c r="A22" s="39" t="str">
        <x:v>F018</x:v>
      </x:c>
      <x:c r="B22" s="39" t="str">
        <x:v>分派与调度</x:v>
      </x:c>
      <x:c r="C22" s="39" t="str">
        <x:v>请假师傅置灰且不可分派；负载过高师傅标记为忙碌</x:v>
      </x:c>
      <x:c r="D22" s="39" t="str">
        <x:v>请假师傅不可分派；高负载阈值和请假数据来源需在POC确认。</x:v>
      </x:c>
      <x:c r="E22" s="39" t="str">
        <x:v>TL、CR、ADMIN</x:v>
      </x:c>
      <x:c r="F22" s="39" t="str">
        <x:v>分派中心/分派弹窗</x:v>
      </x:c>
      <x:c r="G22" s="39" t="str">
        <x:v>查看待分派任务，筛选候选师傅并完成首次分派或改派。</x:v>
      </x:c>
      <x:c r="H22" s="39" t="str">
        <x:v>任务编号/CALL编号、客户/区域/类型/描述、师傅姓名、区域/技能、今日负载、工作状态、选择师傅、单据类型、派工备注、分派历史</x:v>
      </x:c>
      <x:c r="I22" s="39" t="str">
        <x:v>选择任务后打开分派弹窗；系统推荐同区域可接单且负载最低的师傅，人工可按技能筛选并确认。</x:v>
      </x:c>
      <x:c r="J22" s="41" t="str">
        <x:v>可演示</x:v>
      </x:c>
      <x:c r="K22" s="41" t="str">
        <x:v>P0</x:v>
      </x:c>
      <x:c r="L22" s="91" t="str">
        <x:v>待客户确认</x:v>
      </x:c>
      <x:c r="M22" s="91" t="str">
        <x:v>未开始</x:v>
      </x:c>
      <x:c r="N22" s="91" t="str">
        <x:v>未开始</x:v>
      </x:c>
      <x:c r="O22" s="91" t="str">
        <x:v>未开始</x:v>
      </x:c>
      <x:c r="P22" s="92" t="n">
        <x:f>IF(O22="已验收",1,IF(O22="验收中",0.9,IF(N22="已通过",0.85,IF(N22="测试中",0.7,IF(M22="已完成",0.6,IF(M22="开发中",0.35,IF(M22="设计中",0.1,0)))))))</x:f>
        <x:v>0</x:v>
      </x:c>
      <x:c r="Q22" s="93" t="str"/>
      <x:c r="R22" s="94"/>
      <x:c r="S22" s="94"/>
      <x:c r="T22" s="94"/>
      <x:c r="U22" s="93" t="str">
        <x:v>需确认阈值</x:v>
      </x:c>
      <x:c r="V22" s="93" t="str"/>
      <x:c r="W22" s="39" t="str">
        <x:v>当前原型 + 最新需求清单</x:v>
      </x:c>
    </x:row>
    <x:row r="23" ht="76" customHeight="1">
      <x:c r="A23" s="39" t="str">
        <x:v>F019</x:v>
      </x:c>
      <x:c r="B23" s="39" t="str">
        <x:v>分派与调度</x:v>
      </x:c>
      <x:c r="C23" s="39" t="str">
        <x:v>首次分派、改派、派工备注和分派日志</x:v>
      </x:c>
      <x:c r="D23" s="39" t="str">
        <x:v>面向TL、CR，支持首次分派、改派、派工备注和分派日志；正式交付需结合真实数据、权限和验收规则确认。</x:v>
      </x:c>
      <x:c r="E23" s="39" t="str">
        <x:v>TL、CR</x:v>
      </x:c>
      <x:c r="F23" s="39" t="str">
        <x:v>分派中心/分派弹窗</x:v>
      </x:c>
      <x:c r="G23" s="39" t="str">
        <x:v>查看待分派任务，筛选候选师傅并完成首次分派或改派。</x:v>
      </x:c>
      <x:c r="H23" s="39" t="str">
        <x:v>任务编号/CALL编号、客户/区域/类型/描述、师傅姓名、区域/技能、今日负载、工作状态、选择师傅、单据类型、派工备注、分派历史</x:v>
      </x:c>
      <x:c r="I23" s="39" t="str">
        <x:v>选择任务与师傅，填写备注后确认；改派保留原分派记录。</x:v>
      </x:c>
      <x:c r="J23" s="41" t="str">
        <x:v>可演示</x:v>
      </x:c>
      <x:c r="K23" s="41" t="str">
        <x:v>P0</x:v>
      </x:c>
      <x:c r="L23" s="91" t="str">
        <x:v>待客户确认</x:v>
      </x:c>
      <x:c r="M23" s="91" t="str">
        <x:v>未开始</x:v>
      </x:c>
      <x:c r="N23" s="91" t="str">
        <x:v>未开始</x:v>
      </x:c>
      <x:c r="O23" s="91" t="str">
        <x:v>未开始</x:v>
      </x:c>
      <x:c r="P23" s="92" t="n">
        <x:f>IF(O23="已验收",1,IF(O23="验收中",0.9,IF(N23="已通过",0.85,IF(N23="测试中",0.7,IF(M23="已完成",0.6,IF(M23="开发中",0.35,IF(M23="设计中",0.1,0)))))))</x:f>
        <x:v>0</x:v>
      </x:c>
      <x:c r="Q23" s="93" t="str"/>
      <x:c r="R23" s="94"/>
      <x:c r="S23" s="94"/>
      <x:c r="T23" s="94"/>
      <x:c r="U23" s="93" t="str"/>
      <x:c r="V23" s="93" t="str"/>
      <x:c r="W23" s="39" t="str">
        <x:v>当前原型 + 最新需求清单</x:v>
      </x:c>
    </x:row>
    <x:row r="24" ht="76" customHeight="1">
      <x:c r="A24" s="39" t="str">
        <x:v>F020</x:v>
      </x:c>
      <x:c r="B24" s="39" t="str">
        <x:v>分派与调度</x:v>
      </x:c>
      <x:c r="C24" s="39" t="str">
        <x:v>分派权限按“区域主管”及“对应区域 CR”限制</x:v>
      </x:c>
      <x:c r="D24" s="39" t="str">
        <x:v>TL、区域CR与管理员的可见和可操作范围需形成正式权限矩阵。</x:v>
      </x:c>
      <x:c r="E24" s="39" t="str">
        <x:v>TL、CR、ADMIN</x:v>
      </x:c>
      <x:c r="F24" s="39" t="str">
        <x:v>分派中心/分派弹窗</x:v>
      </x:c>
      <x:c r="G24" s="39" t="str">
        <x:v>查看待分派任务，筛选候选师傅并完成首次分派或改派。</x:v>
      </x:c>
      <x:c r="H24" s="39" t="str">
        <x:v>任务编号/CALL编号、客户/区域/类型/描述、师傅姓名、区域/技能、今日负载、工作状态、选择师傅、单据类型、派工备注、分派历史</x:v>
      </x:c>
      <x:c r="I24" s="39" t="str">
        <x:v>选择任务后打开分派弹窗；系统推荐同区域可接单且负载最低的师傅，人工可按技能筛选并确认。</x:v>
      </x:c>
      <x:c r="J24" s="41" t="str">
        <x:v>可演示</x:v>
      </x:c>
      <x:c r="K24" s="41" t="str">
        <x:v>P0</x:v>
      </x:c>
      <x:c r="L24" s="91" t="str">
        <x:v>待客户确认</x:v>
      </x:c>
      <x:c r="M24" s="91" t="str">
        <x:v>未开始</x:v>
      </x:c>
      <x:c r="N24" s="91" t="str">
        <x:v>未开始</x:v>
      </x:c>
      <x:c r="O24" s="91" t="str">
        <x:v>未开始</x:v>
      </x:c>
      <x:c r="P24" s="92" t="n">
        <x:f>IF(O24="已验收",1,IF(O24="验收中",0.9,IF(N24="已通过",0.85,IF(N24="测试中",0.7,IF(M24="已完成",0.6,IF(M24="开发中",0.35,IF(M24="设计中",0.1,0)))))))</x:f>
        <x:v>0</x:v>
      </x:c>
      <x:c r="Q24" s="93" t="str"/>
      <x:c r="R24" s="94"/>
      <x:c r="S24" s="94"/>
      <x:c r="T24" s="94"/>
      <x:c r="U24" s="93" t="str">
        <x:v>需客户确认权限矩阵</x:v>
      </x:c>
      <x:c r="V24" s="93" t="str"/>
      <x:c r="W24" s="39" t="str">
        <x:v>当前原型 + 最新需求清单</x:v>
      </x:c>
    </x:row>
    <x:row r="25" ht="76" customHeight="1">
      <x:c r="A25" s="39" t="str">
        <x:v>F021</x:v>
      </x:c>
      <x:c r="B25" s="39" t="str">
        <x:v>分派与调度</x:v>
      </x:c>
      <x:c r="C25" s="39" t="str">
        <x:v>分派时由系统自动判定领取完工单或服务报告</x:v>
      </x:c>
      <x:c r="D25" s="39" t="str">
        <x:v>系统依据物料、采购或报价关联自动判断领取SR或完工单。</x:v>
      </x:c>
      <x:c r="E25" s="39" t="str">
        <x:v>TL、CR</x:v>
      </x:c>
      <x:c r="F25" s="39" t="str">
        <x:v>分派中心/分派弹窗</x:v>
      </x:c>
      <x:c r="G25" s="39" t="str">
        <x:v>查看待分派任务，筛选候选师傅并完成首次分派或改派。</x:v>
      </x:c>
      <x:c r="H25" s="39" t="str">
        <x:v>任务编号/CALL编号、客户/区域/类型/描述、师傅姓名、区域/技能、今日负载、工作状态、选择师傅、单据类型、派工备注、分派历史</x:v>
      </x:c>
      <x:c r="I25" s="39" t="str">
        <x:v>选择任务后打开分派弹窗；系统推荐同区域可接单且负载最低的师傅，人工可按技能筛选并确认。</x:v>
      </x:c>
      <x:c r="J25" s="41" t="str">
        <x:v>可演示</x:v>
      </x:c>
      <x:c r="K25" s="41" t="str">
        <x:v>P0</x:v>
      </x:c>
      <x:c r="L25" s="91" t="str">
        <x:v>待客户确认</x:v>
      </x:c>
      <x:c r="M25" s="91" t="str">
        <x:v>未开始</x:v>
      </x:c>
      <x:c r="N25" s="91" t="str">
        <x:v>未开始</x:v>
      </x:c>
      <x:c r="O25" s="91" t="str">
        <x:v>未开始</x:v>
      </x:c>
      <x:c r="P25" s="92" t="n">
        <x:f>IF(O25="已验收",1,IF(O25="验收中",0.9,IF(N25="已通过",0.85,IF(N25="测试中",0.7,IF(M25="已完成",0.6,IF(M25="开发中",0.35,IF(M25="设计中",0.1,0)))))))</x:f>
        <x:v>0</x:v>
      </x:c>
      <x:c r="Q25" s="93" t="str"/>
      <x:c r="R25" s="94"/>
      <x:c r="S25" s="94"/>
      <x:c r="T25" s="94"/>
      <x:c r="U25" s="93" t="str">
        <x:v>需确认判定规则</x:v>
      </x:c>
      <x:c r="V25" s="93" t="str"/>
      <x:c r="W25" s="39" t="str">
        <x:v>当前原型 + 最新需求清单</x:v>
      </x:c>
    </x:row>
    <x:row r="26" ht="76" customHeight="1">
      <x:c r="A26" s="39" t="str">
        <x:v>F022</x:v>
      </x:c>
      <x:c r="B26" s="39" t="str">
        <x:v>分派与调度</x:v>
      </x:c>
      <x:c r="C26" s="39" t="str">
        <x:v>师傅接单、拒单并填写拒单原因</x:v>
      </x:c>
      <x:c r="D26" s="39" t="str">
        <x:v>面向MASTER，支持师傅接单、拒单并填写拒单原因；正式交付需结合真实数据、权限和验收规则确认。</x:v>
      </x:c>
      <x:c r="E26" s="39" t="str">
        <x:v>MASTER</x:v>
      </x:c>
      <x:c r="F26" s="39" t="str">
        <x:v>师傅首页/CALL列表/详情</x:v>
      </x:c>
      <x:c r="G26" s="39" t="str">
        <x:v>师傅移动端查看本人任务、优先事项及CALL详情。</x:v>
      </x:c>
      <x:c r="H26" s="39" t="str">
        <x:v>CALL编号/状态、客户/区域/地址、类型/优先级、问题描述/附件、接单/拒单、预计到场/开始时间</x:v>
      </x:c>
      <x:c r="I26" s="39" t="str">
        <x:v>师傅点击收到或拒单；拒单必须填写原因并退回待分派。</x:v>
      </x:c>
      <x:c r="J26" s="41" t="str">
        <x:v>可演示</x:v>
      </x:c>
      <x:c r="K26" s="41" t="str">
        <x:v>P0</x:v>
      </x:c>
      <x:c r="L26" s="91" t="str">
        <x:v>待客户确认</x:v>
      </x:c>
      <x:c r="M26" s="91" t="str">
        <x:v>未开始</x:v>
      </x:c>
      <x:c r="N26" s="91" t="str">
        <x:v>未开始</x:v>
      </x:c>
      <x:c r="O26" s="91" t="str">
        <x:v>未开始</x:v>
      </x:c>
      <x:c r="P26" s="92" t="n">
        <x:f>IF(O26="已验收",1,IF(O26="验收中",0.9,IF(N26="已通过",0.85,IF(N26="测试中",0.7,IF(M26="已完成",0.6,IF(M26="开发中",0.35,IF(M26="设计中",0.1,0)))))))</x:f>
        <x:v>0</x:v>
      </x:c>
      <x:c r="Q26" s="93" t="str"/>
      <x:c r="R26" s="94"/>
      <x:c r="S26" s="94"/>
      <x:c r="T26" s="94"/>
      <x:c r="U26" s="93" t="str"/>
      <x:c r="V26" s="93" t="str"/>
      <x:c r="W26" s="39" t="str">
        <x:v>当前原型 + 最新需求清单</x:v>
      </x:c>
    </x:row>
    <x:row r="27" ht="76" customHeight="1">
      <x:c r="A27" s="39" t="str">
        <x:v>F023</x:v>
      </x:c>
      <x:c r="B27" s="39" t="str">
        <x:v>分派与调度</x:v>
      </x:c>
      <x:c r="C27" s="39" t="str">
        <x:v>主管通过或不通过分派申请</x:v>
      </x:c>
      <x:c r="D27" s="39" t="str">
        <x:v>面向TL，支持主管通过或不通过分派申请；正式交付需结合真实数据、权限和验收规则确认。</x:v>
      </x:c>
      <x:c r="E27" s="39" t="str">
        <x:v>TL</x:v>
      </x:c>
      <x:c r="F27" s="39" t="str">
        <x:v>分派申请审批</x:v>
      </x:c>
      <x:c r="G27" s="39" t="str">
        <x:v>主管查看师傅接单申请并决定通过或不通过。</x:v>
      </x:c>
      <x:c r="H27" s="39" t="str">
        <x:v>任务编号、申请师傅、申请时间、审批结果、审批意见</x:v>
      </x:c>
      <x:c r="I27" s="39" t="str">
        <x:v>打开申请明细，核对任务和申请人后审批；结果回写任务并通知相关人员。</x:v>
      </x:c>
      <x:c r="J27" s="41" t="str">
        <x:v>可演示</x:v>
      </x:c>
      <x:c r="K27" s="41" t="str">
        <x:v>P1</x:v>
      </x:c>
      <x:c r="L27" s="91" t="str">
        <x:v>待客户确认</x:v>
      </x:c>
      <x:c r="M27" s="91" t="str">
        <x:v>未开始</x:v>
      </x:c>
      <x:c r="N27" s="91" t="str">
        <x:v>未开始</x:v>
      </x:c>
      <x:c r="O27" s="91" t="str">
        <x:v>未开始</x:v>
      </x:c>
      <x:c r="P27" s="92" t="n">
        <x:f>IF(O27="已验收",1,IF(O27="验收中",0.9,IF(N27="已通过",0.85,IF(N27="测试中",0.7,IF(M27="已完成",0.6,IF(M27="开发中",0.35,IF(M27="设计中",0.1,0)))))))</x:f>
        <x:v>0</x:v>
      </x:c>
      <x:c r="Q27" s="93" t="str"/>
      <x:c r="R27" s="94"/>
      <x:c r="S27" s="94"/>
      <x:c r="T27" s="94"/>
      <x:c r="U27" s="93" t="str">
        <x:v>需确认是否保留审批节点</x:v>
      </x:c>
      <x:c r="V27" s="93" t="str"/>
      <x:c r="W27" s="39" t="str">
        <x:v>当前原型 + 最新需求清单</x:v>
      </x:c>
    </x:row>
    <x:row r="28" ht="76" customHeight="1">
      <x:c r="A28" s="39" t="str">
        <x:v>F024</x:v>
      </x:c>
      <x:c r="B28" s="39" t="str">
        <x:v>移动端现场执行</x:v>
      </x:c>
      <x:c r="C28" s="39" t="str">
        <x:v>师傅首页查看今日工作、待确认、待处理和处理中 CALL</x:v>
      </x:c>
      <x:c r="D28" s="39" t="str">
        <x:v>面向MASTER，支持师傅首页查看今日工作、待确认、待处理和处理中 CALL；正式交付需结合真实数据、权限和验收规则确认。</x:v>
      </x:c>
      <x:c r="E28" s="39" t="str">
        <x:v>MASTER</x:v>
      </x:c>
      <x:c r="F28" s="39" t="str">
        <x:v>师傅首页/CALL列表/详情</x:v>
      </x:c>
      <x:c r="G28" s="39" t="str">
        <x:v>师傅移动端查看本人任务、优先事项及CALL详情。</x:v>
      </x:c>
      <x:c r="H28" s="39" t="str">
        <x:v>CALL编号/状态、客户/区域/地址、类型/优先级、问题描述/附件、接单/拒单、预计到场/开始时间</x:v>
      </x:c>
      <x:c r="I28" s="39" t="str">
        <x:v>进入页面查看相关记录；点击卡片或编号下钻。通过底部导航切换首页和CALL；点击任务查看详情，按状态接单、拒单或开始处理。</x:v>
      </x:c>
      <x:c r="J28" s="41" t="str">
        <x:v>可演示</x:v>
      </x:c>
      <x:c r="K28" s="41" t="str">
        <x:v>P0</x:v>
      </x:c>
      <x:c r="L28" s="91" t="str">
        <x:v>待客户确认</x:v>
      </x:c>
      <x:c r="M28" s="91" t="str">
        <x:v>未开始</x:v>
      </x:c>
      <x:c r="N28" s="91" t="str">
        <x:v>未开始</x:v>
      </x:c>
      <x:c r="O28" s="91" t="str">
        <x:v>未开始</x:v>
      </x:c>
      <x:c r="P28" s="92" t="n">
        <x:f>IF(O28="已验收",1,IF(O28="验收中",0.9,IF(N28="已通过",0.85,IF(N28="测试中",0.7,IF(M28="已完成",0.6,IF(M28="开发中",0.35,IF(M28="设计中",0.1,0)))))))</x:f>
        <x:v>0</x:v>
      </x:c>
      <x:c r="Q28" s="93" t="str"/>
      <x:c r="R28" s="94"/>
      <x:c r="S28" s="94"/>
      <x:c r="T28" s="94"/>
      <x:c r="U28" s="93" t="str"/>
      <x:c r="V28" s="93" t="str"/>
      <x:c r="W28" s="39" t="str">
        <x:v>当前原型 + 最新需求清单</x:v>
      </x:c>
    </x:row>
    <x:row r="29" ht="76" customHeight="1">
      <x:c r="A29" s="39" t="str">
        <x:v>F025</x:v>
      </x:c>
      <x:c r="B29" s="39" t="str">
        <x:v>移动端现场执行</x:v>
      </x:c>
      <x:c r="C29" s="39" t="str">
        <x:v>查看本人任务列表、优先处理事项和工单详情</x:v>
      </x:c>
      <x:c r="D29" s="39" t="str">
        <x:v>面向MASTER，支持查看本人任务列表、优先处理事项和工单详情；正式交付需结合真实数据、权限和验收规则确认。</x:v>
      </x:c>
      <x:c r="E29" s="39" t="str">
        <x:v>MASTER</x:v>
      </x:c>
      <x:c r="F29" s="39" t="str">
        <x:v>师傅首页/CALL列表/详情</x:v>
      </x:c>
      <x:c r="G29" s="39" t="str">
        <x:v>师傅移动端查看本人任务、优先事项及CALL详情。</x:v>
      </x:c>
      <x:c r="H29" s="39" t="str">
        <x:v>CALL编号/状态、客户/区域/地址、类型/优先级、问题描述/附件、接单/拒单、预计到场/开始时间</x:v>
      </x:c>
      <x:c r="I29" s="39" t="str">
        <x:v>进入页面查看本人任务列表、优先处理事项和工单详情；点击相关卡片或编号下钻。通过底部导航切换首页和CALL；点击任务查看详情，按状态接单、拒单或开始处理。</x:v>
      </x:c>
      <x:c r="J29" s="41" t="str">
        <x:v>可演示</x:v>
      </x:c>
      <x:c r="K29" s="41" t="str">
        <x:v>P0</x:v>
      </x:c>
      <x:c r="L29" s="91" t="str">
        <x:v>待客户确认</x:v>
      </x:c>
      <x:c r="M29" s="91" t="str">
        <x:v>未开始</x:v>
      </x:c>
      <x:c r="N29" s="91" t="str">
        <x:v>未开始</x:v>
      </x:c>
      <x:c r="O29" s="91" t="str">
        <x:v>未开始</x:v>
      </x:c>
      <x:c r="P29" s="92" t="n">
        <x:f>IF(O29="已验收",1,IF(O29="验收中",0.9,IF(N29="已通过",0.85,IF(N29="测试中",0.7,IF(M29="已完成",0.6,IF(M29="开发中",0.35,IF(M29="设计中",0.1,0)))))))</x:f>
        <x:v>0</x:v>
      </x:c>
      <x:c r="Q29" s="93" t="str"/>
      <x:c r="R29" s="94"/>
      <x:c r="S29" s="94"/>
      <x:c r="T29" s="94"/>
      <x:c r="U29" s="93" t="str"/>
      <x:c r="V29" s="93" t="str"/>
      <x:c r="W29" s="39" t="str">
        <x:v>当前原型 + 最新需求清单</x:v>
      </x:c>
    </x:row>
    <x:row r="30" ht="76" customHeight="1">
      <x:c r="A30" s="39" t="str">
        <x:v>F026</x:v>
      </x:c>
      <x:c r="B30" s="39" t="str">
        <x:v>移动端现场执行</x:v>
      </x:c>
      <x:c r="C30" s="39" t="str">
        <x:v>接单、拒单、开始处理、记录到场时间</x:v>
      </x:c>
      <x:c r="D30" s="39" t="str">
        <x:v>面向MASTER，支持接单、拒单、开始处理、记录到场时间；正式交付需结合真实数据、权限和验收规则确认。</x:v>
      </x:c>
      <x:c r="E30" s="39" t="str">
        <x:v>MASTER</x:v>
      </x:c>
      <x:c r="F30" s="39" t="str">
        <x:v>师傅首页/CALL列表/详情</x:v>
      </x:c>
      <x:c r="G30" s="39" t="str">
        <x:v>师傅移动端查看本人任务、优先事项及CALL详情。</x:v>
      </x:c>
      <x:c r="H30" s="39" t="str">
        <x:v>CALL编号/状态、客户/区域/地址、类型/优先级、问题描述/附件、接单/拒单、预计到场/开始时间</x:v>
      </x:c>
      <x:c r="I30" s="39" t="str">
        <x:v>师傅从详情点击接单、拒单或开始处理；每个动作记录操作人与时间。</x:v>
      </x:c>
      <x:c r="J30" s="41" t="str">
        <x:v>可演示</x:v>
      </x:c>
      <x:c r="K30" s="41" t="str">
        <x:v>P0</x:v>
      </x:c>
      <x:c r="L30" s="91" t="str">
        <x:v>待客户确认</x:v>
      </x:c>
      <x:c r="M30" s="91" t="str">
        <x:v>未开始</x:v>
      </x:c>
      <x:c r="N30" s="91" t="str">
        <x:v>未开始</x:v>
      </x:c>
      <x:c r="O30" s="91" t="str">
        <x:v>未开始</x:v>
      </x:c>
      <x:c r="P30" s="92" t="n">
        <x:f>IF(O30="已验收",1,IF(O30="验收中",0.9,IF(N30="已通过",0.85,IF(N30="测试中",0.7,IF(M30="已完成",0.6,IF(M30="开发中",0.35,IF(M30="设计中",0.1,0)))))))</x:f>
        <x:v>0</x:v>
      </x:c>
      <x:c r="Q30" s="93" t="str"/>
      <x:c r="R30" s="94"/>
      <x:c r="S30" s="94"/>
      <x:c r="T30" s="94"/>
      <x:c r="U30" s="93" t="str">
        <x:v>需真机 POC</x:v>
      </x:c>
      <x:c r="V30" s="93" t="str"/>
      <x:c r="W30" s="39" t="str">
        <x:v>当前原型 + 最新需求清单</x:v>
      </x:c>
    </x:row>
    <x:row r="31" ht="76" customHeight="1">
      <x:c r="A31" s="39" t="str">
        <x:v>F027</x:v>
      </x:c>
      <x:c r="B31" s="39" t="str">
        <x:v>移动端现场执行</x:v>
      </x:c>
      <x:c r="C31" s="39" t="str">
        <x:v>填写服务报告编号、系统、目的、完成工作和跟进事项</x:v>
      </x:c>
      <x:c r="D31" s="39" t="str">
        <x:v>面向MASTER，支持填写服务报告编号、系统、目的、完成工作和跟进事项；正式交付需结合真实数据、权限和验收规则确认。</x:v>
      </x:c>
      <x:c r="E31" s="39" t="str">
        <x:v>MASTER</x:v>
      </x:c>
      <x:c r="F31" s="39" t="str">
        <x:v>现场处理/服务报告</x:v>
      </x:c>
      <x:c r="G31" s="39" t="str">
        <x:v>记录签到、处理过程、照片及服务报告内容。</x:v>
      </x:c>
      <x:c r="H31" s="39" t="str">
        <x:v>到场时间、位置说明、SR编号、系统/设备、服务目的、完成工作、跟进事项、Before照片、After照片、车资/材料记录、是否需要报价、其他附件</x:v>
      </x:c>
      <x:c r="I31" s="39" t="str">
        <x:v>完成现场签到后进入服务中；上传前后照片并填写处理记录，暂存或进入完工报告。</x:v>
      </x:c>
      <x:c r="J31" s="41" t="str">
        <x:v>可演示</x:v>
      </x:c>
      <x:c r="K31" s="41" t="str">
        <x:v>P0</x:v>
      </x:c>
      <x:c r="L31" s="91" t="str">
        <x:v>待客户确认</x:v>
      </x:c>
      <x:c r="M31" s="91" t="str">
        <x:v>未开始</x:v>
      </x:c>
      <x:c r="N31" s="91" t="str">
        <x:v>未开始</x:v>
      </x:c>
      <x:c r="O31" s="91" t="str">
        <x:v>未开始</x:v>
      </x:c>
      <x:c r="P31" s="92" t="n">
        <x:f>IF(O31="已验收",1,IF(O31="验收中",0.9,IF(N31="已通过",0.85,IF(N31="测试中",0.7,IF(M31="已完成",0.6,IF(M31="开发中",0.35,IF(M31="设计中",0.1,0)))))))</x:f>
        <x:v>0</x:v>
      </x:c>
      <x:c r="Q31" s="93" t="str"/>
      <x:c r="R31" s="94"/>
      <x:c r="S31" s="94"/>
      <x:c r="T31" s="94"/>
      <x:c r="U31" s="93" t="str"/>
      <x:c r="V31" s="93" t="str"/>
      <x:c r="W31" s="39" t="str">
        <x:v>当前原型 + 最新需求清单</x:v>
      </x:c>
    </x:row>
    <x:row r="32" ht="76" customHeight="1">
      <x:c r="A32" s="39" t="str">
        <x:v>F028</x:v>
      </x:c>
      <x:c r="B32" s="39" t="str">
        <x:v>移动端现场执行</x:v>
      </x:c>
      <x:c r="C32" s="39" t="str">
        <x:v>上传服务报告图片并模拟带入报告数据</x:v>
      </x:c>
      <x:c r="D32" s="39" t="str">
        <x:v>当前仅演示图片带入流程，真实OCR识别能力需另行POC。</x:v>
      </x:c>
      <x:c r="E32" s="39" t="str">
        <x:v>MASTER</x:v>
      </x:c>
      <x:c r="F32" s="39" t="str">
        <x:v>现场处理/服务报告</x:v>
      </x:c>
      <x:c r="G32" s="39" t="str">
        <x:v>记录签到、处理过程、照片及服务报告内容。</x:v>
      </x:c>
      <x:c r="H32" s="39" t="str">
        <x:v>到场时间、位置说明、SR编号、系统/设备、服务目的、完成工作、跟进事项、Before照片、After照片、车资/材料记录、是否需要报价、其他附件</x:v>
      </x:c>
      <x:c r="I32" s="39" t="str">
        <x:v>选择文件并校验格式，预览后保存或提交；失败项保留原因。完成现场签到后进入服务中；上传前后照片并填写处理记录，暂存或进入完工报告。</x:v>
      </x:c>
      <x:c r="J32" s="41" t="str">
        <x:v>流程演示</x:v>
      </x:c>
      <x:c r="K32" s="41" t="str">
        <x:v>P1</x:v>
      </x:c>
      <x:c r="L32" s="91" t="str">
        <x:v>待客户确认</x:v>
      </x:c>
      <x:c r="M32" s="91" t="str">
        <x:v>未开始</x:v>
      </x:c>
      <x:c r="N32" s="91" t="str">
        <x:v>未开始</x:v>
      </x:c>
      <x:c r="O32" s="91" t="str">
        <x:v>未开始</x:v>
      </x:c>
      <x:c r="P32" s="92" t="n">
        <x:f>IF(O32="已验收",1,IF(O32="验收中",0.9,IF(N32="已通过",0.85,IF(N32="测试中",0.7,IF(M32="已完成",0.6,IF(M32="开发中",0.35,IF(M32="设计中",0.1,0)))))))</x:f>
        <x:v>0</x:v>
      </x:c>
      <x:c r="Q32" s="93" t="str"/>
      <x:c r="R32" s="94"/>
      <x:c r="S32" s="94"/>
      <x:c r="T32" s="94"/>
      <x:c r="U32" s="93" t="str">
        <x:v>需确认 OCR/人工录入方案</x:v>
      </x:c>
      <x:c r="V32" s="93" t="str"/>
      <x:c r="W32" s="39" t="str">
        <x:v>当前原型 + 最新需求清单</x:v>
      </x:c>
    </x:row>
    <x:row r="33" ht="76" customHeight="1">
      <x:c r="A33" s="39" t="str">
        <x:v>F029</x:v>
      </x:c>
      <x:c r="B33" s="39" t="str">
        <x:v>移动端现场执行</x:v>
      </x:c>
      <x:c r="C33" s="39" t="str">
        <x:v>上传现场照片、材料照片、附件和车资记录</x:v>
      </x:c>
      <x:c r="D33" s="39" t="str">
        <x:v>面向MASTER，支持上传现场照片、材料照片、附件和车资记录；正式交付需结合真实数据、权限和验收规则确认。</x:v>
      </x:c>
      <x:c r="E33" s="39" t="str">
        <x:v>MASTER</x:v>
      </x:c>
      <x:c r="F33" s="39" t="str">
        <x:v>现场处理/服务报告</x:v>
      </x:c>
      <x:c r="G33" s="39" t="str">
        <x:v>记录签到、处理过程、照片及服务报告内容。</x:v>
      </x:c>
      <x:c r="H33" s="39" t="str">
        <x:v>到场时间、位置说明、SR编号、系统/设备、服务目的、完成工作、跟进事项、Before照片、After照片、车资/材料记录、是否需要报价、其他附件</x:v>
      </x:c>
      <x:c r="I33" s="39" t="str">
        <x:v>选择文件并校验格式，预览后保存或提交；失败项保留原因。完成现场签到后进入服务中；上传前后照片并填写处理记录，暂存或进入完工报告。</x:v>
      </x:c>
      <x:c r="J33" s="41" t="str">
        <x:v>可演示</x:v>
      </x:c>
      <x:c r="K33" s="41" t="str">
        <x:v>P0</x:v>
      </x:c>
      <x:c r="L33" s="91" t="str">
        <x:v>待客户确认</x:v>
      </x:c>
      <x:c r="M33" s="91" t="str">
        <x:v>未开始</x:v>
      </x:c>
      <x:c r="N33" s="91" t="str">
        <x:v>未开始</x:v>
      </x:c>
      <x:c r="O33" s="91" t="str">
        <x:v>未开始</x:v>
      </x:c>
      <x:c r="P33" s="92" t="n">
        <x:f>IF(O33="已验收",1,IF(O33="验收中",0.9,IF(N33="已通过",0.85,IF(N33="测试中",0.7,IF(M33="已完成",0.6,IF(M33="开发中",0.35,IF(M33="设计中",0.1,0)))))))</x:f>
        <x:v>0</x:v>
      </x:c>
      <x:c r="Q33" s="93" t="str"/>
      <x:c r="R33" s="94"/>
      <x:c r="S33" s="94"/>
      <x:c r="T33" s="94"/>
      <x:c r="U33" s="93" t="str">
        <x:v>需确认容量和保留期</x:v>
      </x:c>
      <x:c r="V33" s="93" t="str"/>
      <x:c r="W33" s="39" t="str">
        <x:v>当前原型 + 最新需求清单</x:v>
      </x:c>
    </x:row>
    <x:row r="34" ht="76" customHeight="1">
      <x:c r="A34" s="39" t="str">
        <x:v>F030</x:v>
      </x:c>
      <x:c r="B34" s="39" t="str">
        <x:v>移动端现场执行</x:v>
      </x:c>
      <x:c r="C34" s="39" t="str">
        <x:v>标记是否需要后补报价、材料或客户确认</x:v>
      </x:c>
      <x:c r="D34" s="39" t="str">
        <x:v>面向MASTER、QUO、PUR，支持标记是否需要后补报价、材料或客户确认；正式交付需结合真实数据、权限和验收规则确认。</x:v>
      </x:c>
      <x:c r="E34" s="39" t="str">
        <x:v>MASTER、QUO、PUR</x:v>
      </x:c>
      <x:c r="F34" s="39" t="str">
        <x:v>现场处理/服务报告</x:v>
      </x:c>
      <x:c r="G34" s="39" t="str">
        <x:v>记录签到、处理过程、照片及服务报告内容。</x:v>
      </x:c>
      <x:c r="H34" s="39" t="str">
        <x:v>到场时间、位置说明、SR编号、系统/设备、服务目的、完成工作、跟进事项、Before照片、After照片、车资/材料记录、是否需要报价、其他附件</x:v>
      </x:c>
      <x:c r="I34" s="39" t="str">
        <x:v>完成现场签到后进入服务中；上传前后照片并填写处理记录，暂存或进入完工报告。</x:v>
      </x:c>
      <x:c r="J34" s="41" t="str">
        <x:v>可演示</x:v>
      </x:c>
      <x:c r="K34" s="41" t="str">
        <x:v>P0/P1</x:v>
      </x:c>
      <x:c r="L34" s="91" t="str">
        <x:v>待客户确认</x:v>
      </x:c>
      <x:c r="M34" s="91" t="str">
        <x:v>未开始</x:v>
      </x:c>
      <x:c r="N34" s="91" t="str">
        <x:v>未开始</x:v>
      </x:c>
      <x:c r="O34" s="91" t="str">
        <x:v>未开始</x:v>
      </x:c>
      <x:c r="P34" s="92" t="n">
        <x:f>IF(O34="已验收",1,IF(O34="验收中",0.9,IF(N34="已通过",0.85,IF(N34="测试中",0.7,IF(M34="已完成",0.6,IF(M34="开发中",0.35,IF(M34="设计中",0.1,0)))))))</x:f>
        <x:v>0</x:v>
      </x:c>
      <x:c r="Q34" s="93" t="str"/>
      <x:c r="R34" s="94"/>
      <x:c r="S34" s="94"/>
      <x:c r="T34" s="94"/>
      <x:c r="U34" s="93" t="str"/>
      <x:c r="V34" s="93" t="str"/>
      <x:c r="W34" s="39" t="str">
        <x:v>当前原型 + 最新需求清单</x:v>
      </x:c>
    </x:row>
    <x:row r="35" ht="76" customHeight="1">
      <x:c r="A35" s="39" t="str">
        <x:v>F031</x:v>
      </x:c>
      <x:c r="B35" s="39" t="str">
        <x:v>移动端现场执行</x:v>
      </x:c>
      <x:c r="C35" s="39" t="str">
        <x:v>记录满意度、电子签名或客户不在场</x:v>
      </x:c>
      <x:c r="D35" s="39" t="str">
        <x:v>面向MASTER、客户，支持记录满意度、电子签名或客户不在场；正式交付需结合真实数据、权限和验收规则确认。</x:v>
      </x:c>
      <x:c r="E35" s="39" t="str">
        <x:v>MASTER、客户</x:v>
      </x:c>
      <x:c r="F35" s="39" t="str">
        <x:v>完工单与客户确认</x:v>
      </x:c>
      <x:c r="G35" s="39" t="str">
        <x:v>填写完工单、客户确认和提交结果。</x:v>
      </x:c>
      <x:c r="H35" s="39" t="str">
        <x:v>完工单编号、完工内容、材料明细、满意度、电子签名、客户不在场、完工照片/纸质单照片、提交备注</x:v>
      </x:c>
      <x:c r="I35" s="39" t="str">
        <x:v>选择纸质或电子完工单，补齐材料、照片和签章；暂存或提交，提交后进入确认节点。</x:v>
      </x:c>
      <x:c r="J35" s="41" t="str">
        <x:v>可演示</x:v>
      </x:c>
      <x:c r="K35" s="41" t="str">
        <x:v>P0</x:v>
      </x:c>
      <x:c r="L35" s="91" t="str">
        <x:v>待客户确认</x:v>
      </x:c>
      <x:c r="M35" s="91" t="str">
        <x:v>未开始</x:v>
      </x:c>
      <x:c r="N35" s="91" t="str">
        <x:v>未开始</x:v>
      </x:c>
      <x:c r="O35" s="91" t="str">
        <x:v>未开始</x:v>
      </x:c>
      <x:c r="P35" s="92" t="n">
        <x:f>IF(O35="已验收",1,IF(O35="验收中",0.9,IF(N35="已通过",0.85,IF(N35="测试中",0.7,IF(M35="已完成",0.6,IF(M35="开发中",0.35,IF(M35="设计中",0.1,0)))))))</x:f>
        <x:v>0</x:v>
      </x:c>
      <x:c r="Q35" s="93" t="str"/>
      <x:c r="R35" s="94"/>
      <x:c r="S35" s="94"/>
      <x:c r="T35" s="94"/>
      <x:c r="U35" s="93" t="str">
        <x:v>需确认签名规则</x:v>
      </x:c>
      <x:c r="V35" s="93" t="str"/>
      <x:c r="W35" s="39" t="str">
        <x:v>当前原型 + 最新需求清单</x:v>
      </x:c>
    </x:row>
    <x:row r="36" ht="76" customHeight="1">
      <x:c r="A36" s="39" t="str">
        <x:v>F032</x:v>
      </x:c>
      <x:c r="B36" s="39" t="str">
        <x:v>移动端现场执行</x:v>
      </x:c>
      <x:c r="C36" s="39" t="str">
        <x:v>填写完工单编号、材料、照片、签章和备注</x:v>
      </x:c>
      <x:c r="D36" s="39" t="str">
        <x:v>面向MASTER，支持填写完工单编号、材料、照片、签章和备注；正式交付需结合真实数据、权限和验收规则确认。</x:v>
      </x:c>
      <x:c r="E36" s="39" t="str">
        <x:v>MASTER</x:v>
      </x:c>
      <x:c r="F36" s="39" t="str">
        <x:v>完工单与客户确认</x:v>
      </x:c>
      <x:c r="G36" s="39" t="str">
        <x:v>填写完工单、客户确认和提交结果。</x:v>
      </x:c>
      <x:c r="H36" s="39" t="str">
        <x:v>完工单编号、完工内容、材料明细、满意度、电子签名、客户不在场、完工照片/纸质单照片、提交备注</x:v>
      </x:c>
      <x:c r="I36" s="39" t="str">
        <x:v>选择纸质或电子完工单，补齐材料、照片和签章；暂存或提交，提交后进入确认节点。</x:v>
      </x:c>
      <x:c r="J36" s="41" t="str">
        <x:v>可演示</x:v>
      </x:c>
      <x:c r="K36" s="41" t="str">
        <x:v>P0</x:v>
      </x:c>
      <x:c r="L36" s="91" t="str">
        <x:v>待客户确认</x:v>
      </x:c>
      <x:c r="M36" s="91" t="str">
        <x:v>未开始</x:v>
      </x:c>
      <x:c r="N36" s="91" t="str">
        <x:v>未开始</x:v>
      </x:c>
      <x:c r="O36" s="91" t="str">
        <x:v>未开始</x:v>
      </x:c>
      <x:c r="P36" s="92" t="n">
        <x:f>IF(O36="已验收",1,IF(O36="验收中",0.9,IF(N36="已通过",0.85,IF(N36="测试中",0.7,IF(M36="已完成",0.6,IF(M36="开发中",0.35,IF(M36="设计中",0.1,0)))))))</x:f>
        <x:v>0</x:v>
      </x:c>
      <x:c r="Q36" s="93" t="str"/>
      <x:c r="R36" s="94"/>
      <x:c r="S36" s="94"/>
      <x:c r="T36" s="94"/>
      <x:c r="U36" s="93" t="str"/>
      <x:c r="V36" s="93" t="str"/>
      <x:c r="W36" s="39" t="str">
        <x:v>当前原型 + 最新需求清单</x:v>
      </x:c>
    </x:row>
    <x:row r="37" ht="76" customHeight="1">
      <x:c r="A37" s="39" t="str">
        <x:v>F033</x:v>
      </x:c>
      <x:c r="B37" s="39" t="str">
        <x:v>移动端现场执行</x:v>
      </x:c>
      <x:c r="C37" s="39" t="str">
        <x:v>暂存并提交完工结果，进入待确认或待审批</x:v>
      </x:c>
      <x:c r="D37" s="39" t="str">
        <x:v>面向MASTER，支持暂存并提交完工结果，进入待确认或待审批；正式交付需结合真实数据、权限和验收规则确认。</x:v>
      </x:c>
      <x:c r="E37" s="39" t="str">
        <x:v>MASTER</x:v>
      </x:c>
      <x:c r="F37" s="39" t="str">
        <x:v>完工单与客户确认</x:v>
      </x:c>
      <x:c r="G37" s="39" t="str">
        <x:v>填写完工单、客户确认和提交结果。</x:v>
      </x:c>
      <x:c r="H37" s="39" t="str">
        <x:v>完工单编号、完工内容、材料明细、满意度、电子签名、客户不在场、完工照片/纸质单照片、提交备注</x:v>
      </x:c>
      <x:c r="I37" s="39" t="str">
        <x:v>暂存保留未完成内容；提交通过校验后进入待确认或待审批。</x:v>
      </x:c>
      <x:c r="J37" s="41" t="str">
        <x:v>可演示</x:v>
      </x:c>
      <x:c r="K37" s="41" t="str">
        <x:v>P0</x:v>
      </x:c>
      <x:c r="L37" s="91" t="str">
        <x:v>待客户确认</x:v>
      </x:c>
      <x:c r="M37" s="91" t="str">
        <x:v>未开始</x:v>
      </x:c>
      <x:c r="N37" s="91" t="str">
        <x:v>未开始</x:v>
      </x:c>
      <x:c r="O37" s="91" t="str">
        <x:v>未开始</x:v>
      </x:c>
      <x:c r="P37" s="92" t="n">
        <x:f>IF(O37="已验收",1,IF(O37="验收中",0.9,IF(N37="已通过",0.85,IF(N37="测试中",0.7,IF(M37="已完成",0.6,IF(M37="开发中",0.35,IF(M37="设计中",0.1,0)))))))</x:f>
        <x:v>0</x:v>
      </x:c>
      <x:c r="Q37" s="93" t="str"/>
      <x:c r="R37" s="94"/>
      <x:c r="S37" s="94"/>
      <x:c r="T37" s="94"/>
      <x:c r="U37" s="93" t="str"/>
      <x:c r="V37" s="93" t="str"/>
      <x:c r="W37" s="39" t="str">
        <x:v>当前原型 + 最新需求清单</x:v>
      </x:c>
    </x:row>
    <x:row r="38" ht="76" customHeight="1">
      <x:c r="A38" s="39" t="str">
        <x:v>F034</x:v>
      </x:c>
      <x:c r="B38" s="39" t="str">
        <x:v>移动端现场执行</x:v>
      </x:c>
      <x:c r="C38" s="39" t="str">
        <x:v>离线保存处理记录，恢复网络后上传</x:v>
      </x:c>
      <x:c r="D38" s="39" t="str">
        <x:v>需要在真机弱网环境验证离线缓存、冲突处理和恢复上传。</x:v>
      </x:c>
      <x:c r="E38" s="39" t="str">
        <x:v>MASTER</x:v>
      </x:c>
      <x:c r="F38" s="39" t="str">
        <x:v>完工单与客户确认</x:v>
      </x:c>
      <x:c r="G38" s="39" t="str">
        <x:v>填写完工单、客户确认和提交结果。</x:v>
      </x:c>
      <x:c r="H38" s="39" t="str">
        <x:v>完工单编号、完工内容、材料明细、满意度、电子签名、客户不在场、完工照片/纸质单照片、提交备注</x:v>
      </x:c>
      <x:c r="I38" s="39" t="str">
        <x:v>选择文件并校验格式，预览后保存或提交；失败项保留原因。选择纸质或电子完工单，补齐材料、照片和签章；暂存或提交，提交后进入确认节点。</x:v>
      </x:c>
      <x:c r="J38" s="41" t="str">
        <x:v>流程演示</x:v>
      </x:c>
      <x:c r="K38" s="41" t="str">
        <x:v>P1</x:v>
      </x:c>
      <x:c r="L38" s="91" t="str">
        <x:v>待客户确认</x:v>
      </x:c>
      <x:c r="M38" s="91" t="str">
        <x:v>未开始</x:v>
      </x:c>
      <x:c r="N38" s="91" t="str">
        <x:v>未开始</x:v>
      </x:c>
      <x:c r="O38" s="91" t="str">
        <x:v>未开始</x:v>
      </x:c>
      <x:c r="P38" s="92" t="n">
        <x:f>IF(O38="已验收",1,IF(O38="验收中",0.9,IF(N38="已通过",0.85,IF(N38="测试中",0.7,IF(M38="已完成",0.6,IF(M38="开发中",0.35,IF(M38="设计中",0.1,0)))))))</x:f>
        <x:v>0</x:v>
      </x:c>
      <x:c r="Q38" s="93" t="str"/>
      <x:c r="R38" s="94"/>
      <x:c r="S38" s="94"/>
      <x:c r="T38" s="94"/>
      <x:c r="U38" s="93" t="str">
        <x:v>需弱网 POC</x:v>
      </x:c>
      <x:c r="V38" s="93" t="str"/>
      <x:c r="W38" s="39" t="str">
        <x:v>当前原型 + 最新需求清单</x:v>
      </x:c>
    </x:row>
    <x:row r="39" ht="76" customHeight="1">
      <x:c r="A39" s="39" t="str">
        <x:v>F035</x:v>
      </x:c>
      <x:c r="B39" s="39" t="str">
        <x:v>报告与文档</x:v>
      </x:c>
      <x:c r="C39" s="39" t="str">
        <x:v>按服务报告（SR）和完工单（CP）分类查看文件夹</x:v>
      </x:c>
      <x:c r="D39" s="39" t="str">
        <x:v>面向CS、CR、TL、ADMIN，支持按服务报告（SR）和完工单（CP）分类查看文件夹；正式交付需结合真实数据、权限和验收规则确认。</x:v>
      </x:c>
      <x:c r="E39" s="39" t="str">
        <x:v>CS、CR、TL、ADMIN</x:v>
      </x:c>
      <x:c r="F39" s="39" t="str">
        <x:v>报告管理/发送</x:v>
      </x:c>
      <x:c r="G39" s="39" t="str">
        <x:v>集中查询SR和完工单，查看详情并记录发送。</x:v>
      </x:c>
      <x:c r="H39" s="39" t="str">
        <x:v>报告类型/状态、编号/客户/区域/内容、报告编号、关联CALL、客户/签名状态、发送渠道、收件人、发送时间/结果</x:v>
      </x:c>
      <x:c r="I39" s="39" t="str">
        <x:v>进入页面查看相关记录；点击卡片或编号下钻。按编号、客户、区域和状态筛选；查看报告后可跳转CALL或选择渠道发送并记录日志。</x:v>
      </x:c>
      <x:c r="J39" s="41" t="str">
        <x:v>可演示</x:v>
      </x:c>
      <x:c r="K39" s="41" t="str">
        <x:v>P0</x:v>
      </x:c>
      <x:c r="L39" s="91" t="str">
        <x:v>待客户确认</x:v>
      </x:c>
      <x:c r="M39" s="91" t="str">
        <x:v>未开始</x:v>
      </x:c>
      <x:c r="N39" s="91" t="str">
        <x:v>未开始</x:v>
      </x:c>
      <x:c r="O39" s="91" t="str">
        <x:v>未开始</x:v>
      </x:c>
      <x:c r="P39" s="92" t="n">
        <x:f>IF(O39="已验收",1,IF(O39="验收中",0.9,IF(N39="已通过",0.85,IF(N39="测试中",0.7,IF(M39="已完成",0.6,IF(M39="开发中",0.35,IF(M39="设计中",0.1,0)))))))</x:f>
        <x:v>0</x:v>
      </x:c>
      <x:c r="Q39" s="93" t="str"/>
      <x:c r="R39" s="94"/>
      <x:c r="S39" s="94"/>
      <x:c r="T39" s="94"/>
      <x:c r="U39" s="93" t="str"/>
      <x:c r="V39" s="93" t="str"/>
      <x:c r="W39" s="39" t="str">
        <x:v>当前原型 + 最新需求清单</x:v>
      </x:c>
    </x:row>
    <x:row r="40" ht="76" customHeight="1">
      <x:c r="A40" s="39" t="str">
        <x:v>F036</x:v>
      </x:c>
      <x:c r="B40" s="39" t="str">
        <x:v>报告与文档</x:v>
      </x:c>
      <x:c r="C40" s="39" t="str">
        <x:v>按区域、状态、编号、客户和内容搜索报告</x:v>
      </x:c>
      <x:c r="D40" s="39" t="str">
        <x:v>面向CS、CR、TL、ADMIN，支持按区域、状态、编号、客户和内容搜索报告；正式交付需结合真实数据、权限和验收规则确认。</x:v>
      </x:c>
      <x:c r="E40" s="39" t="str">
        <x:v>CS、CR、TL、ADMIN</x:v>
      </x:c>
      <x:c r="F40" s="39" t="str">
        <x:v>报告管理/发送</x:v>
      </x:c>
      <x:c r="G40" s="39" t="str">
        <x:v>集中查询SR和完工单，查看详情并记录发送。</x:v>
      </x:c>
      <x:c r="H40" s="39" t="str">
        <x:v>报告类型/状态、编号/客户/区域/内容、报告编号、关联CALL、客户/签名状态、发送渠道、收件人、发送时间/结果</x:v>
      </x:c>
      <x:c r="I40" s="39" t="str">
        <x:v>设置条件后刷新结果，支持清空筛选；点击记录进入详情。按编号、客户、区域和状态筛选；查看报告后可跳转CALL或选择渠道发送并记录日志。</x:v>
      </x:c>
      <x:c r="J40" s="41" t="str">
        <x:v>可演示</x:v>
      </x:c>
      <x:c r="K40" s="41" t="str">
        <x:v>P0</x:v>
      </x:c>
      <x:c r="L40" s="91" t="str">
        <x:v>待客户确认</x:v>
      </x:c>
      <x:c r="M40" s="91" t="str">
        <x:v>未开始</x:v>
      </x:c>
      <x:c r="N40" s="91" t="str">
        <x:v>未开始</x:v>
      </x:c>
      <x:c r="O40" s="91" t="str">
        <x:v>未开始</x:v>
      </x:c>
      <x:c r="P40" s="92" t="n">
        <x:f>IF(O40="已验收",1,IF(O40="验收中",0.9,IF(N40="已通过",0.85,IF(N40="测试中",0.7,IF(M40="已完成",0.6,IF(M40="开发中",0.35,IF(M40="设计中",0.1,0)))))))</x:f>
        <x:v>0</x:v>
      </x:c>
      <x:c r="Q40" s="93" t="str"/>
      <x:c r="R40" s="94"/>
      <x:c r="S40" s="94"/>
      <x:c r="T40" s="94"/>
      <x:c r="U40" s="93" t="str"/>
      <x:c r="V40" s="93" t="str"/>
      <x:c r="W40" s="39" t="str">
        <x:v>当前原型 + 最新需求清单</x:v>
      </x:c>
    </x:row>
    <x:row r="41" ht="76" customHeight="1">
      <x:c r="A41" s="39" t="str">
        <x:v>F037</x:v>
      </x:c>
      <x:c r="B41" s="39" t="str">
        <x:v>报告与文档</x:v>
      </x:c>
      <x:c r="C41" s="39" t="str">
        <x:v>查看报告详情并跳转关联 CALL</x:v>
      </x:c>
      <x:c r="D41" s="39" t="str">
        <x:v>面向相关业务角色，支持查看报告详情并跳转关联 CALL；正式交付需结合真实数据、权限和验收规则确认。</x:v>
      </x:c>
      <x:c r="E41" s="39" t="str">
        <x:v>相关业务角色</x:v>
      </x:c>
      <x:c r="F41" s="39" t="str">
        <x:v>报告管理/发送</x:v>
      </x:c>
      <x:c r="G41" s="39" t="str">
        <x:v>集中查询SR和完工单，查看详情并记录发送。</x:v>
      </x:c>
      <x:c r="H41" s="39" t="str">
        <x:v>报告类型/状态、编号/客户/区域/内容、报告编号、关联CALL、客户/签名状态、发送渠道、收件人、发送时间/结果</x:v>
      </x:c>
      <x:c r="I41" s="39" t="str">
        <x:v>进入页面查看报告详情并跳转关联 CALL；点击相关卡片或编号下钻。按编号、客户、区域和状态筛选；查看报告后可跳转CALL或选择渠道发送并记录日志。</x:v>
      </x:c>
      <x:c r="J41" s="41" t="str">
        <x:v>可演示</x:v>
      </x:c>
      <x:c r="K41" s="41" t="str">
        <x:v>P0</x:v>
      </x:c>
      <x:c r="L41" s="91" t="str">
        <x:v>待客户确认</x:v>
      </x:c>
      <x:c r="M41" s="91" t="str">
        <x:v>未开始</x:v>
      </x:c>
      <x:c r="N41" s="91" t="str">
        <x:v>未开始</x:v>
      </x:c>
      <x:c r="O41" s="91" t="str">
        <x:v>未开始</x:v>
      </x:c>
      <x:c r="P41" s="92" t="n">
        <x:f>IF(O41="已验收",1,IF(O41="验收中",0.9,IF(N41="已通过",0.85,IF(N41="测试中",0.7,IF(M41="已完成",0.6,IF(M41="开发中",0.35,IF(M41="设计中",0.1,0)))))))</x:f>
        <x:v>0</x:v>
      </x:c>
      <x:c r="Q41" s="93" t="str"/>
      <x:c r="R41" s="94"/>
      <x:c r="S41" s="94"/>
      <x:c r="T41" s="94"/>
      <x:c r="U41" s="93" t="str"/>
      <x:c r="V41" s="93" t="str"/>
      <x:c r="W41" s="39" t="str">
        <x:v>当前原型 + 最新需求清单</x:v>
      </x:c>
    </x:row>
    <x:row r="42" ht="76" customHeight="1">
      <x:c r="A42" s="39" t="str">
        <x:v>F038</x:v>
      </x:c>
      <x:c r="B42" s="39" t="str">
        <x:v>报告与文档</x:v>
      </x:c>
      <x:c r="C42" s="39" t="str">
        <x:v>通过 Email 或 WhatsApp 发送报告</x:v>
      </x:c>
      <x:c r="D42" s="39" t="str">
        <x:v>原型可演示发送动作，Email和WhatsApp真实通道未接入。</x:v>
      </x:c>
      <x:c r="E42" s="39" t="str">
        <x:v>CS、CR</x:v>
      </x:c>
      <x:c r="F42" s="39" t="str">
        <x:v>报告管理/发送</x:v>
      </x:c>
      <x:c r="G42" s="39" t="str">
        <x:v>集中查询SR和完工单，查看详情并记录发送。</x:v>
      </x:c>
      <x:c r="H42" s="39" t="str">
        <x:v>报告类型/状态、编号/客户/区域/内容、报告编号、关联CALL、客户/签名状态、发送渠道、收件人、发送时间/结果</x:v>
      </x:c>
      <x:c r="I42" s="39" t="str">
        <x:v>按编号、客户、区域和状态筛选；查看报告后可跳转CALL或选择渠道发送并记录日志。</x:v>
      </x:c>
      <x:c r="J42" s="41" t="str">
        <x:v>流程演示</x:v>
      </x:c>
      <x:c r="K42" s="41" t="str">
        <x:v>P1</x:v>
      </x:c>
      <x:c r="L42" s="91" t="str">
        <x:v>待客户确认</x:v>
      </x:c>
      <x:c r="M42" s="91" t="str">
        <x:v>未开始</x:v>
      </x:c>
      <x:c r="N42" s="91" t="str">
        <x:v>未开始</x:v>
      </x:c>
      <x:c r="O42" s="91" t="str">
        <x:v>未开始</x:v>
      </x:c>
      <x:c r="P42" s="92" t="n">
        <x:f>IF(O42="已验收",1,IF(O42="验收中",0.9,IF(N42="已通过",0.85,IF(N42="测试中",0.7,IF(M42="已完成",0.6,IF(M42="开发中",0.35,IF(M42="设计中",0.1,0)))))))</x:f>
        <x:v>0</x:v>
      </x:c>
      <x:c r="Q42" s="93" t="str"/>
      <x:c r="R42" s="94"/>
      <x:c r="S42" s="94"/>
      <x:c r="T42" s="94"/>
      <x:c r="U42" s="93" t="str">
        <x:v>需确认模板和渠道</x:v>
      </x:c>
      <x:c r="V42" s="93" t="str"/>
      <x:c r="W42" s="39" t="str">
        <x:v>当前原型 + 最新需求清单</x:v>
      </x:c>
    </x:row>
    <x:row r="43" ht="76" customHeight="1">
      <x:c r="A43" s="39" t="str">
        <x:v>F039</x:v>
      </x:c>
      <x:c r="B43" s="39" t="str">
        <x:v>报告与文档</x:v>
      </x:c>
      <x:c r="C43" s="39" t="str">
        <x:v>记录发送对象、方式、时间和发送日志</x:v>
      </x:c>
      <x:c r="D43" s="39" t="str">
        <x:v>面向CS、CR、ADMIN，支持记录发送对象、方式、时间和发送日志；正式交付需结合真实数据、权限和验收规则确认。</x:v>
      </x:c>
      <x:c r="E43" s="39" t="str">
        <x:v>CS、CR、ADMIN</x:v>
      </x:c>
      <x:c r="F43" s="39" t="str">
        <x:v>报告管理/发送</x:v>
      </x:c>
      <x:c r="G43" s="39" t="str">
        <x:v>集中查询SR和完工单，查看详情并记录发送。</x:v>
      </x:c>
      <x:c r="H43" s="39" t="str">
        <x:v>报告类型/状态、编号/客户/区域/内容、报告编号、关联CALL、客户/签名状态、发送渠道、收件人、发送时间/结果</x:v>
      </x:c>
      <x:c r="I43" s="39" t="str">
        <x:v>按编号、客户、区域和状态筛选；查看报告后可跳转CALL或选择渠道发送并记录日志。</x:v>
      </x:c>
      <x:c r="J43" s="41" t="str">
        <x:v>可演示</x:v>
      </x:c>
      <x:c r="K43" s="41" t="str">
        <x:v>P1</x:v>
      </x:c>
      <x:c r="L43" s="91" t="str">
        <x:v>待客户确认</x:v>
      </x:c>
      <x:c r="M43" s="91" t="str">
        <x:v>未开始</x:v>
      </x:c>
      <x:c r="N43" s="91" t="str">
        <x:v>未开始</x:v>
      </x:c>
      <x:c r="O43" s="91" t="str">
        <x:v>未开始</x:v>
      </x:c>
      <x:c r="P43" s="92" t="n">
        <x:f>IF(O43="已验收",1,IF(O43="验收中",0.9,IF(N43="已通过",0.85,IF(N43="测试中",0.7,IF(M43="已完成",0.6,IF(M43="开发中",0.35,IF(M43="设计中",0.1,0)))))))</x:f>
        <x:v>0</x:v>
      </x:c>
      <x:c r="Q43" s="93" t="str"/>
      <x:c r="R43" s="94"/>
      <x:c r="S43" s="94"/>
      <x:c r="T43" s="94"/>
      <x:c r="U43" s="93" t="str"/>
      <x:c r="V43" s="93" t="str"/>
      <x:c r="W43" s="39" t="str">
        <x:v>当前原型 + 最新需求清单</x:v>
      </x:c>
    </x:row>
    <x:row r="44" ht="76" customHeight="1">
      <x:c r="A44" s="39" t="str">
        <x:v>F040</x:v>
      </x:c>
      <x:c r="B44" s="39" t="str">
        <x:v>报价管理</x:v>
      </x:c>
      <x:c r="C44" s="39" t="str">
        <x:v>新增、编辑、删除、查看和筛选报价</x:v>
      </x:c>
      <x:c r="D44" s="39" t="str">
        <x:v>面向QUO、CR、ADMIN，支持新增、编辑、删除、查看和筛选报价；正式交付需结合真实数据、权限和验收规则确认。</x:v>
      </x:c>
      <x:c r="E44" s="39" t="str">
        <x:v>QUO、CR、ADMIN</x:v>
      </x:c>
      <x:c r="F44" s="39" t="str">
        <x:v>报价单/报价明细</x:v>
      </x:c>
      <x:c r="G44" s="39" t="str">
        <x:v>创建、编辑和跟踪报价，维护物料、金额、版本及关联业务。</x:v>
      </x:c>
      <x:c r="H44" s="39" t="str">
        <x:v>报价编号、报价标题/类别、来源/CALL/SR/客户、报价负责人、报价日期/回覆截止/有效期、物料/描述/数量/单位、单价/税率/总金额、历史成本/供应商、报价状态/中单结果、版本/修订记录、报价附件</x:v>
      </x:c>
      <x:c r="I44" s="39" t="str">
        <x:v>通过列表新建、查看、编辑或删除；删除和金额变更权限需确认。</x:v>
      </x:c>
      <x:c r="J44" s="41" t="str">
        <x:v>可演示</x:v>
      </x:c>
      <x:c r="K44" s="41" t="str">
        <x:v>P1/P2</x:v>
      </x:c>
      <x:c r="L44" s="91" t="str">
        <x:v>待客户确认</x:v>
      </x:c>
      <x:c r="M44" s="91" t="str">
        <x:v>未开始</x:v>
      </x:c>
      <x:c r="N44" s="91" t="str">
        <x:v>未开始</x:v>
      </x:c>
      <x:c r="O44" s="91" t="str">
        <x:v>未开始</x:v>
      </x:c>
      <x:c r="P44" s="92" t="n">
        <x:f>IF(O44="已验收",1,IF(O44="验收中",0.9,IF(N44="已通过",0.85,IF(N44="测试中",0.7,IF(M44="已完成",0.6,IF(M44="开发中",0.35,IF(M44="设计中",0.1,0)))))))</x:f>
        <x:v>0</x:v>
      </x:c>
      <x:c r="Q44" s="93" t="str"/>
      <x:c r="R44" s="94"/>
      <x:c r="S44" s="94"/>
      <x:c r="T44" s="94"/>
      <x:c r="U44" s="93" t="str"/>
      <x:c r="V44" s="93" t="str"/>
      <x:c r="W44" s="39" t="str">
        <x:v>当前原型 + 最新需求清单</x:v>
      </x:c>
    </x:row>
    <x:row r="45" ht="76" customHeight="1">
      <x:c r="A45" s="39" t="str">
        <x:v>F041</x:v>
      </x:c>
      <x:c r="B45" s="39" t="str">
        <x:v>报价管理</x:v>
      </x:c>
      <x:c r="C45" s="39" t="str">
        <x:v>维护报价标题、类别、物料、数量、税率、金额和有效期</x:v>
      </x:c>
      <x:c r="D45" s="39" t="str">
        <x:v>面向QUO，支持维护报价标题、类别、物料、数量、税率、金额和有效期；正式交付需结合真实数据、权限和验收规则确认。</x:v>
      </x:c>
      <x:c r="E45" s="39" t="str">
        <x:v>QUO</x:v>
      </x:c>
      <x:c r="F45" s="39" t="str">
        <x:v>报价单/报价明细</x:v>
      </x:c>
      <x:c r="G45" s="39" t="str">
        <x:v>创建、编辑和跟踪报价，维护物料、金额、版本及关联业务。</x:v>
      </x:c>
      <x:c r="H45" s="39" t="str">
        <x:v>报价编号、报价标题/类别、来源/CALL/SR/客户、报价负责人、报价日期/回覆截止/有效期、物料/描述/数量/单位、单价/税率/总金额、历史成本/供应商、报价状态/中单结果、版本/修订记录、报价附件</x:v>
      </x:c>
      <x:c r="I45" s="39" t="str">
        <x:v>点击新增或编辑，完成校验后保存；停用或删除需二次确认。新建或编辑报价，选择来源与客户，录入明细后保存；状态变化触发修订或中单联动。</x:v>
      </x:c>
      <x:c r="J45" s="41" t="str">
        <x:v>可演示</x:v>
      </x:c>
      <x:c r="K45" s="41" t="str">
        <x:v>P1/P2</x:v>
      </x:c>
      <x:c r="L45" s="91" t="str">
        <x:v>待客户确认</x:v>
      </x:c>
      <x:c r="M45" s="91" t="str">
        <x:v>未开始</x:v>
      </x:c>
      <x:c r="N45" s="91" t="str">
        <x:v>未开始</x:v>
      </x:c>
      <x:c r="O45" s="91" t="str">
        <x:v>未开始</x:v>
      </x:c>
      <x:c r="P45" s="92" t="n">
        <x:f>IF(O45="已验收",1,IF(O45="验收中",0.9,IF(N45="已通过",0.85,IF(N45="测试中",0.7,IF(M45="已完成",0.6,IF(M45="开发中",0.35,IF(M45="设计中",0.1,0)))))))</x:f>
        <x:v>0</x:v>
      </x:c>
      <x:c r="Q45" s="93" t="str"/>
      <x:c r="R45" s="94"/>
      <x:c r="S45" s="94"/>
      <x:c r="T45" s="94"/>
      <x:c r="U45" s="93" t="str"/>
      <x:c r="V45" s="93" t="str"/>
      <x:c r="W45" s="39" t="str">
        <x:v>当前原型 + 最新需求清单</x:v>
      </x:c>
    </x:row>
    <x:row r="46" ht="76" customHeight="1">
      <x:c r="A46" s="39" t="str">
        <x:v>F042</x:v>
      </x:c>
      <x:c r="B46" s="39" t="str">
        <x:v>报价管理</x:v>
      </x:c>
      <x:c r="C46" s="39" t="str">
        <x:v>显示历史物料成本价和供应商参考，不锁定库存</x:v>
      </x:c>
      <x:c r="D46" s="39" t="str">
        <x:v>面向QUO，支持显示历史物料成本价和供应商参考，不锁定库存；正式交付需结合真实数据、权限和验收规则确认。</x:v>
      </x:c>
      <x:c r="E46" s="39" t="str">
        <x:v>QUO</x:v>
      </x:c>
      <x:c r="F46" s="39" t="str">
        <x:v>报价单/报价明细</x:v>
      </x:c>
      <x:c r="G46" s="39" t="str">
        <x:v>创建、编辑和跟踪报价，维护物料、金额、版本及关联业务。</x:v>
      </x:c>
      <x:c r="H46" s="39" t="str">
        <x:v>报价编号、报价标题/类别、来源/CALL/SR/客户、报价负责人、报价日期/回覆截止/有效期、物料/描述/数量/单位、单价/税率/总金额、历史成本/供应商、报价状态/中单结果、版本/修订记录、报价附件</x:v>
      </x:c>
      <x:c r="I46" s="39" t="str">
        <x:v>新建或编辑报价，选择来源与客户，录入明细后保存；状态变化触发修订或中单联动。</x:v>
      </x:c>
      <x:c r="J46" s="41" t="str">
        <x:v>可演示</x:v>
      </x:c>
      <x:c r="K46" s="41" t="str">
        <x:v>P1/P2</x:v>
      </x:c>
      <x:c r="L46" s="91" t="str">
        <x:v>待客户确认</x:v>
      </x:c>
      <x:c r="M46" s="91" t="str">
        <x:v>未开始</x:v>
      </x:c>
      <x:c r="N46" s="91" t="str">
        <x:v>未开始</x:v>
      </x:c>
      <x:c r="O46" s="91" t="str">
        <x:v>未开始</x:v>
      </x:c>
      <x:c r="P46" s="92" t="n">
        <x:f>IF(O46="已验收",1,IF(O46="验收中",0.9,IF(N46="已通过",0.85,IF(N46="测试中",0.7,IF(M46="已完成",0.6,IF(M46="开发中",0.35,IF(M46="设计中",0.1,0)))))))</x:f>
        <x:v>0</x:v>
      </x:c>
      <x:c r="Q46" s="93" t="str"/>
      <x:c r="R46" s="94"/>
      <x:c r="S46" s="94"/>
      <x:c r="T46" s="94"/>
      <x:c r="U46" s="93" t="str">
        <x:v>需接口确认</x:v>
      </x:c>
      <x:c r="V46" s="93" t="str"/>
      <x:c r="W46" s="39" t="str">
        <x:v>当前原型 + 最新需求清单</x:v>
      </x:c>
    </x:row>
    <x:row r="47" ht="76" customHeight="1">
      <x:c r="A47" s="39" t="str">
        <x:v>F043</x:v>
      </x:c>
      <x:c r="B47" s="39" t="str">
        <x:v>报价管理</x:v>
      </x:c>
      <x:c r="C47" s="39" t="str">
        <x:v>关联 CALL、SR、客户和后补报价请求；服务报告提交时按需生成关联报价</x:v>
      </x:c>
      <x:c r="D47" s="39" t="str">
        <x:v>面向QUO、CR、MASTER，支持关联 CALL、SR、客户和后补报价请求；服务报告提交时按需生成关联报价；正式交付需结合真实数据、权限和验收规则确认。</x:v>
      </x:c>
      <x:c r="E47" s="39" t="str">
        <x:v>QUO、CR、MASTER</x:v>
      </x:c>
      <x:c r="F47" s="39" t="str">
        <x:v>报价单/报价明细</x:v>
      </x:c>
      <x:c r="G47" s="39" t="str">
        <x:v>创建、编辑和跟踪报价，维护物料、金额、版本及关联业务。</x:v>
      </x:c>
      <x:c r="H47" s="39" t="str">
        <x:v>报价编号、报价标题/类别、来源/CALL/SR/客户、报价负责人、报价日期/回覆截止/有效期、物料/描述/数量/单位、单价/税率/总金额、历史成本/供应商、报价状态/中单结果、版本/修订记录、报价附件</x:v>
      </x:c>
      <x:c r="I47" s="39" t="str">
        <x:v>新建或编辑报价，选择来源与客户，录入明细后保存；状态变化触发修订或中单联动。</x:v>
      </x:c>
      <x:c r="J47" s="41" t="str">
        <x:v>可演示</x:v>
      </x:c>
      <x:c r="K47" s="41" t="str">
        <x:v>P1/P2</x:v>
      </x:c>
      <x:c r="L47" s="91" t="str">
        <x:v>待客户确认</x:v>
      </x:c>
      <x:c r="M47" s="91" t="str">
        <x:v>未开始</x:v>
      </x:c>
      <x:c r="N47" s="91" t="str">
        <x:v>未开始</x:v>
      </x:c>
      <x:c r="O47" s="91" t="str">
        <x:v>未开始</x:v>
      </x:c>
      <x:c r="P47" s="92" t="n">
        <x:f>IF(O47="已验收",1,IF(O47="验收中",0.9,IF(N47="已通过",0.85,IF(N47="测试中",0.7,IF(M47="已完成",0.6,IF(M47="开发中",0.35,IF(M47="设计中",0.1,0)))))))</x:f>
        <x:v>0</x:v>
      </x:c>
      <x:c r="Q47" s="93" t="str"/>
      <x:c r="R47" s="94"/>
      <x:c r="S47" s="94"/>
      <x:c r="T47" s="94"/>
      <x:c r="U47" s="93" t="str">
        <x:v>需确认触发条件</x:v>
      </x:c>
      <x:c r="V47" s="93" t="str"/>
      <x:c r="W47" s="39" t="str">
        <x:v>当前原型 + 最新需求清单</x:v>
      </x:c>
    </x:row>
    <x:row r="48" ht="76" customHeight="1">
      <x:c r="A48" s="39" t="str">
        <x:v>F044</x:v>
      </x:c>
      <x:c r="B48" s="39" t="str">
        <x:v>报价管理</x:v>
      </x:c>
      <x:c r="C48" s="39" t="str">
        <x:v>维护报价状态、版本、中标状态和修订记录</x:v>
      </x:c>
      <x:c r="D48" s="39" t="str">
        <x:v>面向QUO、BOSS，支持维护报价状态、版本、中标状态和修订记录；正式交付需结合真实数据、权限和验收规则确认。</x:v>
      </x:c>
      <x:c r="E48" s="39" t="str">
        <x:v>QUO、BOSS</x:v>
      </x:c>
      <x:c r="F48" s="39" t="str">
        <x:v>报价单/报价明细</x:v>
      </x:c>
      <x:c r="G48" s="39" t="str">
        <x:v>创建、编辑和跟踪报价，维护物料、金额、版本及关联业务。</x:v>
      </x:c>
      <x:c r="H48" s="39" t="str">
        <x:v>报价编号、报价标题/类别、来源/CALL/SR/客户、报价负责人、报价日期/回覆截止/有效期、物料/描述/数量/单位、单价/税率/总金额、历史成本/供应商、报价状态/中单结果、版本/修订记录、报价附件</x:v>
      </x:c>
      <x:c r="I48" s="39" t="str">
        <x:v>报价修订产生新版本并保留历史；中单/丢单更新业务状态。</x:v>
      </x:c>
      <x:c r="J48" s="41" t="str">
        <x:v>可演示</x:v>
      </x:c>
      <x:c r="K48" s="41" t="str">
        <x:v>P1/P2</x:v>
      </x:c>
      <x:c r="L48" s="91" t="str">
        <x:v>待客户确认</x:v>
      </x:c>
      <x:c r="M48" s="91" t="str">
        <x:v>未开始</x:v>
      </x:c>
      <x:c r="N48" s="91" t="str">
        <x:v>未开始</x:v>
      </x:c>
      <x:c r="O48" s="91" t="str">
        <x:v>未开始</x:v>
      </x:c>
      <x:c r="P48" s="92" t="n">
        <x:f>IF(O48="已验收",1,IF(O48="验收中",0.9,IF(N48="已通过",0.85,IF(N48="测试中",0.7,IF(M48="已完成",0.6,IF(M48="开发中",0.35,IF(M48="设计中",0.1,0)))))))</x:f>
        <x:v>0</x:v>
      </x:c>
      <x:c r="Q48" s="93" t="str"/>
      <x:c r="R48" s="94"/>
      <x:c r="S48" s="94"/>
      <x:c r="T48" s="94"/>
      <x:c r="U48" s="93" t="str"/>
      <x:c r="V48" s="93" t="str"/>
      <x:c r="W48" s="39" t="str">
        <x:v>当前原型 + 最新需求清单</x:v>
      </x:c>
    </x:row>
    <x:row r="49" ht="76" customHeight="1">
      <x:c r="A49" s="39" t="str">
        <x:v>F045</x:v>
      </x:c>
      <x:c r="B49" s="39" t="str">
        <x:v>报价管理</x:v>
      </x:c>
      <x:c r="C49" s="39" t="str">
        <x:v>维护报价组通讯录和报价负责人</x:v>
      </x:c>
      <x:c r="D49" s="39" t="str">
        <x:v>面向QUO、ADMIN，支持维护报价组通讯录和报价负责人；正式交付需结合真实数据、权限和验收规则确认。</x:v>
      </x:c>
      <x:c r="E49" s="39" t="str">
        <x:v>QUO、ADMIN</x:v>
      </x:c>
      <x:c r="F49" s="39" t="str">
        <x:v>报价单/报价明细</x:v>
      </x:c>
      <x:c r="G49" s="39" t="str">
        <x:v>创建、编辑和跟踪报价，维护物料、金额、版本及关联业务。</x:v>
      </x:c>
      <x:c r="H49" s="39" t="str">
        <x:v>报价编号、报价标题/类别、来源/CALL/SR/客户、报价负责人、报价日期/回覆截止/有效期、物料/描述/数量/单位、单价/税率/总金额、历史成本/供应商、报价状态/中单结果、版本/修订记录、报价附件</x:v>
      </x:c>
      <x:c r="I49" s="39" t="str">
        <x:v>点击新增或编辑，完成校验后保存；停用或删除需二次确认。新建或编辑报价，选择来源与客户，录入明细后保存；状态变化触发修订或中单联动。</x:v>
      </x:c>
      <x:c r="J49" s="41" t="str">
        <x:v>可演示</x:v>
      </x:c>
      <x:c r="K49" s="41" t="str">
        <x:v>P1/P2</x:v>
      </x:c>
      <x:c r="L49" s="91" t="str">
        <x:v>待客户确认</x:v>
      </x:c>
      <x:c r="M49" s="91" t="str">
        <x:v>未开始</x:v>
      </x:c>
      <x:c r="N49" s="91" t="str">
        <x:v>未开始</x:v>
      </x:c>
      <x:c r="O49" s="91" t="str">
        <x:v>未开始</x:v>
      </x:c>
      <x:c r="P49" s="92" t="n">
        <x:f>IF(O49="已验收",1,IF(O49="验收中",0.9,IF(N49="已通过",0.85,IF(N49="测试中",0.7,IF(M49="已完成",0.6,IF(M49="开发中",0.35,IF(M49="设计中",0.1,0)))))))</x:f>
        <x:v>0</x:v>
      </x:c>
      <x:c r="Q49" s="93" t="str"/>
      <x:c r="R49" s="94"/>
      <x:c r="S49" s="94"/>
      <x:c r="T49" s="94"/>
      <x:c r="U49" s="93" t="str"/>
      <x:c r="V49" s="93" t="str"/>
      <x:c r="W49" s="39" t="str">
        <x:v>当前原型 + 最新需求清单</x:v>
      </x:c>
    </x:row>
    <x:row r="50" ht="76" customHeight="1">
      <x:c r="A50" s="39" t="str">
        <x:v>F046</x:v>
      </x:c>
      <x:c r="B50" s="39" t="str">
        <x:v>标书管理</x:v>
      </x:c>
      <x:c r="C50" s="39" t="str">
        <x:v>新建、导入、编辑、删除和搜索标书</x:v>
      </x:c>
      <x:c r="D50" s="39" t="str">
        <x:v>面向TENDER、ADMIN，支持新建、导入、编辑、删除和搜索标书；正式交付需结合真实数据、权限和验收规则确认。</x:v>
      </x:c>
      <x:c r="E50" s="39" t="str">
        <x:v>TENDER、ADMIN</x:v>
      </x:c>
      <x:c r="F50" s="39" t="str">
        <x:v>标书表单</x:v>
      </x:c>
      <x:c r="G50" s="39" t="str">
        <x:v>登记标书来源、截止日期、回标方式、负责人和附件。</x:v>
      </x:c>
      <x:c r="H50" s="39" t="str">
        <x:v>标书编号/名称、标书来源、回标方式、收到日期/截止日期、负责人、投标状态/中标结果、招标文件/往来资料、内部备注</x:v>
      </x:c>
      <x:c r="I50" s="39" t="str">
        <x:v>支持新建或从文件导入标书，校验后进入标书列表。</x:v>
      </x:c>
      <x:c r="J50" s="41" t="str">
        <x:v>可演示</x:v>
      </x:c>
      <x:c r="K50" s="41" t="str">
        <x:v>P1/P2</x:v>
      </x:c>
      <x:c r="L50" s="91" t="str">
        <x:v>待客户确认</x:v>
      </x:c>
      <x:c r="M50" s="91" t="str">
        <x:v>未开始</x:v>
      </x:c>
      <x:c r="N50" s="91" t="str">
        <x:v>未开始</x:v>
      </x:c>
      <x:c r="O50" s="91" t="str">
        <x:v>未开始</x:v>
      </x:c>
      <x:c r="P50" s="92" t="n">
        <x:f>IF(O50="已验收",1,IF(O50="验收中",0.9,IF(N50="已通过",0.85,IF(N50="测试中",0.7,IF(M50="已完成",0.6,IF(M50="开发中",0.35,IF(M50="设计中",0.1,0)))))))</x:f>
        <x:v>0</x:v>
      </x:c>
      <x:c r="Q50" s="93" t="str"/>
      <x:c r="R50" s="94"/>
      <x:c r="S50" s="94"/>
      <x:c r="T50" s="94"/>
      <x:c r="U50" s="93" t="str"/>
      <x:c r="V50" s="93" t="str"/>
      <x:c r="W50" s="39" t="str">
        <x:v>当前原型 + 最新需求清单</x:v>
      </x:c>
    </x:row>
    <x:row r="51" ht="76" customHeight="1">
      <x:c r="A51" s="39" t="str">
        <x:v>F047</x:v>
      </x:c>
      <x:c r="B51" s="39" t="str">
        <x:v>标书管理</x:v>
      </x:c>
      <x:c r="C51" s="39" t="str">
        <x:v>维护标书来源、回标方式、截止日期和负责人</x:v>
      </x:c>
      <x:c r="D51" s="39" t="str">
        <x:v>面向TENDER，支持维护标书来源、回标方式、截止日期和负责人；正式交付需结合真实数据、权限和验收规则确认。</x:v>
      </x:c>
      <x:c r="E51" s="39" t="str">
        <x:v>TENDER</x:v>
      </x:c>
      <x:c r="F51" s="39" t="str">
        <x:v>标书表单</x:v>
      </x:c>
      <x:c r="G51" s="39" t="str">
        <x:v>登记标书来源、截止日期、回标方式、负责人和附件。</x:v>
      </x:c>
      <x:c r="H51" s="39" t="str">
        <x:v>标书编号/名称、标书来源、回标方式、收到日期/截止日期、负责人、投标状态/中标结果、招标文件/往来资料、内部备注</x:v>
      </x:c>
      <x:c r="I51" s="39" t="str">
        <x:v>点击新增或编辑，完成校验后保存；停用或删除需二次确认。支持新增或导入；按截止日期倒计时提醒，维护投标状态和中标结果。</x:v>
      </x:c>
      <x:c r="J51" s="41" t="str">
        <x:v>可演示</x:v>
      </x:c>
      <x:c r="K51" s="41" t="str">
        <x:v>P1/P2</x:v>
      </x:c>
      <x:c r="L51" s="91" t="str">
        <x:v>待客户确认</x:v>
      </x:c>
      <x:c r="M51" s="91" t="str">
        <x:v>未开始</x:v>
      </x:c>
      <x:c r="N51" s="91" t="str">
        <x:v>未开始</x:v>
      </x:c>
      <x:c r="O51" s="91" t="str">
        <x:v>未开始</x:v>
      </x:c>
      <x:c r="P51" s="92" t="n">
        <x:f>IF(O51="已验收",1,IF(O51="验收中",0.9,IF(N51="已通过",0.85,IF(N51="测试中",0.7,IF(M51="已完成",0.6,IF(M51="开发中",0.35,IF(M51="设计中",0.1,0)))))))</x:f>
        <x:v>0</x:v>
      </x:c>
      <x:c r="Q51" s="93" t="str"/>
      <x:c r="R51" s="94"/>
      <x:c r="S51" s="94"/>
      <x:c r="T51" s="94"/>
      <x:c r="U51" s="93" t="str"/>
      <x:c r="V51" s="93" t="str"/>
      <x:c r="W51" s="39" t="str">
        <x:v>当前原型 + 最新需求清单</x:v>
      </x:c>
    </x:row>
    <x:row r="52" ht="76" customHeight="1">
      <x:c r="A52" s="39" t="str">
        <x:v>F048</x:v>
      </x:c>
      <x:c r="B52" s="39" t="str">
        <x:v>标书管理</x:v>
      </x:c>
      <x:c r="C52" s="39" t="str">
        <x:v>倒计时查看截止日期、投标状态和中标结果</x:v>
      </x:c>
      <x:c r="D52" s="39" t="str">
        <x:v>面向TENDER、BOSS，支持倒计时查看截止日期、投标状态和中标结果；正式交付需结合真实数据、权限和验收规则确认。</x:v>
      </x:c>
      <x:c r="E52" s="39" t="str">
        <x:v>TENDER、BOSS</x:v>
      </x:c>
      <x:c r="F52" s="39" t="str">
        <x:v>标书表单</x:v>
      </x:c>
      <x:c r="G52" s="39" t="str">
        <x:v>登记标书来源、截止日期、回标方式、负责人和附件。</x:v>
      </x:c>
      <x:c r="H52" s="39" t="str">
        <x:v>标书编号/名称、标书来源、回标方式、收到日期/截止日期、负责人、投标状态/中标结果、招标文件/往来资料、内部备注</x:v>
      </x:c>
      <x:c r="I52" s="39" t="str">
        <x:v>进入页面查看相关记录；点击卡片或编号下钻。支持新增或导入；按截止日期倒计时提醒，维护投标状态和中标结果。</x:v>
      </x:c>
      <x:c r="J52" s="41" t="str">
        <x:v>可演示</x:v>
      </x:c>
      <x:c r="K52" s="41" t="str">
        <x:v>P1/P2</x:v>
      </x:c>
      <x:c r="L52" s="91" t="str">
        <x:v>待客户确认</x:v>
      </x:c>
      <x:c r="M52" s="91" t="str">
        <x:v>未开始</x:v>
      </x:c>
      <x:c r="N52" s="91" t="str">
        <x:v>未开始</x:v>
      </x:c>
      <x:c r="O52" s="91" t="str">
        <x:v>未开始</x:v>
      </x:c>
      <x:c r="P52" s="92" t="n">
        <x:f>IF(O52="已验收",1,IF(O52="验收中",0.9,IF(N52="已通过",0.85,IF(N52="测试中",0.7,IF(M52="已完成",0.6,IF(M52="开发中",0.35,IF(M52="设计中",0.1,0)))))))</x:f>
        <x:v>0</x:v>
      </x:c>
      <x:c r="Q52" s="93" t="str"/>
      <x:c r="R52" s="94"/>
      <x:c r="S52" s="94"/>
      <x:c r="T52" s="94"/>
      <x:c r="U52" s="93" t="str"/>
      <x:c r="V52" s="93" t="str"/>
      <x:c r="W52" s="39" t="str">
        <x:v>当前原型 + 最新需求清单</x:v>
      </x:c>
    </x:row>
    <x:row r="53" ht="76" customHeight="1">
      <x:c r="A53" s="39" t="str">
        <x:v>F049</x:v>
      </x:c>
      <x:c r="B53" s="39" t="str">
        <x:v>标书管理</x:v>
      </x:c>
      <x:c r="C53" s="39" t="str">
        <x:v>管理标书附件、往来资料和内部备注</x:v>
      </x:c>
      <x:c r="D53" s="39" t="str">
        <x:v>面向TENDER，支持管理标书附件、往来资料和内部备注；正式交付需结合真实数据、权限和验收规则确认。</x:v>
      </x:c>
      <x:c r="E53" s="39" t="str">
        <x:v>TENDER</x:v>
      </x:c>
      <x:c r="F53" s="39" t="str">
        <x:v>标书表单</x:v>
      </x:c>
      <x:c r="G53" s="39" t="str">
        <x:v>登记标书来源、截止日期、回标方式、负责人和附件。</x:v>
      </x:c>
      <x:c r="H53" s="39" t="str">
        <x:v>标书编号/名称、标书来源、回标方式、收到日期/截止日期、负责人、投标状态/中标结果、招标文件/往来资料、内部备注</x:v>
      </x:c>
      <x:c r="I53" s="39" t="str">
        <x:v>点击新增或编辑，完成校验后保存；停用或删除需二次确认。支持新增或导入；按截止日期倒计时提醒，维护投标状态和中标结果。</x:v>
      </x:c>
      <x:c r="J53" s="41" t="str">
        <x:v>可演示</x:v>
      </x:c>
      <x:c r="K53" s="41" t="str">
        <x:v>P1/P2</x:v>
      </x:c>
      <x:c r="L53" s="91" t="str">
        <x:v>待客户确认</x:v>
      </x:c>
      <x:c r="M53" s="91" t="str">
        <x:v>未开始</x:v>
      </x:c>
      <x:c r="N53" s="91" t="str">
        <x:v>未开始</x:v>
      </x:c>
      <x:c r="O53" s="91" t="str">
        <x:v>未开始</x:v>
      </x:c>
      <x:c r="P53" s="92" t="n">
        <x:f>IF(O53="已验收",1,IF(O53="验收中",0.9,IF(N53="已通过",0.85,IF(N53="测试中",0.7,IF(M53="已完成",0.6,IF(M53="开发中",0.35,IF(M53="设计中",0.1,0)))))))</x:f>
        <x:v>0</x:v>
      </x:c>
      <x:c r="Q53" s="93" t="str"/>
      <x:c r="R53" s="94"/>
      <x:c r="S53" s="94"/>
      <x:c r="T53" s="94"/>
      <x:c r="U53" s="93" t="str"/>
      <x:c r="V53" s="93" t="str"/>
      <x:c r="W53" s="39" t="str">
        <x:v>当前原型 + 最新需求清单</x:v>
      </x:c>
    </x:row>
    <x:row r="54" ht="76" customHeight="1">
      <x:c r="A54" s="39" t="str">
        <x:v>F050</x:v>
      </x:c>
      <x:c r="B54" s="39" t="str">
        <x:v>标书管理</x:v>
      </x:c>
      <x:c r="C54" s="39" t="str">
        <x:v>按区域、技能、日期和重复周期安排标书相关师傅</x:v>
      </x:c>
      <x:c r="D54" s="39" t="str">
        <x:v>面向TENDER、TL，支持按区域、技能、日期和重复周期安排标书相关师傅；正式交付需结合真实数据、权限和验收规则确认。</x:v>
      </x:c>
      <x:c r="E54" s="39" t="str">
        <x:v>TENDER、TL</x:v>
      </x:c>
      <x:c r="F54" s="39" t="str">
        <x:v>标书师傅排程</x:v>
      </x:c>
      <x:c r="G54" s="39" t="str">
        <x:v>按区域、技能和日期安排标书相关师傅。</x:v>
      </x:c>
      <x:c r="H54" s="39" t="str">
        <x:v>标书、师傅、开始/结束日期、重复周期、备注</x:v>
      </x:c>
      <x:c r="I54" s="39" t="str">
        <x:v>选择标书与师傅，设置日期和重复周期；保存后生成排程记录。</x:v>
      </x:c>
      <x:c r="J54" s="41" t="str">
        <x:v>可演示</x:v>
      </x:c>
      <x:c r="K54" s="41" t="str">
        <x:v>P2</x:v>
      </x:c>
      <x:c r="L54" s="91" t="str">
        <x:v>待客户确认</x:v>
      </x:c>
      <x:c r="M54" s="91" t="str">
        <x:v>未开始</x:v>
      </x:c>
      <x:c r="N54" s="91" t="str">
        <x:v>未开始</x:v>
      </x:c>
      <x:c r="O54" s="91" t="str">
        <x:v>未开始</x:v>
      </x:c>
      <x:c r="P54" s="92" t="n">
        <x:f>IF(O54="已验收",1,IF(O54="验收中",0.9,IF(N54="已通过",0.85,IF(N54="测试中",0.7,IF(M54="已完成",0.6,IF(M54="开发中",0.35,IF(M54="设计中",0.1,0)))))))</x:f>
        <x:v>0</x:v>
      </x:c>
      <x:c r="Q54" s="93" t="str"/>
      <x:c r="R54" s="94"/>
      <x:c r="S54" s="94"/>
      <x:c r="T54" s="94"/>
      <x:c r="U54" s="93" t="str">
        <x:v>需确认业务边界</x:v>
      </x:c>
      <x:c r="V54" s="93" t="str"/>
      <x:c r="W54" s="39" t="str">
        <x:v>当前原型 + 最新需求清单</x:v>
      </x:c>
    </x:row>
    <x:row r="55" ht="76" customHeight="1">
      <x:c r="A55" s="39" t="str">
        <x:v>F051</x:v>
      </x:c>
      <x:c r="B55" s="39" t="str">
        <x:v>备货与采购</x:v>
      </x:c>
      <x:c r="C55" s="39" t="str">
        <x:v>报价已中单时自动建立一张关联备货单；采购部在其下手工新建多张采购单，按供应商分单</x:v>
      </x:c>
      <x:c r="D55" s="39" t="str">
        <x:v>已中单报价只创建一张备货单，采购人员可在其下按供应商建立多张采购单。</x:v>
      </x:c>
      <x:c r="E55" s="39" t="str">
        <x:v>PUR、ADMIN</x:v>
      </x:c>
      <x:c r="F55" s="39" t="str">
        <x:v>备货单/采购单</x:v>
      </x:c>
      <x:c r="G55" s="39" t="str">
        <x:v>由中单报价建立备货单，并在其下按供应商创建采购单。</x:v>
      </x:c>
      <x:c r="H55" s="39" t="str">
        <x:v>备货单编号、报价/CALL/客户、采购单编号、供应商、物料/数量/单位、预计/实际到货、采购状态、验收后建CALL</x:v>
      </x:c>
      <x:c r="I55" s="39" t="str">
        <x:v>中单触发备货单；采购人员创建一张或多张采购单，逐步更新下单、发货、到货和验收状态。</x:v>
      </x:c>
      <x:c r="J55" s="41" t="str">
        <x:v>可演示</x:v>
      </x:c>
      <x:c r="K55" s="41" t="str">
        <x:v>P1/P2</x:v>
      </x:c>
      <x:c r="L55" s="91" t="str">
        <x:v>待客户确认</x:v>
      </x:c>
      <x:c r="M55" s="91" t="str">
        <x:v>未开始</x:v>
      </x:c>
      <x:c r="N55" s="91" t="str">
        <x:v>未开始</x:v>
      </x:c>
      <x:c r="O55" s="91" t="str">
        <x:v>未开始</x:v>
      </x:c>
      <x:c r="P55" s="92" t="n">
        <x:f>IF(O55="已验收",1,IF(O55="验收中",0.9,IF(N55="已通过",0.85,IF(N55="测试中",0.7,IF(M55="已完成",0.6,IF(M55="开发中",0.35,IF(M55="设计中",0.1,0)))))))</x:f>
        <x:v>0</x:v>
      </x:c>
      <x:c r="Q55" s="93" t="str"/>
      <x:c r="R55" s="94"/>
      <x:c r="S55" s="94"/>
      <x:c r="T55" s="94"/>
      <x:c r="U55" s="93" t="str">
        <x:v>需确认联动范围</x:v>
      </x:c>
      <x:c r="V55" s="93" t="str"/>
      <x:c r="W55" s="39" t="str">
        <x:v>当前原型 + 最新需求清单</x:v>
      </x:c>
    </x:row>
    <x:row r="56" ht="76" customHeight="1">
      <x:c r="A56" s="39" t="str">
        <x:v>F052</x:v>
      </x:c>
      <x:c r="B56" s="39" t="str">
        <x:v>备货与采购</x:v>
      </x:c>
      <x:c r="C56" s="39" t="str">
        <x:v>跟踪待下单、已下单、已发货、到货和验收状态</x:v>
      </x:c>
      <x:c r="D56" s="39" t="str">
        <x:v>面向PUR、TL，支持跟踪待下单、已下单、已发货、到货和验收状态；正式交付需结合真实数据、权限和验收规则确认。</x:v>
      </x:c>
      <x:c r="E56" s="39" t="str">
        <x:v>PUR、TL</x:v>
      </x:c>
      <x:c r="F56" s="39" t="str">
        <x:v>备货单/采购单</x:v>
      </x:c>
      <x:c r="G56" s="39" t="str">
        <x:v>由中单报价建立备货单，并在其下按供应商创建采购单。</x:v>
      </x:c>
      <x:c r="H56" s="39" t="str">
        <x:v>备货单编号、报价/CALL/客户、采购单编号、供应商、物料/数量/单位、预计/实际到货、采购状态、验收后建CALL</x:v>
      </x:c>
      <x:c r="I56" s="39" t="str">
        <x:v>中单触发备货单；采购人员创建一张或多张采购单，逐步更新下单、发货、到货和验收状态。</x:v>
      </x:c>
      <x:c r="J56" s="41" t="str">
        <x:v>可演示</x:v>
      </x:c>
      <x:c r="K56" s="41" t="str">
        <x:v>P1/P2</x:v>
      </x:c>
      <x:c r="L56" s="91" t="str">
        <x:v>待客户确认</x:v>
      </x:c>
      <x:c r="M56" s="91" t="str">
        <x:v>未开始</x:v>
      </x:c>
      <x:c r="N56" s="91" t="str">
        <x:v>未开始</x:v>
      </x:c>
      <x:c r="O56" s="91" t="str">
        <x:v>未开始</x:v>
      </x:c>
      <x:c r="P56" s="92" t="n">
        <x:f>IF(O56="已验收",1,IF(O56="验收中",0.9,IF(N56="已通过",0.85,IF(N56="测试中",0.7,IF(M56="已完成",0.6,IF(M56="开发中",0.35,IF(M56="设计中",0.1,0)))))))</x:f>
        <x:v>0</x:v>
      </x:c>
      <x:c r="Q56" s="93" t="str"/>
      <x:c r="R56" s="94"/>
      <x:c r="S56" s="94"/>
      <x:c r="T56" s="94"/>
      <x:c r="U56" s="93" t="str"/>
      <x:c r="V56" s="93" t="str"/>
      <x:c r="W56" s="39" t="str">
        <x:v>当前原型 + 最新需求清单</x:v>
      </x:c>
    </x:row>
    <x:row r="57" ht="76" customHeight="1">
      <x:c r="A57" s="39" t="str">
        <x:v>F053</x:v>
      </x:c>
      <x:c r="B57" s="39" t="str">
        <x:v>备货与采购</x:v>
      </x:c>
      <x:c r="C57" s="39" t="str">
        <x:v>管理供应商和合作状态</x:v>
      </x:c>
      <x:c r="D57" s="39" t="str">
        <x:v>面向PUR、ADMIN，支持管理供应商和合作状态；正式交付需结合真实数据、权限和验收规则确认。</x:v>
      </x:c>
      <x:c r="E57" s="39" t="str">
        <x:v>PUR、ADMIN</x:v>
      </x:c>
      <x:c r="F57" s="39" t="str">
        <x:v>供应商档案</x:v>
      </x:c>
      <x:c r="G57" s="39" t="str">
        <x:v>维护采购供应商及合作状态。</x:v>
      </x:c>
      <x:c r="H57" s="39" t="str">
        <x:v>供应商编号/名称、联系人/电话/邮箱、供应类别、合作状态、备注</x:v>
      </x:c>
      <x:c r="I57" s="39" t="str">
        <x:v>点击新增或编辑，完成校验后保存；停用或删除需二次确认。新增或编辑供应商，停用后不能用于新采购单，历史记录保留。</x:v>
      </x:c>
      <x:c r="J57" s="41" t="str">
        <x:v>可演示</x:v>
      </x:c>
      <x:c r="K57" s="41" t="str">
        <x:v>P1/P2</x:v>
      </x:c>
      <x:c r="L57" s="91" t="str">
        <x:v>待客户确认</x:v>
      </x:c>
      <x:c r="M57" s="91" t="str">
        <x:v>未开始</x:v>
      </x:c>
      <x:c r="N57" s="91" t="str">
        <x:v>未开始</x:v>
      </x:c>
      <x:c r="O57" s="91" t="str">
        <x:v>未开始</x:v>
      </x:c>
      <x:c r="P57" s="92" t="n">
        <x:f>IF(O57="已验收",1,IF(O57="验收中",0.9,IF(N57="已通过",0.85,IF(N57="测试中",0.7,IF(M57="已完成",0.6,IF(M57="开发中",0.35,IF(M57="设计中",0.1,0)))))))</x:f>
        <x:v>0</x:v>
      </x:c>
      <x:c r="Q57" s="93" t="str"/>
      <x:c r="R57" s="94"/>
      <x:c r="S57" s="94"/>
      <x:c r="T57" s="94"/>
      <x:c r="U57" s="93" t="str"/>
      <x:c r="V57" s="93" t="str"/>
      <x:c r="W57" s="39" t="str">
        <x:v>当前原型 + 最新需求清单</x:v>
      </x:c>
    </x:row>
    <x:row r="58" ht="76" customHeight="1">
      <x:c r="A58" s="39" t="str">
        <x:v>F054</x:v>
      </x:c>
      <x:c r="B58" s="39" t="str">
        <x:v>备货与采购</x:v>
      </x:c>
      <x:c r="C58" s="39" t="str">
        <x:v>关联报价、CALL、工单、物料和到货状态</x:v>
      </x:c>
      <x:c r="D58" s="39" t="str">
        <x:v>面向PUR、QUO、TL，支持关联报价、CALL、工单、物料和到货状态；正式交付需结合真实数据、权限和验收规则确认。</x:v>
      </x:c>
      <x:c r="E58" s="39" t="str">
        <x:v>PUR、QUO、TL</x:v>
      </x:c>
      <x:c r="F58" s="39" t="str">
        <x:v>备货单/采购单</x:v>
      </x:c>
      <x:c r="G58" s="39" t="str">
        <x:v>由中单报价建立备货单，并在其下按供应商创建采购单。</x:v>
      </x:c>
      <x:c r="H58" s="39" t="str">
        <x:v>备货单编号、报价/CALL/客户、采购单编号、供应商、物料/数量/单位、预计/实际到货、采购状态、验收后建CALL</x:v>
      </x:c>
      <x:c r="I58" s="39" t="str">
        <x:v>中单触发备货单；采购人员创建一张或多张采购单，逐步更新下单、发货、到货和验收状态。</x:v>
      </x:c>
      <x:c r="J58" s="41" t="str">
        <x:v>可演示</x:v>
      </x:c>
      <x:c r="K58" s="41" t="str">
        <x:v>P1/P2</x:v>
      </x:c>
      <x:c r="L58" s="91" t="str">
        <x:v>待客户确认</x:v>
      </x:c>
      <x:c r="M58" s="91" t="str">
        <x:v>未开始</x:v>
      </x:c>
      <x:c r="N58" s="91" t="str">
        <x:v>未开始</x:v>
      </x:c>
      <x:c r="O58" s="91" t="str">
        <x:v>未开始</x:v>
      </x:c>
      <x:c r="P58" s="92" t="n">
        <x:f>IF(O58="已验收",1,IF(O58="验收中",0.9,IF(N58="已通过",0.85,IF(N58="测试中",0.7,IF(M58="已完成",0.6,IF(M58="开发中",0.35,IF(M58="设计中",0.1,0)))))))</x:f>
        <x:v>0</x:v>
      </x:c>
      <x:c r="Q58" s="93" t="str"/>
      <x:c r="R58" s="94"/>
      <x:c r="S58" s="94"/>
      <x:c r="T58" s="94"/>
      <x:c r="U58" s="93" t="str"/>
      <x:c r="V58" s="93" t="str"/>
      <x:c r="W58" s="39" t="str">
        <x:v>当前原型 + 最新需求清单</x:v>
      </x:c>
    </x:row>
    <x:row r="59" ht="76" customHeight="1">
      <x:c r="A59" s="39" t="str">
        <x:v>F055</x:v>
      </x:c>
      <x:c r="B59" s="39" t="str">
        <x:v>备货与采购</x:v>
      </x:c>
      <x:c r="C59" s="39" t="str">
        <x:v>采购验收完成时可选择自动创建待分派工单</x:v>
      </x:c>
      <x:c r="D59" s="39" t="str">
        <x:v>采购验收后是否自动建立待分派CALL由客户决定。</x:v>
      </x:c>
      <x:c r="E59" s="39" t="str">
        <x:v>PUR、TL</x:v>
      </x:c>
      <x:c r="F59" s="39" t="str">
        <x:v>备货单/采购单</x:v>
      </x:c>
      <x:c r="G59" s="39" t="str">
        <x:v>由中单报价建立备货单，并在其下按供应商创建采购单。</x:v>
      </x:c>
      <x:c r="H59" s="39" t="str">
        <x:v>备货单编号、报价/CALL/客户、采购单编号、供应商、物料/数量/单位、预计/实际到货、采购状态、验收后建CALL</x:v>
      </x:c>
      <x:c r="I59" s="39" t="str">
        <x:v>中单触发备货单；采购人员创建一张或多张采购单，逐步更新下单、发货、到货和验收状态。</x:v>
      </x:c>
      <x:c r="J59" s="41" t="str">
        <x:v>流程演示</x:v>
      </x:c>
      <x:c r="K59" s="41" t="str">
        <x:v>P2</x:v>
      </x:c>
      <x:c r="L59" s="91" t="str">
        <x:v>待客户确认</x:v>
      </x:c>
      <x:c r="M59" s="91" t="str">
        <x:v>未开始</x:v>
      </x:c>
      <x:c r="N59" s="91" t="str">
        <x:v>未开始</x:v>
      </x:c>
      <x:c r="O59" s="91" t="str">
        <x:v>未开始</x:v>
      </x:c>
      <x:c r="P59" s="92" t="n">
        <x:f>IF(O59="已验收",1,IF(O59="验收中",0.9,IF(N59="已通过",0.85,IF(N59="测试中",0.7,IF(M59="已完成",0.6,IF(M59="开发中",0.35,IF(M59="设计中",0.1,0)))))))</x:f>
        <x:v>0</x:v>
      </x:c>
      <x:c r="Q59" s="93" t="str"/>
      <x:c r="R59" s="94"/>
      <x:c r="S59" s="94"/>
      <x:c r="T59" s="94"/>
      <x:c r="U59" s="93" t="str">
        <x:v>需确认是否启用</x:v>
      </x:c>
      <x:c r="V59" s="93" t="str"/>
      <x:c r="W59" s="39" t="str">
        <x:v>当前原型 + 最新需求清单</x:v>
      </x:c>
    </x:row>
    <x:row r="60" ht="76" customHeight="1">
      <x:c r="A60" s="39" t="str">
        <x:v>F056</x:v>
      </x:c>
      <x:c r="B60" s="39" t="str">
        <x:v>备货与采购</x:v>
      </x:c>
      <x:c r="C60" s="39" t="str">
        <x:v>新建工单时使用原工单编号加后缀的规则</x:v>
      </x:c>
      <x:c r="D60" s="39" t="str">
        <x:v>面向PUR、TL，支持新建工单时使用原工单编号加后缀的规则；正式交付需结合真实数据、权限和验收规则确认。</x:v>
      </x:c>
      <x:c r="E60" s="39" t="str">
        <x:v>PUR、TL</x:v>
      </x:c>
      <x:c r="F60" s="39" t="str">
        <x:v>备货单/采购单</x:v>
      </x:c>
      <x:c r="G60" s="39" t="str">
        <x:v>由中单报价建立备货单，并在其下按供应商创建采购单。</x:v>
      </x:c>
      <x:c r="H60" s="39" t="str">
        <x:v>备货单编号、报价/CALL/客户、采购单编号、供应商、物料/数量/单位、预计/实际到货、采购状态、验收后建CALL</x:v>
      </x:c>
      <x:c r="I60" s="39" t="str">
        <x:v>点击新增或编辑，完成校验后保存；停用或删除需二次确认。中单触发备货单；采购人员创建一张或多张采购单，逐步更新下单、发货、到货和验收状态。</x:v>
      </x:c>
      <x:c r="J60" s="41" t="str">
        <x:v>可演示</x:v>
      </x:c>
      <x:c r="K60" s="41" t="str">
        <x:v>P2</x:v>
      </x:c>
      <x:c r="L60" s="91" t="str">
        <x:v>待客户确认</x:v>
      </x:c>
      <x:c r="M60" s="91" t="str">
        <x:v>未开始</x:v>
      </x:c>
      <x:c r="N60" s="91" t="str">
        <x:v>未开始</x:v>
      </x:c>
      <x:c r="O60" s="91" t="str">
        <x:v>未开始</x:v>
      </x:c>
      <x:c r="P60" s="92" t="n">
        <x:f>IF(O60="已验收",1,IF(O60="验收中",0.9,IF(N60="已通过",0.85,IF(N60="测试中",0.7,IF(M60="已完成",0.6,IF(M60="开发中",0.35,IF(M60="设计中",0.1,0)))))))</x:f>
        <x:v>0</x:v>
      </x:c>
      <x:c r="Q60" s="93" t="str"/>
      <x:c r="R60" s="94"/>
      <x:c r="S60" s="94"/>
      <x:c r="T60" s="94"/>
      <x:c r="U60" s="93" t="str">
        <x:v>需确认编号格式</x:v>
      </x:c>
      <x:c r="V60" s="93" t="str"/>
      <x:c r="W60" s="39" t="str">
        <x:v>当前原型 + 最新需求清单</x:v>
      </x:c>
    </x:row>
    <x:row r="61" ht="76" customHeight="1">
      <x:c r="A61" s="39" t="str">
        <x:v>F057</x:v>
      </x:c>
      <x:c r="B61" s="39" t="str">
        <x:v>会计与外部接口</x:v>
      </x:c>
      <x:c r="C61" s="39" t="str">
        <x:v>查看待开票项目、筛选、批量开票和打印</x:v>
      </x:c>
      <x:c r="D61" s="39" t="str">
        <x:v>面向FIN，支持查看待开票项目、筛选、批量开票和打印；正式交付需结合真实数据、权限和验收规则确认。</x:v>
      </x:c>
      <x:c r="E61" s="39" t="str">
        <x:v>FIN</x:v>
      </x:c>
      <x:c r="F61" s="39" t="str">
        <x:v>待开票/发票管理</x:v>
      </x:c>
      <x:c r="G61" s="39" t="str">
        <x:v>管理待开票项目、发票金额、账期、打印与收款状态。</x:v>
      </x:c>
      <x:c r="H61" s="39" t="str">
        <x:v>Job Code/客户、描述/类型、开票金额、Billing Period、服务起止日期、付款账期、合约/附件、发票/收款状态</x:v>
      </x:c>
      <x:c r="I61" s="39" t="str">
        <x:v>筛选待开票记录，支持全选、批量开票和打印；每次操作写入日志。</x:v>
      </x:c>
      <x:c r="J61" s="41" t="str">
        <x:v>流程演示</x:v>
      </x:c>
      <x:c r="K61" s="41" t="str">
        <x:v>P2</x:v>
      </x:c>
      <x:c r="L61" s="91" t="str">
        <x:v>待客户确认</x:v>
      </x:c>
      <x:c r="M61" s="91" t="str">
        <x:v>未开始</x:v>
      </x:c>
      <x:c r="N61" s="91" t="str">
        <x:v>未开始</x:v>
      </x:c>
      <x:c r="O61" s="91" t="str">
        <x:v>未开始</x:v>
      </x:c>
      <x:c r="P61" s="92" t="n">
        <x:f>IF(O61="已验收",1,IF(O61="验收中",0.9,IF(N61="已通过",0.85,IF(N61="测试中",0.7,IF(M61="已完成",0.6,IF(M61="开发中",0.35,IF(M61="设计中",0.1,0)))))))</x:f>
        <x:v>0</x:v>
      </x:c>
      <x:c r="Q61" s="93" t="str"/>
      <x:c r="R61" s="94"/>
      <x:c r="S61" s="94"/>
      <x:c r="T61" s="94"/>
      <x:c r="U61" s="93" t="str"/>
      <x:c r="V61" s="93" t="str"/>
      <x:c r="W61" s="39" t="str">
        <x:v>当前原型 + 最新需求清单</x:v>
      </x:c>
    </x:row>
    <x:row r="62" ht="76" customHeight="1">
      <x:c r="A62" s="39" t="str">
        <x:v>F058</x:v>
      </x:c>
      <x:c r="B62" s="39" t="str">
        <x:v>会计与外部接口</x:v>
      </x:c>
      <x:c r="C62" s="39" t="str">
        <x:v>管理发票金额、账期、重印和收款状态</x:v>
      </x:c>
      <x:c r="D62" s="39" t="str">
        <x:v>面向FIN，支持管理发票金额、账期、重印和收款状态；正式交付需结合真实数据、权限和验收规则确认。</x:v>
      </x:c>
      <x:c r="E62" s="39" t="str">
        <x:v>FIN</x:v>
      </x:c>
      <x:c r="F62" s="39" t="str">
        <x:v>待开票/发票管理</x:v>
      </x:c>
      <x:c r="G62" s="39" t="str">
        <x:v>管理待开票项目、发票金额、账期、打印与收款状态。</x:v>
      </x:c>
      <x:c r="H62" s="39" t="str">
        <x:v>Job Code/客户、描述/类型、开票金额、Billing Period、服务起止日期、付款账期、合约/附件、发票/收款状态</x:v>
      </x:c>
      <x:c r="I62" s="39" t="str">
        <x:v>点击新增或编辑，完成校验后保存；停用或删除需二次确认。筛选或勾选待开票记录后批量开票；可查看、重印及更新收款状态。</x:v>
      </x:c>
      <x:c r="J62" s="41" t="str">
        <x:v>流程演示</x:v>
      </x:c>
      <x:c r="K62" s="41" t="str">
        <x:v>P2</x:v>
      </x:c>
      <x:c r="L62" s="91" t="str">
        <x:v>待客户确认</x:v>
      </x:c>
      <x:c r="M62" s="91" t="str">
        <x:v>未开始</x:v>
      </x:c>
      <x:c r="N62" s="91" t="str">
        <x:v>未开始</x:v>
      </x:c>
      <x:c r="O62" s="91" t="str">
        <x:v>未开始</x:v>
      </x:c>
      <x:c r="P62" s="92" t="n">
        <x:f>IF(O62="已验收",1,IF(O62="验收中",0.9,IF(N62="已通过",0.85,IF(N62="测试中",0.7,IF(M62="已完成",0.6,IF(M62="开发中",0.35,IF(M62="设计中",0.1,0)))))))</x:f>
        <x:v>0</x:v>
      </x:c>
      <x:c r="Q62" s="93" t="str"/>
      <x:c r="R62" s="94"/>
      <x:c r="S62" s="94"/>
      <x:c r="T62" s="94"/>
      <x:c r="U62" s="93" t="str"/>
      <x:c r="V62" s="93" t="str"/>
      <x:c r="W62" s="39" t="str">
        <x:v>当前原型 + 最新需求清单</x:v>
      </x:c>
    </x:row>
    <x:row r="63" ht="76" customHeight="1">
      <x:c r="A63" s="39" t="str">
        <x:v>F059</x:v>
      </x:c>
      <x:c r="B63" s="39" t="str">
        <x:v>会计与外部接口</x:v>
      </x:c>
      <x:c r="C63" s="39" t="str">
        <x:v>管理收款、收据编号和收据打印</x:v>
      </x:c>
      <x:c r="D63" s="39" t="str">
        <x:v>面向FIN，支持管理收款、收据编号和收据打印；正式交付需结合真实数据、权限和验收规则确认。</x:v>
      </x:c>
      <x:c r="E63" s="39" t="str">
        <x:v>FIN</x:v>
      </x:c>
      <x:c r="F63" s="39" t="str">
        <x:v>收款/收据</x:v>
      </x:c>
      <x:c r="G63" s="39" t="str">
        <x:v>登记收款并生成收据编号和打印收据。</x:v>
      </x:c>
      <x:c r="H63" s="39" t="str">
        <x:v>发票编号/客户、收款日期、金额、方式、收据编号、打印状态、备注</x:v>
      </x:c>
      <x:c r="I63" s="39" t="str">
        <x:v>点击新增或编辑，完成校验后保存；停用或删除需二次确认。选择发票，录入收款信息并保存；系统生成收据编号，可打印或重印。</x:v>
      </x:c>
      <x:c r="J63" s="41" t="str">
        <x:v>流程演示</x:v>
      </x:c>
      <x:c r="K63" s="41" t="str">
        <x:v>P2</x:v>
      </x:c>
      <x:c r="L63" s="91" t="str">
        <x:v>待客户确认</x:v>
      </x:c>
      <x:c r="M63" s="91" t="str">
        <x:v>未开始</x:v>
      </x:c>
      <x:c r="N63" s="91" t="str">
        <x:v>未开始</x:v>
      </x:c>
      <x:c r="O63" s="91" t="str">
        <x:v>未开始</x:v>
      </x:c>
      <x:c r="P63" s="92" t="n">
        <x:f>IF(O63="已验收",1,IF(O63="验收中",0.9,IF(N63="已通过",0.85,IF(N63="测试中",0.7,IF(M63="已完成",0.6,IF(M63="开发中",0.35,IF(M63="设计中",0.1,0)))))))</x:f>
        <x:v>0</x:v>
      </x:c>
      <x:c r="Q63" s="93" t="str"/>
      <x:c r="R63" s="94"/>
      <x:c r="S63" s="94"/>
      <x:c r="T63" s="94"/>
      <x:c r="U63" s="93" t="str"/>
      <x:c r="V63" s="93" t="str"/>
      <x:c r="W63" s="39" t="str">
        <x:v>当前原型 + 最新需求清单</x:v>
      </x:c>
    </x:row>
    <x:row r="64" ht="76" customHeight="1">
      <x:c r="A64" s="39" t="str">
        <x:v>F060</x:v>
      </x:c>
      <x:c r="B64" s="39" t="str">
        <x:v>会计与外部接口</x:v>
      </x:c>
      <x:c r="C64" s="39" t="str">
        <x:v>维护会计客户、账单地址、收件人和账期</x:v>
      </x:c>
      <x:c r="D64" s="39" t="str">
        <x:v>面向FIN，支持维护会计客户、账单地址、收件人和账期；正式交付需结合真实数据、权限和验收规则确认。</x:v>
      </x:c>
      <x:c r="E64" s="39" t="str">
        <x:v>FIN</x:v>
      </x:c>
      <x:c r="F64" s="39" t="str">
        <x:v>会计客户/保养合约</x:v>
      </x:c>
      <x:c r="G64" s="39" t="str">
        <x:v>维护财务客户资料和保养合约开单规则。</x:v>
      </x:c>
      <x:c r="H64" s="39" t="str">
        <x:v>财务客户编号/名称、账单地址/收件人、付款账期、合约编号、起止日期、开单频率、固定金额</x:v>
      </x:c>
      <x:c r="I64" s="39" t="str">
        <x:v>点击新增或编辑，完成校验后保存；停用或删除需二次确认。维护账单资料与账期；按合约起止日期和频率生成月结待开票记录。</x:v>
      </x:c>
      <x:c r="J64" s="41" t="str">
        <x:v>可演示</x:v>
      </x:c>
      <x:c r="K64" s="41" t="str">
        <x:v>P2</x:v>
      </x:c>
      <x:c r="L64" s="91" t="str">
        <x:v>待客户确认</x:v>
      </x:c>
      <x:c r="M64" s="91" t="str">
        <x:v>未开始</x:v>
      </x:c>
      <x:c r="N64" s="91" t="str">
        <x:v>未开始</x:v>
      </x:c>
      <x:c r="O64" s="91" t="str">
        <x:v>未开始</x:v>
      </x:c>
      <x:c r="P64" s="92" t="n">
        <x:f>IF(O64="已验收",1,IF(O64="验收中",0.9,IF(N64="已通过",0.85,IF(N64="测试中",0.7,IF(M64="已完成",0.6,IF(M64="开发中",0.35,IF(M64="设计中",0.1,0)))))))</x:f>
        <x:v>0</x:v>
      </x:c>
      <x:c r="Q64" s="93" t="str"/>
      <x:c r="R64" s="94"/>
      <x:c r="S64" s="94"/>
      <x:c r="T64" s="94"/>
      <x:c r="U64" s="93" t="str"/>
      <x:c r="V64" s="93" t="str"/>
      <x:c r="W64" s="39" t="str">
        <x:v>当前原型 + 最新需求清单</x:v>
      </x:c>
    </x:row>
    <x:row r="65" ht="76" customHeight="1">
      <x:c r="A65" s="39" t="str">
        <x:v>F061</x:v>
      </x:c>
      <x:c r="B65" s="39" t="str">
        <x:v>会计与外部接口</x:v>
      </x:c>
      <x:c r="C65" s="39" t="str">
        <x:v>按保养合约日期和频率生成月结待开发票</x:v>
      </x:c>
      <x:c r="D65" s="39" t="str">
        <x:v>面向FIN，支持按保养合约日期和频率生成月结待开发票；正式交付需结合真实数据、权限和验收规则确认。</x:v>
      </x:c>
      <x:c r="E65" s="39" t="str">
        <x:v>FIN</x:v>
      </x:c>
      <x:c r="F65" s="39" t="str">
        <x:v>会计客户/保养合约</x:v>
      </x:c>
      <x:c r="G65" s="39" t="str">
        <x:v>维护财务客户资料和保养合约开单规则。</x:v>
      </x:c>
      <x:c r="H65" s="39" t="str">
        <x:v>财务客户编号/名称、账单地址/收件人、付款账期、合约编号、起止日期、开单频率、固定金额</x:v>
      </x:c>
      <x:c r="I65" s="39" t="str">
        <x:v>维护账单资料与账期；按合约起止日期和频率生成月结待开票记录。</x:v>
      </x:c>
      <x:c r="J65" s="41" t="str">
        <x:v>流程演示</x:v>
      </x:c>
      <x:c r="K65" s="41" t="str">
        <x:v>P2</x:v>
      </x:c>
      <x:c r="L65" s="91" t="str">
        <x:v>待客户确认</x:v>
      </x:c>
      <x:c r="M65" s="91" t="str">
        <x:v>未开始</x:v>
      </x:c>
      <x:c r="N65" s="91" t="str">
        <x:v>未开始</x:v>
      </x:c>
      <x:c r="O65" s="91" t="str">
        <x:v>未开始</x:v>
      </x:c>
      <x:c r="P65" s="92" t="n">
        <x:f>IF(O65="已验收",1,IF(O65="验收中",0.9,IF(N65="已通过",0.85,IF(N65="测试中",0.7,IF(M65="已完成",0.6,IF(M65="开发中",0.35,IF(M65="设计中",0.1,0)))))))</x:f>
        <x:v>0</x:v>
      </x:c>
      <x:c r="Q65" s="93" t="str"/>
      <x:c r="R65" s="94"/>
      <x:c r="S65" s="94"/>
      <x:c r="T65" s="94"/>
      <x:c r="U65" s="93" t="str"/>
      <x:c r="V65" s="93" t="str"/>
      <x:c r="W65" s="39" t="str">
        <x:v>当前原型 + 最新需求清单</x:v>
      </x:c>
    </x:row>
    <x:row r="66" ht="76" customHeight="1">
      <x:c r="A66" s="39" t="str">
        <x:v>F062</x:v>
      </x:c>
      <x:c r="B66" s="39" t="str">
        <x:v>会计与外部接口</x:v>
      </x:c>
      <x:c r="C66" s="39" t="str">
        <x:v>配置并模拟同步 Peachtree 客户、发票和收款</x:v>
      </x:c>
      <x:c r="D66" s="39" t="str">
        <x:v>原型仅模拟Peachtree同步，真实版本、接口方向、鉴权和验收标准待确认。</x:v>
      </x:c>
      <x:c r="E66" s="39" t="str">
        <x:v>FIN、ADMIN、IT</x:v>
      </x:c>
      <x:c r="F66" s="39" t="str">
        <x:v>Peachtree接口配置</x:v>
      </x:c>
      <x:c r="G66" s="39" t="str">
        <x:v>配置客户、发票和收款数据的同步方向与结果。</x:v>
      </x:c>
      <x:c r="H66" s="39" t="str">
        <x:v>系统版本/地址、鉴权方式、数据对象、同步方向、最后同步时间、结果/错误日志</x:v>
      </x:c>
      <x:c r="I66" s="39" t="str">
        <x:v>点击新增或编辑，完成校验后保存；停用或删除需二次确认。管理员配置连接后执行模拟同步；真实接口版本、鉴权和错误重试需POC。</x:v>
      </x:c>
      <x:c r="J66" s="41" t="str">
        <x:v>流程演示</x:v>
      </x:c>
      <x:c r="K66" s="41" t="str">
        <x:v>P2</x:v>
      </x:c>
      <x:c r="L66" s="91" t="str">
        <x:v>待客户确认</x:v>
      </x:c>
      <x:c r="M66" s="91" t="str">
        <x:v>未开始</x:v>
      </x:c>
      <x:c r="N66" s="91" t="str">
        <x:v>未开始</x:v>
      </x:c>
      <x:c r="O66" s="91" t="str">
        <x:v>未开始</x:v>
      </x:c>
      <x:c r="P66" s="92" t="n">
        <x:f>IF(O66="已验收",1,IF(O66="验收中",0.9,IF(N66="已通过",0.85,IF(N66="测试中",0.7,IF(M66="已完成",0.6,IF(M66="开发中",0.35,IF(M66="设计中",0.1,0)))))))</x:f>
        <x:v>0</x:v>
      </x:c>
      <x:c r="Q66" s="93" t="str"/>
      <x:c r="R66" s="94"/>
      <x:c r="S66" s="94"/>
      <x:c r="T66" s="94"/>
      <x:c r="U66" s="93" t="str">
        <x:v>必须做接口 POC</x:v>
      </x:c>
      <x:c r="V66" s="93" t="str"/>
      <x:c r="W66" s="39" t="str">
        <x:v>当前原型 + 最新需求清单</x:v>
      </x:c>
    </x:row>
    <x:row r="67" ht="76" customHeight="1">
      <x:c r="A67" s="39" t="str">
        <x:v>F063</x:v>
      </x:c>
      <x:c r="B67" s="39" t="str">
        <x:v>统计、客户和基础设置</x:v>
      </x:c>
      <x:c r="C67" s="39" t="str">
        <x:v>按状态、类型、区域、师傅和客户统计 CALL</x:v>
      </x:c>
      <x:c r="D67" s="39" t="str">
        <x:v>面向TL、ADMIN、BOSS，支持按状态、类型、区域、师傅和客户统计 CALL；正式交付需结合真实数据、权限和验收规则确认。</x:v>
      </x:c>
      <x:c r="E67" s="39" t="str">
        <x:v>TL、ADMIN、BOSS</x:v>
      </x:c>
      <x:c r="F67" s="39" t="str">
        <x:v>统计报表</x:v>
      </x:c>
      <x:c r="G67" s="39" t="str">
        <x:v>按状态、类型、区域、师傅和客户汇总CALL及提醒。</x:v>
      </x:c>
      <x:c r="H67" s="39" t="str">
        <x:v>统计日期范围、状态/类型/区域/师傅/客户、CALL数量、最近7天趋势、未完成/SR待签名/资料缺失、报价总数/中单数/中单率</x:v>
      </x:c>
      <x:c r="I67" s="39" t="str">
        <x:v>选择统计维度或时间范围后刷新；点击统计项下钻到对应CALL列表。</x:v>
      </x:c>
      <x:c r="J67" s="41" t="str">
        <x:v>可演示</x:v>
      </x:c>
      <x:c r="K67" s="41" t="str">
        <x:v>P0</x:v>
      </x:c>
      <x:c r="L67" s="91" t="str">
        <x:v>待客户确认</x:v>
      </x:c>
      <x:c r="M67" s="91" t="str">
        <x:v>未开始</x:v>
      </x:c>
      <x:c r="N67" s="91" t="str">
        <x:v>未开始</x:v>
      </x:c>
      <x:c r="O67" s="91" t="str">
        <x:v>未开始</x:v>
      </x:c>
      <x:c r="P67" s="92" t="n">
        <x:f>IF(O67="已验收",1,IF(O67="验收中",0.9,IF(N67="已通过",0.85,IF(N67="测试中",0.7,IF(M67="已完成",0.6,IF(M67="开发中",0.35,IF(M67="设计中",0.1,0)))))))</x:f>
        <x:v>0</x:v>
      </x:c>
      <x:c r="Q67" s="93" t="str"/>
      <x:c r="R67" s="94"/>
      <x:c r="S67" s="94"/>
      <x:c r="T67" s="94"/>
      <x:c r="U67" s="93" t="str"/>
      <x:c r="V67" s="93" t="str"/>
      <x:c r="W67" s="39" t="str">
        <x:v>当前原型 + 最新需求清单</x:v>
      </x:c>
    </x:row>
    <x:row r="68" ht="76" customHeight="1">
      <x:c r="A68" s="39" t="str">
        <x:v>F064</x:v>
      </x:c>
      <x:c r="B68" s="39" t="str">
        <x:v>统计、客户和基础设置</x:v>
      </x:c>
      <x:c r="C68" s="39" t="str">
        <x:v>查看最近 7 天趋势和报价中单统计</x:v>
      </x:c>
      <x:c r="D68" s="39" t="str">
        <x:v>面向TL、ADMIN、BOSS、QUO，支持查看最近 7 天趋势和报价中单统计；正式交付需结合真实数据、权限和验收规则确认。</x:v>
      </x:c>
      <x:c r="E68" s="39" t="str">
        <x:v>TL、ADMIN、BOSS、QUO</x:v>
      </x:c>
      <x:c r="F68" s="39" t="str">
        <x:v>统计报表</x:v>
      </x:c>
      <x:c r="G68" s="39" t="str">
        <x:v>按状态、类型、区域、师傅和客户汇总CALL及提醒。</x:v>
      </x:c>
      <x:c r="H68" s="39" t="str">
        <x:v>统计日期范围、状态/类型/区域/师傅/客户、CALL数量、最近7天趋势、未完成/SR待签名/资料缺失、报价总数/中单数/中单率</x:v>
      </x:c>
      <x:c r="I68" s="39" t="str">
        <x:v>进入页面查看最近 7 天趋势和报价中单统计；点击相关卡片或编号下钻。选择统计维度或时间范围后刷新；点击统计项下钻到对应CALL列表。</x:v>
      </x:c>
      <x:c r="J68" s="41" t="str">
        <x:v>可演示</x:v>
      </x:c>
      <x:c r="K68" s="41" t="str">
        <x:v>P1/P2</x:v>
      </x:c>
      <x:c r="L68" s="91" t="str">
        <x:v>待客户确认</x:v>
      </x:c>
      <x:c r="M68" s="91" t="str">
        <x:v>未开始</x:v>
      </x:c>
      <x:c r="N68" s="91" t="str">
        <x:v>未开始</x:v>
      </x:c>
      <x:c r="O68" s="91" t="str">
        <x:v>未开始</x:v>
      </x:c>
      <x:c r="P68" s="92" t="n">
        <x:f>IF(O68="已验收",1,IF(O68="验收中",0.9,IF(N68="已通过",0.85,IF(N68="测试中",0.7,IF(M68="已完成",0.6,IF(M68="开发中",0.35,IF(M68="设计中",0.1,0)))))))</x:f>
        <x:v>0</x:v>
      </x:c>
      <x:c r="Q68" s="93" t="str"/>
      <x:c r="R68" s="94"/>
      <x:c r="S68" s="94"/>
      <x:c r="T68" s="94"/>
      <x:c r="U68" s="93" t="str"/>
      <x:c r="V68" s="93" t="str"/>
      <x:c r="W68" s="39" t="str">
        <x:v>当前原型 + 最新需求清单</x:v>
      </x:c>
    </x:row>
    <x:row r="69" ht="76" customHeight="1">
      <x:c r="A69" s="39" t="str">
        <x:v>F065</x:v>
      </x:c>
      <x:c r="B69" s="39" t="str">
        <x:v>统计、客户和基础设置</x:v>
      </x:c>
      <x:c r="C69" s="39" t="str">
        <x:v>查看未完成、SR 待签名和资料缺失提醒</x:v>
      </x:c>
      <x:c r="D69" s="39" t="str">
        <x:v>面向TL、ADMIN，支持查看未完成、SR 待签名和资料缺失提醒；正式交付需结合真实数据、权限和验收规则确认。</x:v>
      </x:c>
      <x:c r="E69" s="39" t="str">
        <x:v>TL、ADMIN</x:v>
      </x:c>
      <x:c r="F69" s="39" t="str">
        <x:v>统计报表</x:v>
      </x:c>
      <x:c r="G69" s="39" t="str">
        <x:v>按状态、类型、区域、师傅和客户汇总CALL及提醒。</x:v>
      </x:c>
      <x:c r="H69" s="39" t="str">
        <x:v>统计日期范围、状态/类型/区域/师傅/客户、CALL数量、最近7天趋势、未完成/SR待签名/资料缺失、报价总数/中单数/中单率</x:v>
      </x:c>
      <x:c r="I69" s="39" t="str">
        <x:v>进入页面查看未完成、SR 待签名和资料缺失提醒；点击相关卡片或编号下钻。选择统计维度或时间范围后刷新；点击统计项下钻到对应CALL列表。</x:v>
      </x:c>
      <x:c r="J69" s="41" t="str">
        <x:v>可演示</x:v>
      </x:c>
      <x:c r="K69" s="41" t="str">
        <x:v>P0/P1</x:v>
      </x:c>
      <x:c r="L69" s="91" t="str">
        <x:v>待客户确认</x:v>
      </x:c>
      <x:c r="M69" s="91" t="str">
        <x:v>未开始</x:v>
      </x:c>
      <x:c r="N69" s="91" t="str">
        <x:v>未开始</x:v>
      </x:c>
      <x:c r="O69" s="91" t="str">
        <x:v>未开始</x:v>
      </x:c>
      <x:c r="P69" s="92" t="n">
        <x:f>IF(O69="已验收",1,IF(O69="验收中",0.9,IF(N69="已通过",0.85,IF(N69="测试中",0.7,IF(M69="已完成",0.6,IF(M69="开发中",0.35,IF(M69="设计中",0.1,0)))))))</x:f>
        <x:v>0</x:v>
      </x:c>
      <x:c r="Q69" s="93" t="str"/>
      <x:c r="R69" s="94"/>
      <x:c r="S69" s="94"/>
      <x:c r="T69" s="94"/>
      <x:c r="U69" s="93" t="str"/>
      <x:c r="V69" s="93" t="str"/>
      <x:c r="W69" s="39" t="str">
        <x:v>当前原型 + 最新需求清单</x:v>
      </x:c>
    </x:row>
    <x:row r="70" ht="76" customHeight="1">
      <x:c r="A70" s="39" t="str">
        <x:v>F066</x:v>
      </x:c>
      <x:c r="B70" s="39" t="str">
        <x:v>统计、客户和基础设置</x:v>
      </x:c>
      <x:c r="C70" s="39" t="str">
        <x:v>按角色、状态、工号、电话和邮箱管理用户</x:v>
      </x:c>
      <x:c r="D70" s="39" t="str">
        <x:v>面向ADMIN，支持按角色、状态、工号、电话和邮箱管理用户；正式交付需结合真实数据、权限和验收规则确认。</x:v>
      </x:c>
      <x:c r="E70" s="39" t="str">
        <x:v>ADMIN</x:v>
      </x:c>
      <x:c r="F70" s="39" t="str">
        <x:v>用户管理</x:v>
      </x:c>
      <x:c r="G70" s="39" t="str">
        <x:v>维护用户、角色、区域、状态及账号信息。</x:v>
      </x:c>
      <x:c r="H70" s="39" t="str">
        <x:v>姓名/工号、电话/邮箱、角色、所属区域/主管、技能、启用/禁用/离职、最后登录</x:v>
      </x:c>
      <x:c r="I70" s="39" t="str">
        <x:v>按角色或状态筛选；新增、编辑、启停用户，离职用户保留历史关系。</x:v>
      </x:c>
      <x:c r="J70" s="41" t="str">
        <x:v>可演示</x:v>
      </x:c>
      <x:c r="K70" s="41" t="str">
        <x:v>P0</x:v>
      </x:c>
      <x:c r="L70" s="91" t="str">
        <x:v>待客户确认</x:v>
      </x:c>
      <x:c r="M70" s="91" t="str">
        <x:v>未开始</x:v>
      </x:c>
      <x:c r="N70" s="91" t="str">
        <x:v>未开始</x:v>
      </x:c>
      <x:c r="O70" s="91" t="str">
        <x:v>未开始</x:v>
      </x:c>
      <x:c r="P70" s="92" t="n">
        <x:f>IF(O70="已验收",1,IF(O70="验收中",0.9,IF(N70="已通过",0.85,IF(N70="测试中",0.7,IF(M70="已完成",0.6,IF(M70="开发中",0.35,IF(M70="设计中",0.1,0)))))))</x:f>
        <x:v>0</x:v>
      </x:c>
      <x:c r="Q70" s="93" t="str"/>
      <x:c r="R70" s="94"/>
      <x:c r="S70" s="94"/>
      <x:c r="T70" s="94"/>
      <x:c r="U70" s="93" t="str"/>
      <x:c r="V70" s="93" t="str"/>
      <x:c r="W70" s="39" t="str">
        <x:v>当前原型 + 最新需求清单</x:v>
      </x:c>
    </x:row>
    <x:row r="71" ht="76" customHeight="1">
      <x:c r="A71" s="39" t="str">
        <x:v>F067</x:v>
      </x:c>
      <x:c r="B71" s="39" t="str">
        <x:v>统计、客户和基础设置</x:v>
      </x:c>
      <x:c r="C71" s="39" t="str">
        <x:v>管理客户、联系人、标准地点、区域和客户权限</x:v>
      </x:c>
      <x:c r="D71" s="39" t="str">
        <x:v>面向CS、CR、ADMIN，支持管理客户、联系人、标准地点、区域和客户权限；正式交付需结合真实数据、权限和验收规则确认。</x:v>
      </x:c>
      <x:c r="E71" s="39" t="str">
        <x:v>CS、CR、ADMIN</x:v>
      </x:c>
      <x:c r="F71" s="39" t="str">
        <x:v>客户/联系人/地点管理</x:v>
      </x:c>
      <x:c r="G71" s="39" t="str">
        <x:v>维护政府及私人客户、联系人、标准地点、区域和客户规则。</x:v>
      </x:c>
      <x:c r="H71" s="39" t="str">
        <x:v>客户编号/中英文名称、客户类型/等级/状态、Peachtree ID、姓名/职位/电话/WhatsApp/邮箱、区域/中英文地址、默认TL、不可拍照/原因、项目/合约编号与周期</x:v>
      </x:c>
      <x:c r="I71" s="39" t="str">
        <x:v>点击新增或编辑，完成校验后保存；停用或删除需二次确认。选择客户类别后查看列表和详情；新增或编辑联系人、地点与合约。</x:v>
      </x:c>
      <x:c r="J71" s="41" t="str">
        <x:v>可演示</x:v>
      </x:c>
      <x:c r="K71" s="41" t="str">
        <x:v>P0</x:v>
      </x:c>
      <x:c r="L71" s="91" t="str">
        <x:v>待客户确认</x:v>
      </x:c>
      <x:c r="M71" s="91" t="str">
        <x:v>未开始</x:v>
      </x:c>
      <x:c r="N71" s="91" t="str">
        <x:v>未开始</x:v>
      </x:c>
      <x:c r="O71" s="91" t="str">
        <x:v>未开始</x:v>
      </x:c>
      <x:c r="P71" s="92" t="n">
        <x:f>IF(O71="已验收",1,IF(O71="验收中",0.9,IF(N71="已通过",0.85,IF(N71="测试中",0.7,IF(M71="已完成",0.6,IF(M71="开发中",0.35,IF(M71="设计中",0.1,0)))))))</x:f>
        <x:v>0</x:v>
      </x:c>
      <x:c r="Q71" s="93" t="str"/>
      <x:c r="R71" s="94"/>
      <x:c r="S71" s="94"/>
      <x:c r="T71" s="94"/>
      <x:c r="U71" s="93" t="str"/>
      <x:c r="V71" s="93" t="str"/>
      <x:c r="W71" s="39" t="str">
        <x:v>当前原型 + 最新需求清单</x:v>
      </x:c>
    </x:row>
    <x:row r="72" ht="76" customHeight="1">
      <x:c r="A72" s="39" t="str">
        <x:v>F068</x:v>
      </x:c>
      <x:c r="B72" s="39" t="str">
        <x:v>统计、客户和基础设置</x:v>
      </x:c>
      <x:c r="C72" s="39" t="str">
        <x:v>管理工单类型、区域、CALL 代码、状态说明和通知规则</x:v>
      </x:c>
      <x:c r="D72" s="39" t="str">
        <x:v>面向ADMIN，支持管理工单类型、区域、CALL 代码、状态说明和通知规则；正式交付需结合真实数据、权限和验收规则确认。</x:v>
      </x:c>
      <x:c r="E72" s="39" t="str">
        <x:v>ADMIN</x:v>
      </x:c>
      <x:c r="F72" s="39" t="str">
        <x:v>业务字典管理</x:v>
      </x:c>
      <x:c r="G72" s="39" t="str">
        <x:v>维护CALL类型、区域、状态说明、代码和扩展模块字典。</x:v>
      </x:c>
      <x:c r="H72" s="39" t="str">
        <x:v>字典类别、代码、名称/说明、排序、启用状态、关联通知/负责人</x:v>
      </x:c>
      <x:c r="I72" s="39" t="str">
        <x:v>点击新增或编辑，完成校验后保存；停用或删除需二次确认。新增、编辑、排序或停用字典项；停用项不用于新数据但保留历史显示。</x:v>
      </x:c>
      <x:c r="J72" s="41" t="str">
        <x:v>可演示</x:v>
      </x:c>
      <x:c r="K72" s="41" t="str">
        <x:v>P0</x:v>
      </x:c>
      <x:c r="L72" s="91" t="str">
        <x:v>待客户确认</x:v>
      </x:c>
      <x:c r="M72" s="91" t="str">
        <x:v>未开始</x:v>
      </x:c>
      <x:c r="N72" s="91" t="str">
        <x:v>未开始</x:v>
      </x:c>
      <x:c r="O72" s="91" t="str">
        <x:v>未开始</x:v>
      </x:c>
      <x:c r="P72" s="92" t="n">
        <x:f>IF(O72="已验收",1,IF(O72="验收中",0.9,IF(N72="已通过",0.85,IF(N72="测试中",0.7,IF(M72="已完成",0.6,IF(M72="开发中",0.35,IF(M72="设计中",0.1,0)))))))</x:f>
        <x:v>0</x:v>
      </x:c>
      <x:c r="Q72" s="93" t="str"/>
      <x:c r="R72" s="94"/>
      <x:c r="S72" s="94"/>
      <x:c r="T72" s="94"/>
      <x:c r="U72" s="93" t="str"/>
      <x:c r="V72" s="93" t="str"/>
      <x:c r="W72" s="39" t="str">
        <x:v>当前原型 + 最新需求清单</x:v>
      </x:c>
    </x:row>
    <x:row r="73" ht="76" customHeight="1">
      <x:c r="A73" s="39" t="str">
        <x:v>F069</x:v>
      </x:c>
      <x:c r="B73" s="39" t="str">
        <x:v>统计、客户和基础设置</x:v>
      </x:c>
      <x:c r="C73" s="39" t="str">
        <x:v>管理报价类别、标书来源、回标方式和标书状态</x:v>
      </x:c>
      <x:c r="D73" s="39" t="str">
        <x:v>面向ADMIN、QUO、TENDER，支持管理报价类别、标书来源、回标方式和标书状态；正式交付需结合真实数据、权限和验收规则确认。</x:v>
      </x:c>
      <x:c r="E73" s="39" t="str">
        <x:v>ADMIN、QUO、TENDER</x:v>
      </x:c>
      <x:c r="F73" s="39" t="str">
        <x:v>业务字典管理</x:v>
      </x:c>
      <x:c r="G73" s="39" t="str">
        <x:v>维护CALL类型、区域、状态说明、代码和扩展模块字典。</x:v>
      </x:c>
      <x:c r="H73" s="39" t="str">
        <x:v>字典类别、代码、名称/说明、排序、启用状态、关联通知/负责人</x:v>
      </x:c>
      <x:c r="I73" s="39" t="str">
        <x:v>点击新增或编辑，完成校验后保存；停用或删除需二次确认。新增、编辑、排序或停用字典项；停用项不用于新数据但保留历史显示。</x:v>
      </x:c>
      <x:c r="J73" s="41" t="str">
        <x:v>可演示</x:v>
      </x:c>
      <x:c r="K73" s="41" t="str">
        <x:v>P1/P2</x:v>
      </x:c>
      <x:c r="L73" s="91" t="str">
        <x:v>待客户确认</x:v>
      </x:c>
      <x:c r="M73" s="91" t="str">
        <x:v>未开始</x:v>
      </x:c>
      <x:c r="N73" s="91" t="str">
        <x:v>未开始</x:v>
      </x:c>
      <x:c r="O73" s="91" t="str">
        <x:v>未开始</x:v>
      </x:c>
      <x:c r="P73" s="92" t="n">
        <x:f>IF(O73="已验收",1,IF(O73="验收中",0.9,IF(N73="已通过",0.85,IF(N73="测试中",0.7,IF(M73="已完成",0.6,IF(M73="开发中",0.35,IF(M73="设计中",0.1,0)))))))</x:f>
        <x:v>0</x:v>
      </x:c>
      <x:c r="Q73" s="93" t="str"/>
      <x:c r="R73" s="94"/>
      <x:c r="S73" s="94"/>
      <x:c r="T73" s="94"/>
      <x:c r="U73" s="93" t="str"/>
      <x:c r="V73" s="93" t="str"/>
      <x:c r="W73" s="39" t="str">
        <x:v>当前原型 + 最新需求清单</x:v>
      </x:c>
    </x:row>
    <x:row r="74" ht="76" customHeight="1">
      <x:c r="A74" s="39" t="str">
        <x:v>F070</x:v>
      </x:c>
      <x:c r="B74" s="39" t="str">
        <x:v>统计、客户和基础设置</x:v>
      </x:c>
      <x:c r="C74" s="39" t="str">
        <x:v>Excel 导入客户、工单、报价、发票和收款记录</x:v>
      </x:c>
      <x:c r="D74" s="39" t="str">
        <x:v>面向ADMIN，支持Excel 导入客户、工单、报价、发票和收款记录；正式交付需结合真实数据、权限和验收规则确认。</x:v>
      </x:c>
      <x:c r="E74" s="39" t="str">
        <x:v>ADMIN</x:v>
      </x:c>
      <x:c r="F74" s="39" t="str">
        <x:v>Excel导入</x:v>
      </x:c>
      <x:c r="G74" s="39" t="str">
        <x:v>批量导入客户、CALL、报价、发票和收款记录。</x:v>
      </x:c>
      <x:c r="H74" s="39" t="str">
        <x:v>数据类型、文件、重复处理、总数/成功/失败、错误行/原因</x:v>
      </x:c>
      <x:c r="I74" s="39" t="str">
        <x:v>上传Excel后先校验和预览，错误数据不导入并提供错误明细。</x:v>
      </x:c>
      <x:c r="J74" s="41" t="str">
        <x:v>流程演示</x:v>
      </x:c>
      <x:c r="K74" s="41" t="str">
        <x:v>P1/P2</x:v>
      </x:c>
      <x:c r="L74" s="91" t="str">
        <x:v>待客户确认</x:v>
      </x:c>
      <x:c r="M74" s="91" t="str">
        <x:v>未开始</x:v>
      </x:c>
      <x:c r="N74" s="91" t="str">
        <x:v>未开始</x:v>
      </x:c>
      <x:c r="O74" s="91" t="str">
        <x:v>未开始</x:v>
      </x:c>
      <x:c r="P74" s="92" t="n">
        <x:f>IF(O74="已验收",1,IF(O74="验收中",0.9,IF(N74="已通过",0.85,IF(N74="测试中",0.7,IF(M74="已完成",0.6,IF(M74="开发中",0.35,IF(M74="设计中",0.1,0)))))))</x:f>
        <x:v>0</x:v>
      </x:c>
      <x:c r="Q74" s="93" t="str"/>
      <x:c r="R74" s="94"/>
      <x:c r="S74" s="94"/>
      <x:c r="T74" s="94"/>
      <x:c r="U74" s="93" t="str"/>
      <x:c r="V74" s="93" t="str"/>
      <x:c r="W74" s="39" t="str">
        <x:v>当前原型 + 最新需求清单</x:v>
      </x:c>
    </x:row>
    <x:row r="75" ht="76" customHeight="1">
      <x:c r="A75" s="39" t="str">
        <x:v>F071</x:v>
      </x:c>
      <x:c r="B75" s="39" t="str">
        <x:v>统计、客户和基础设置</x:v>
      </x:c>
      <x:c r="C75" s="39" t="str">
        <x:v>配置附件存储、容量、文件类型、保留期和备份</x:v>
      </x:c>
      <x:c r="D75" s="39" t="str">
        <x:v>面向ADMIN、IT，支持配置附件存储、容量、文件类型、保留期和备份；正式交付需结合真实数据、权限和验收规则确认。</x:v>
      </x:c>
      <x:c r="E75" s="39" t="str">
        <x:v>ADMIN、IT</x:v>
      </x:c>
      <x:c r="F75" s="39" t="str">
        <x:v>附件存储设置</x:v>
      </x:c>
      <x:c r="G75" s="39" t="str">
        <x:v>配置附件类型、大小、容量、保留期、备份和清理。</x:v>
      </x:c>
      <x:c r="H75" s="39" t="str">
        <x:v>存储方式/供应商、允许类型、单文件大小、总容量/已用容量、在线保留期、备份周期/位置、清理策略</x:v>
      </x:c>
      <x:c r="I75" s="39" t="str">
        <x:v>点击新增或编辑，完成校验后保存；停用或删除需二次确认。管理员修改参数并保存；生产环境需验证供应商、权限和恢复流程。</x:v>
      </x:c>
      <x:c r="J75" s="41" t="str">
        <x:v>流程演示</x:v>
      </x:c>
      <x:c r="K75" s="41" t="str">
        <x:v>P1</x:v>
      </x:c>
      <x:c r="L75" s="91" t="str">
        <x:v>待客户确认</x:v>
      </x:c>
      <x:c r="M75" s="91" t="str">
        <x:v>未开始</x:v>
      </x:c>
      <x:c r="N75" s="91" t="str">
        <x:v>未开始</x:v>
      </x:c>
      <x:c r="O75" s="91" t="str">
        <x:v>未开始</x:v>
      </x:c>
      <x:c r="P75" s="92" t="n">
        <x:f>IF(O75="已验收",1,IF(O75="验收中",0.9,IF(N75="已通过",0.85,IF(N75="测试中",0.7,IF(M75="已完成",0.6,IF(M75="开发中",0.35,IF(M75="设计中",0.1,0)))))))</x:f>
        <x:v>0</x:v>
      </x:c>
      <x:c r="Q75" s="93" t="str"/>
      <x:c r="R75" s="94"/>
      <x:c r="S75" s="94"/>
      <x:c r="T75" s="94"/>
      <x:c r="U75" s="93" t="str"/>
      <x:c r="V75" s="93" t="str"/>
      <x:c r="W75" s="39" t="str">
        <x:v>当前原型 + 最新需求清单</x:v>
      </x:c>
    </x:row>
    <x:row r="76" ht="76" customHeight="1">
      <x:c r="A76" s="39" t="str">
        <x:v>F072</x:v>
      </x:c>
      <x:c r="B76" s="39" t="str">
        <x:v>统计、客户和基础设置</x:v>
      </x:c>
      <x:c r="C76" s="39" t="str">
        <x:v>角色登录、切换和页面权限控制</x:v>
      </x:c>
      <x:c r="D76" s="39" t="str">
        <x:v>面向全部角色，支持角色登录、切换和页面权限控制；正式交付需结合真实数据、权限和验收规则确认。</x:v>
      </x:c>
      <x:c r="E76" s="39" t="str">
        <x:v>全部角色</x:v>
      </x:c>
      <x:c r="F76" s="39" t="str">
        <x:v>登录与角色切换</x:v>
      </x:c>
      <x:c r="G76" s="39" t="str">
        <x:v>按用户身份进入允许的PC或移动工作台。</x:v>
      </x:c>
      <x:c r="H76" s="39" t="str">
        <x:v>账号/人员、密码、当前角色、允许页面、数据范围</x:v>
      </x:c>
      <x:c r="I76" s="39" t="str">
        <x:v>选择角色和人员登录；系统根据角色切换页面入口和数据范围。</x:v>
      </x:c>
      <x:c r="J76" s="41" t="str">
        <x:v>可演示</x:v>
      </x:c>
      <x:c r="K76" s="41" t="str">
        <x:v>P0</x:v>
      </x:c>
      <x:c r="L76" s="91" t="str">
        <x:v>待客户确认</x:v>
      </x:c>
      <x:c r="M76" s="91" t="str">
        <x:v>未开始</x:v>
      </x:c>
      <x:c r="N76" s="91" t="str">
        <x:v>未开始</x:v>
      </x:c>
      <x:c r="O76" s="91" t="str">
        <x:v>未开始</x:v>
      </x:c>
      <x:c r="P76" s="92" t="n">
        <x:f>IF(O76="已验收",1,IF(O76="验收中",0.9,IF(N76="已通过",0.85,IF(N76="测试中",0.7,IF(M76="已完成",0.6,IF(M76="开发中",0.35,IF(M76="设计中",0.1,0)))))))</x:f>
        <x:v>0</x:v>
      </x:c>
      <x:c r="Q76" s="93" t="str"/>
      <x:c r="R76" s="94"/>
      <x:c r="S76" s="94"/>
      <x:c r="T76" s="94"/>
      <x:c r="U76" s="93" t="str"/>
      <x:c r="V76" s="93" t="str"/>
      <x:c r="W76" s="39" t="str">
        <x:v>当前原型 + 最新需求清单</x:v>
      </x:c>
    </x:row>
    <x:row r="77" ht="76" customHeight="1">
      <x:c r="A77" s="39" t="str">
        <x:v>F073</x:v>
      </x:c>
      <x:c r="B77" s="39" t="str">
        <x:v>原需求补充与上线约束</x:v>
      </x:c>
      <x:c r="C77" s="39" t="str">
        <x:v>按普通/政府客户自动生成唯一 CALL 编号；政府前缀可配置，任务编号与 CALL 编号独立</x:v>
      </x:c>
      <x:c r="D77" s="39" t="str">
        <x:v>普通与政府CALL编号规则、业务时区、并发防重和历史迁移需统一确认。</x:v>
      </x:c>
      <x:c r="E77" s="39" t="str">
        <x:v>CS、CR、ADMIN</x:v>
      </x:c>
      <x:c r="F77" s="39" t="str">
        <x:v>编号规则配置</x:v>
      </x:c>
      <x:c r="G77" s="39" t="str">
        <x:v>分别配置CALL、任务、项目和外部Reference编号。</x:v>
      </x:c>
      <x:c r="H77" s="39" t="str">
        <x:v>编号对象、客户类别、前缀/日期格式、流水位数、启用状态</x:v>
      </x:c>
      <x:c r="I77" s="39" t="str">
        <x:v>管理员维护前缀和流水规则；创建记录时系统并发生成唯一编号。</x:v>
      </x:c>
      <x:c r="J77" s="41" t="str">
        <x:v>部分覆盖</x:v>
      </x:c>
      <x:c r="K77" s="41" t="str">
        <x:v>待评审</x:v>
      </x:c>
      <x:c r="L77" s="91" t="str">
        <x:v>待客户确认</x:v>
      </x:c>
      <x:c r="M77" s="91" t="str">
        <x:v>未开始</x:v>
      </x:c>
      <x:c r="N77" s="91" t="str">
        <x:v>未开始</x:v>
      </x:c>
      <x:c r="O77" s="91" t="str">
        <x:v>未开始</x:v>
      </x:c>
      <x:c r="P77" s="92" t="n">
        <x:f>IF(O77="已验收",1,IF(O77="验收中",0.9,IF(N77="已通过",0.85,IF(N77="测试中",0.7,IF(M77="已完成",0.6,IF(M77="开发中",0.35,IF(M77="设计中",0.1,0)))))))</x:f>
        <x:v>0</x:v>
      </x:c>
      <x:c r="Q77" s="93" t="str"/>
      <x:c r="R77" s="94"/>
      <x:c r="S77" s="94"/>
      <x:c r="T77" s="94"/>
      <x:c r="U77" s="93" t="str">
        <x:v>原需求 P0；正式编号、时区、并发防重待确认</x:v>
      </x:c>
      <x:c r="V77" s="93" t="str"/>
      <x:c r="W77" s="39" t="str">
        <x:v>原有需求/MVP范围补充</x:v>
      </x:c>
    </x:row>
    <x:row r="78" ht="76" customHeight="1">
      <x:c r="A78" s="39" t="str">
        <x:v>F074</x:v>
      </x:c>
      <x:c r="B78" s="39" t="str">
        <x:v>原需求补充与上线约束</x:v>
      </x:c>
      <x:c r="C78" s="39" t="str">
        <x:v>按客户/地点配置不可拍照豁免，取消照片强制项并保留原因或替代证明</x:v>
      </x:c>
      <x:c r="D78" s="39" t="str">
        <x:v>不可拍照规则应在现场提交校验中生效，并保留原因或替代证明。</x:v>
      </x:c>
      <x:c r="E78" s="39" t="str">
        <x:v>MASTER、CS、ADMIN</x:v>
      </x:c>
      <x:c r="F78" s="39" t="str">
        <x:v>不可拍照豁免</x:v>
      </x:c>
      <x:c r="G78" s="39" t="str">
        <x:v>按客户或地点配置照片豁免及替代证明。</x:v>
      </x:c>
      <x:c r="H78" s="39" t="str">
        <x:v>客户/地点、不可拍照、原因、替代证明、有效期</x:v>
      </x:c>
      <x:c r="I78" s="39" t="str">
        <x:v>现场提交时自动读取客户/地点规则；豁免时要求填写原因或上传替代证明。</x:v>
      </x:c>
      <x:c r="J78" s="41" t="str">
        <x:v>部分覆盖</x:v>
      </x:c>
      <x:c r="K78" s="41" t="str">
        <x:v>待评审</x:v>
      </x:c>
      <x:c r="L78" s="91" t="str">
        <x:v>待客户确认</x:v>
      </x:c>
      <x:c r="M78" s="91" t="str">
        <x:v>未开始</x:v>
      </x:c>
      <x:c r="N78" s="91" t="str">
        <x:v>未开始</x:v>
      </x:c>
      <x:c r="O78" s="91" t="str">
        <x:v>未开始</x:v>
      </x:c>
      <x:c r="P78" s="92" t="n">
        <x:f>IF(O78="已验收",1,IF(O78="验收中",0.9,IF(N78="已通过",0.85,IF(N78="测试中",0.7,IF(M78="已完成",0.6,IF(M78="开发中",0.35,IF(M78="设计中",0.1,0)))))))</x:f>
        <x:v>0</x:v>
      </x:c>
      <x:c r="Q78" s="93" t="str"/>
      <x:c r="R78" s="94"/>
      <x:c r="S78" s="94"/>
      <x:c r="T78" s="94"/>
      <x:c r="U78" s="93" t="str">
        <x:v>原需求 P0；现场提交校验须验证</x:v>
      </x:c>
      <x:c r="V78" s="93" t="str"/>
      <x:c r="W78" s="39" t="str">
        <x:v>原有需求/MVP范围补充</x:v>
      </x:c>
    </x:row>
    <x:row r="79" ht="76" customHeight="1">
      <x:c r="A79" s="39" t="str">
        <x:v>F075</x:v>
      </x:c>
      <x:c r="B79" s="39" t="str">
        <x:v>原需求补充与上线约束</x:v>
      </x:c>
      <x:c r="C79" s="39" t="str">
        <x:v>配置未接单、未到场、处理超时提醒及负责人；采购状态停滞时通知采购部和报价组</x:v>
      </x:c>
      <x:c r="D79" s="39" t="str">
        <x:v>面向TL、CR、PUR、QUO，支持配置未接单、未到场、处理超时提醒及负责人；采购状态停滞时通知采购部和报价组；正式交付需结合真实数据、权限和验收规则确认。</x:v>
      </x:c>
      <x:c r="E79" s="39" t="str">
        <x:v>TL、CR、PUR、QUO</x:v>
      </x:c>
      <x:c r="F79" s="39" t="str">
        <x:v>SLA与提醒规则</x:v>
      </x:c>
      <x:c r="G79" s="39" t="str">
        <x:v>配置未接单、未到场、处理超时及采购停滞提醒。</x:v>
      </x:c>
      <x:c r="H79" s="39" t="str">
        <x:v>业务事件、阈值、接收角色/人员、通知渠道、启用状态</x:v>
      </x:c>
      <x:c r="I79" s="39" t="str">
        <x:v>点击新增或编辑，完成校验后保存；停用或删除需二次确认。达到阈值后生成系统通知；外部渠道和升级接收人按确认规则发送。</x:v>
      </x:c>
      <x:c r="J79" s="41" t="str">
        <x:v>部分覆盖</x:v>
      </x:c>
      <x:c r="K79" s="41" t="str">
        <x:v>待评审</x:v>
      </x:c>
      <x:c r="L79" s="91" t="str">
        <x:v>待客户确认</x:v>
      </x:c>
      <x:c r="M79" s="91" t="str">
        <x:v>未开始</x:v>
      </x:c>
      <x:c r="N79" s="91" t="str">
        <x:v>未开始</x:v>
      </x:c>
      <x:c r="O79" s="91" t="str">
        <x:v>未开始</x:v>
      </x:c>
      <x:c r="P79" s="92" t="n">
        <x:f>IF(O79="已验收",1,IF(O79="验收中",0.9,IF(N79="已通过",0.85,IF(N79="测试中",0.7,IF(M79="已完成",0.6,IF(M79="开发中",0.35,IF(M79="设计中",0.1,0)))))))</x:f>
        <x:v>0</x:v>
      </x:c>
      <x:c r="Q79" s="93" t="str"/>
      <x:c r="R79" s="94"/>
      <x:c r="S79" s="94"/>
      <x:c r="T79" s="94"/>
      <x:c r="U79" s="93" t="str">
        <x:v>工单超时为原需求 P1；采购预警属扩展，阈值/渠道待确认</x:v>
      </x:c>
      <x:c r="V79" s="93" t="str"/>
      <x:c r="W79" s="39" t="str">
        <x:v>原有需求/MVP范围补充</x:v>
      </x:c>
    </x:row>
    <x:row r="80" ht="76" customHeight="1">
      <x:c r="A80" s="39" t="str">
        <x:v>F076</x:v>
      </x:c>
      <x:c r="B80" s="39" t="str">
        <x:v>原需求补充与上线约束</x:v>
      </x:c>
      <x:c r="C80" s="39" t="str">
        <x:v>工单池开放任务、师傅申请接单、主管确认</x:v>
      </x:c>
      <x:c r="D80" s="39" t="str">
        <x:v>面向MASTER、TL，支持工单池开放任务、师傅申请接单、主管确认；正式交付需结合真实数据、权限和验收规则确认。</x:v>
      </x:c>
      <x:c r="E80" s="39" t="str">
        <x:v>MASTER、TL</x:v>
      </x:c>
      <x:c r="F80" s="39" t="str">
        <x:v>工单池</x:v>
      </x:c>
      <x:c r="G80" s="39" t="str">
        <x:v>向符合范围的师傅开放任务申请，由主管确认。</x:v>
      </x:c>
      <x:c r="H80" s="39" t="str">
        <x:v>任务编号/区域/类型、可申请范围、申请师傅/时间、申请说明、结果/意见</x:v>
      </x:c>
      <x:c r="I80" s="39" t="str">
        <x:v>师傅浏览开放任务并申请；主管审批后分派，失败或拒绝则返回工单池。</x:v>
      </x:c>
      <x:c r="J80" s="41" t="str">
        <x:v>部分覆盖</x:v>
      </x:c>
      <x:c r="K80" s="41" t="str">
        <x:v>待评审</x:v>
      </x:c>
      <x:c r="L80" s="91" t="str">
        <x:v>待客户确认</x:v>
      </x:c>
      <x:c r="M80" s="91" t="str">
        <x:v>未开始</x:v>
      </x:c>
      <x:c r="N80" s="91" t="str">
        <x:v>未开始</x:v>
      </x:c>
      <x:c r="O80" s="91" t="str">
        <x:v>未开始</x:v>
      </x:c>
      <x:c r="P80" s="92" t="n">
        <x:f>IF(O80="已验收",1,IF(O80="验收中",0.9,IF(N80="已通过",0.85,IF(N80="测试中",0.7,IF(M80="已完成",0.6,IF(M80="开发中",0.35,IF(M80="设计中",0.1,0)))))))</x:f>
        <x:v>0</x:v>
      </x:c>
      <x:c r="Q80" s="93" t="str"/>
      <x:c r="R80" s="94"/>
      <x:c r="S80" s="94"/>
      <x:c r="T80" s="94"/>
      <x:c r="U80" s="93" t="str">
        <x:v>原需求 P1；与直接派单规则统一后启用</x:v>
      </x:c>
      <x:c r="V80" s="93" t="str"/>
      <x:c r="W80" s="39" t="str">
        <x:v>原有需求/MVP范围补充</x:v>
      </x:c>
    </x:row>
    <x:row r="81" ht="76" customHeight="1">
      <x:c r="A81" s="39" t="str">
        <x:v>F077</x:v>
      </x:c>
      <x:c r="B81" s="39" t="str">
        <x:v>原需求补充与上线约束</x:v>
      </x:c>
      <x:c r="C81" s="39" t="str">
        <x:v>简版报销关联一个或多个已完成工单，记录金额与票据附件</x:v>
      </x:c>
      <x:c r="D81" s="39" t="str">
        <x:v>当前原型只有车资记录，不等同于完整报销模块；本项按简版记录评审。</x:v>
      </x:c>
      <x:c r="E81" s="39" t="str">
        <x:v>MASTER、FIN</x:v>
      </x:c>
      <x:c r="F81" s="39" t="str">
        <x:v>简版报销关联</x:v>
      </x:c>
      <x:c r="G81" s="39" t="str">
        <x:v>关联一个或多个已完成CALL，记录金额及票据。</x:v>
      </x:c>
      <x:c r="H81" s="39" t="str">
        <x:v>报销编号、报销人、已完成CALL、费用类型/金额、票据附件、说明</x:v>
      </x:c>
      <x:c r="I81" s="39" t="str">
        <x:v>选择已完成CALL，录入费用并上传票据；仅做记录，不包含完整审批或OCR。</x:v>
      </x:c>
      <x:c r="J81" s="41" t="str">
        <x:v>未覆盖</x:v>
      </x:c>
      <x:c r="K81" s="41" t="str">
        <x:v>待评审</x:v>
      </x:c>
      <x:c r="L81" s="91" t="str">
        <x:v>待客户确认</x:v>
      </x:c>
      <x:c r="M81" s="91" t="str">
        <x:v>未开始</x:v>
      </x:c>
      <x:c r="N81" s="91" t="str">
        <x:v>未开始</x:v>
      </x:c>
      <x:c r="O81" s="91" t="str">
        <x:v>未开始</x:v>
      </x:c>
      <x:c r="P81" s="92" t="n">
        <x:f>IF(O81="已验收",1,IF(O81="验收中",0.9,IF(N81="已通过",0.85,IF(N81="测试中",0.7,IF(M81="已完成",0.6,IF(M81="开发中",0.35,IF(M81="设计中",0.1,0)))))))</x:f>
        <x:v>0</x:v>
      </x:c>
      <x:c r="Q81" s="93" t="str"/>
      <x:c r="R81" s="94"/>
      <x:c r="S81" s="94"/>
      <x:c r="T81" s="94"/>
      <x:c r="U81" s="93" t="str">
        <x:v>原需求 P1；本次未核实有独立报销模块，不含完整审批/OCR</x:v>
      </x:c>
      <x:c r="V81" s="93" t="str"/>
      <x:c r="W81" s="39" t="str">
        <x:v>原有需求/MVP范围补充</x:v>
      </x:c>
    </x:row>
    <x:row r="82" ht="76" customHeight="1">
      <x:c r="A82" s="39" t="str">
        <x:v>F078</x:v>
      </x:c>
      <x:c r="B82" s="39" t="str">
        <x:v>原需求补充与上线约束</x:v>
      </x:c>
      <x:c r="C82" s="39" t="str">
        <x:v>PM/CM 业务分类与原型五类 CALL 建立对应关系，保留分类统计</x:v>
      </x:c>
      <x:c r="D82" s="39" t="str">
        <x:v>原PM/CM分类不能直接替换当前五类CALL，应通过映射兼容统计。</x:v>
      </x:c>
      <x:c r="E82" s="39" t="str">
        <x:v>CS、CR、TL</x:v>
      </x:c>
      <x:c r="F82" s="39" t="str">
        <x:v>PM/CM分类映射</x:v>
      </x:c>
      <x:c r="G82" s="39" t="str">
        <x:v>将原业务分类与当前五类CALL建立可维护对应关系。</x:v>
      </x:c>
      <x:c r="H82" s="39" t="str">
        <x:v>PM/CM分类、CALL类型、映射说明、启用日期、启用状态</x:v>
      </x:c>
      <x:c r="I82" s="39" t="str">
        <x:v>管理员配置映射；建单与统计按映射展示，历史数据不被覆盖。</x:v>
      </x:c>
      <x:c r="J82" s="41" t="str">
        <x:v>部分覆盖</x:v>
      </x:c>
      <x:c r="K82" s="41" t="str">
        <x:v>待评审</x:v>
      </x:c>
      <x:c r="L82" s="91" t="str">
        <x:v>待客户确认</x:v>
      </x:c>
      <x:c r="M82" s="91" t="str">
        <x:v>未开始</x:v>
      </x:c>
      <x:c r="N82" s="91" t="str">
        <x:v>未开始</x:v>
      </x:c>
      <x:c r="O82" s="91" t="str">
        <x:v>未开始</x:v>
      </x:c>
      <x:c r="P82" s="92" t="n">
        <x:f>IF(O82="已验收",1,IF(O82="验收中",0.9,IF(N82="已通过",0.85,IF(N82="测试中",0.7,IF(M82="已完成",0.6,IF(M82="开发中",0.35,IF(M82="设计中",0.1,0)))))))</x:f>
        <x:v>0</x:v>
      </x:c>
      <x:c r="Q82" s="93" t="str"/>
      <x:c r="R82" s="94"/>
      <x:c r="S82" s="94"/>
      <x:c r="T82" s="94"/>
      <x:c r="U82" s="93" t="str">
        <x:v>原需求 P0；分类映射待确认，不擅自替换原型类型</x:v>
      </x:c>
      <x:c r="V82" s="93" t="str"/>
      <x:c r="W82" s="39" t="str">
        <x:v>原有需求/MVP范围补充</x:v>
      </x:c>
    </x:row>
    <x:row r="83" ht="76" customHeight="1">
      <x:c r="A83" s="39" t="str">
        <x:v>F079</x:v>
      </x:c>
      <x:c r="B83" s="39" t="str">
        <x:v>原需求补充与上线约束</x:v>
      </x:c>
      <x:c r="C83" s="39" t="str">
        <x:v>项目编号、CALL 编号、任务编号和外部 Reference 分开存储并可关联检索</x:v>
      </x:c>
      <x:c r="D83" s="39" t="str">
        <x:v>面向CS、CR、TL、FIN，支持项目编号、CALL 编号、任务编号和外部 Reference 分开存储并可关联检索；正式交付需结合真实数据、权限和验收规则确认。</x:v>
      </x:c>
      <x:c r="E83" s="39" t="str">
        <x:v>CS、CR、TL、FIN</x:v>
      </x:c>
      <x:c r="F83" s="39" t="str">
        <x:v>编号关联查询</x:v>
      </x:c>
      <x:c r="G83" s="39" t="str">
        <x:v>分开存储并关联项目、CALL、任务及外部Reference。</x:v>
      </x:c>
      <x:c r="H83" s="39" t="str">
        <x:v>项目编号、CALL编号、任务编号、外部Reference、关联类型</x:v>
      </x:c>
      <x:c r="I83" s="39" t="str">
        <x:v>输入任一编号查询关联链；点击结果跳转到有权限的业务详情。</x:v>
      </x:c>
      <x:c r="J83" s="41" t="str">
        <x:v>部分覆盖</x:v>
      </x:c>
      <x:c r="K83" s="41" t="str">
        <x:v>待评审</x:v>
      </x:c>
      <x:c r="L83" s="91" t="str">
        <x:v>待客户确认</x:v>
      </x:c>
      <x:c r="M83" s="91" t="str">
        <x:v>未开始</x:v>
      </x:c>
      <x:c r="N83" s="91" t="str">
        <x:v>未开始</x:v>
      </x:c>
      <x:c r="O83" s="91" t="str">
        <x:v>未开始</x:v>
      </x:c>
      <x:c r="P83" s="92" t="n">
        <x:f>IF(O83="已验收",1,IF(O83="验收中",0.9,IF(N83="已通过",0.85,IF(N83="测试中",0.7,IF(M83="已完成",0.6,IF(M83="开发中",0.35,IF(M83="设计中",0.1,0)))))))</x:f>
        <x:v>0</x:v>
      </x:c>
      <x:c r="Q83" s="93" t="str"/>
      <x:c r="R83" s="94"/>
      <x:c r="S83" s="94"/>
      <x:c r="T83" s="94"/>
      <x:c r="U83" s="93" t="str">
        <x:v>原需求编号关系待确认；需核对字段覆盖和迁移</x:v>
      </x:c>
      <x:c r="V83" s="93" t="str"/>
      <x:c r="W83" s="39" t="str">
        <x:v>原有需求/MVP范围补充</x:v>
      </x:c>
    </x:row>
    <x:row r="84" ht="76" customHeight="1">
      <x:c r="A84" s="39" t="str">
        <x:v>F080</x:v>
      </x:c>
      <x:c r="B84" s="39" t="str">
        <x:v>原需求补充与上线约束</x:v>
      </x:c>
      <x:c r="C84" s="39" t="str">
        <x:v>完成/取消后的报告与附件归档，配置在线保留、备份和恢复规则</x:v>
      </x:c>
      <x:c r="D84" s="39" t="str">
        <x:v>归档不应等同删除；必须保留查询、备份、恢复和操作审计。</x:v>
      </x:c>
      <x:c r="E84" s="39" t="str">
        <x:v>ADMIN、IT、FIN</x:v>
      </x:c>
      <x:c r="F84" s="39" t="str">
        <x:v>归档与恢复规则</x:v>
      </x:c>
      <x:c r="G84" s="39" t="str">
        <x:v>配置完成或取消记录、报告及附件的在线保留和备份恢复。</x:v>
      </x:c>
      <x:c r="H84" s="39" t="str">
        <x:v>归档对象、状态/时间条件、在线/归档保留期、备份位置/周期、恢复申请/结果</x:v>
      </x:c>
      <x:c r="I84" s="39" t="str">
        <x:v>达到归档条件后转入归档存储；授权人员可查询并发起恢复。</x:v>
      </x:c>
      <x:c r="J84" s="41" t="str">
        <x:v>部分覆盖</x:v>
      </x:c>
      <x:c r="K84" s="41" t="str">
        <x:v>待评审</x:v>
      </x:c>
      <x:c r="L84" s="91" t="str">
        <x:v>待客户确认</x:v>
      </x:c>
      <x:c r="M84" s="91" t="str">
        <x:v>未开始</x:v>
      </x:c>
      <x:c r="N84" s="91" t="str">
        <x:v>未开始</x:v>
      </x:c>
      <x:c r="O84" s="91" t="str">
        <x:v>未开始</x:v>
      </x:c>
      <x:c r="P84" s="92" t="n">
        <x:f>IF(O84="已验收",1,IF(O84="验收中",0.9,IF(N84="已通过",0.85,IF(N84="测试中",0.7,IF(M84="已完成",0.6,IF(M84="开发中",0.35,IF(M84="设计中",0.1,0)))))))</x:f>
        <x:v>0</x:v>
      </x:c>
      <x:c r="Q84" s="93" t="str"/>
      <x:c r="R84" s="94"/>
      <x:c r="S84" s="94"/>
      <x:c r="T84" s="94"/>
      <x:c r="U84" s="93" t="str">
        <x:v>原需求归档要求；主状态是否新增“已归档”待确认</x:v>
      </x:c>
      <x:c r="V84" s="93" t="str"/>
      <x:c r="W84" s="39" t="str">
        <x:v>原有需求/MVP范围补充</x:v>
      </x:c>
    </x:row>
  </x:sheetData>
  <x:conditionalFormatting sqref="J5:J84">
    <x:cfRule type="containsText" dxfId="4" priority="1" operator="containsText" text="可演示"/>
    <x:cfRule type="containsText" dxfId="5" priority="2" operator="containsText" text="流程演示"/>
    <x:cfRule type="containsText" dxfId="6" priority="3" operator="containsText" text="部分覆盖"/>
    <x:cfRule type="containsText" dxfId="7" priority="4" operator="containsText" text="未覆盖"/>
  </x:conditionalFormatting>
  <x:conditionalFormatting sqref="L5:L84">
    <x:cfRule type="containsText" dxfId="8" priority="5" operator="containsText" text="已确认"/>
    <x:cfRule type="containsText" dxfId="9" priority="6" operator="containsText" text="有条件确认"/>
    <x:cfRule type="containsText" dxfId="10" priority="7" operator="containsText" text="不纳入"/>
  </x:conditionalFormatting>
  <x:conditionalFormatting sqref="P5:P84">
    <x:cfRule type="dataBar" priority="8">
      <x:dataBar>
        <x:cfvo type="min"/>
        <x:cfvo type="max"/>
        <x:color rgb="FF168678"/>
      </x:dataBar>
      <x:extLst>
        <x:ext xmlns:x14="http://schemas.microsoft.com/office/spreadsheetml/2009/9/main" uri="{B025F937-C7B1-47D3-B67F-A62EFF666E3E}">
          <x14:id>{583D9DD7-D12D-58D4-D36C-83EB371097BC}</x14:id>
        </x:ext>
      </x:extLst>
    </x:cfRule>
  </x:conditionalFormatting>
  <x:dataValidations count="4">
    <x:dataValidation type="list" sqref="L5:L84">
      <x:formula1>"待客户确认,已确认,有条件确认,不纳入"</x:formula1>
    </x:dataValidation>
    <x:dataValidation type="list" sqref="M5:M84">
      <x:formula1>"未开始,设计中,开发中,已完成,暂缓"</x:formula1>
    </x:dataValidation>
    <x:dataValidation type="list" sqref="N5:N84">
      <x:formula1>"未开始,测试中,已通过,未通过,不适用"</x:formula1>
    </x:dataValidation>
    <x:dataValidation type="list" sqref="O5:O84">
      <x:formula1>"未开始,验收中,已验收,未通过,不适用"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5480f7bed6e486f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8" id="{583D9DD7-D12D-58D4-D36C-83EB371097BC}">
            <x14:dataBar gradient="1">
              <x14:cfvo type="min"/>
              <x14:cfvo type="max"/>
              <x14:fillColor rgb="FF168678"/>
            </x14:dataBar>
          </x14:cfRule>
          <xm:sqref>P5:P84</xm:sqref>
        </x14:conditionalFormatting>
      </x14:conditionalFormattings>
    </x:ext>
  </x:extLst>
</x:worksheet>
</file>

<file path=xl/worksheets/sheet5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22" hidden="0" customWidth="1"/>
    <x:col min="2" max="2" width="26" hidden="0" customWidth="1"/>
    <x:col min="3" max="3" width="16" hidden="0" customWidth="1"/>
    <x:col min="4" max="4" width="24" hidden="0" customWidth="1"/>
    <x:col min="5" max="5" width="16" hidden="0" customWidth="1"/>
    <x:col min="6" max="6" width="14" hidden="0" customWidth="1"/>
    <x:col min="7" max="7" width="42" hidden="0" customWidth="1"/>
    <x:col min="8" max="8" width="18" hidden="0" customWidth="1"/>
    <x:col min="9" max="9" width="26" hidden="0" customWidth="1"/>
  </x:cols>
  <x:sheetData>
    <x:row r="2">
      <x:c r="A2" s="80" t="str">
        <x:v>表单字段字典</x:v>
      </x:c>
      <x:c r="B2" s="81"/>
      <x:c r="C2" s="81"/>
      <x:c r="D2" s="81"/>
      <x:c r="E2" s="81"/>
      <x:c r="F2" s="81"/>
      <x:c r="G2" s="81"/>
      <x:c r="H2" s="81"/>
      <x:c r="I2" s="81"/>
    </x:row>
    <x:row r="3">
      <x:c r="A3" s="82" t="str">
        <x:v>字段来自当前原型和已有需求材料；必填规则需在客户评审及真实流程POC中最终确认。</x:v>
      </x:c>
      <x:c r="B3" s="83"/>
      <x:c r="C3" s="83"/>
      <x:c r="D3" s="83"/>
      <x:c r="E3" s="83"/>
      <x:c r="F3" s="83"/>
      <x:c r="G3" s="83"/>
      <x:c r="H3" s="83"/>
      <x:c r="I3" s="83"/>
    </x:row>
    <x:row r="4">
      <x:c r="A4" s="16" t="str">
        <x:v>模块</x:v>
      </x:c>
      <x:c r="B4" s="17" t="str">
        <x:v>表单/页面</x:v>
      </x:c>
      <x:c r="C4" s="17" t="str">
        <x:v>字段组</x:v>
      </x:c>
      <x:c r="D4" s="17" t="str">
        <x:v>字段名称</x:v>
      </x:c>
      <x:c r="E4" s="17" t="str">
        <x:v>字段类型</x:v>
      </x:c>
      <x:c r="F4" s="17" t="str">
        <x:v>必填/条件</x:v>
      </x:c>
      <x:c r="G4" s="17" t="str">
        <x:v>字段说明/规则</x:v>
      </x:c>
      <x:c r="H4" s="17" t="str">
        <x:v>原型状态</x:v>
      </x:c>
      <x:c r="I4" s="18" t="str">
        <x:v>来源依据</x:v>
      </x:c>
    </x:row>
    <x:row r="5" ht="34" customHeight="1">
      <x:c r="A5" s="38" t="str">
        <x:v>首页与通知</x:v>
      </x:c>
      <x:c r="B5" s="38" t="str">
        <x:v>首页看板</x:v>
      </x:c>
      <x:c r="C5" s="38" t="str">
        <x:v>统计指标</x:v>
      </x:c>
      <x:c r="D5" s="38" t="str">
        <x:v>状态数量</x:v>
      </x:c>
      <x:c r="E5" s="38" t="str">
        <x:v>计算</x:v>
      </x:c>
      <x:c r="F5" s="38" t="str">
        <x:v>否</x:v>
      </x:c>
      <x:c r="G5" s="38" t="str">
        <x:v>按7个CALL主状态统计</x:v>
      </x:c>
      <x:c r="H5" s="38" t="str">
        <x:v>原型/材料已定义</x:v>
      </x:c>
      <x:c r="I5" s="38" t="str">
        <x:v>当前原型或原有需求材料</x:v>
      </x:c>
    </x:row>
    <x:row r="6" ht="34" customHeight="1">
      <x:c r="A6" s="39" t="str">
        <x:v>首页与通知</x:v>
      </x:c>
      <x:c r="B6" s="39" t="str">
        <x:v>首页看板</x:v>
      </x:c>
      <x:c r="C6" s="39" t="str">
        <x:v>待办</x:v>
      </x:c>
      <x:c r="D6" s="39" t="str">
        <x:v>CALL编号</x:v>
      </x:c>
      <x:c r="E6" s="39" t="str">
        <x:v>文本</x:v>
      </x:c>
      <x:c r="F6" s="39" t="str">
        <x:v>否</x:v>
      </x:c>
      <x:c r="G6" s="39" t="str">
        <x:v>跳转关联CALL</x:v>
      </x:c>
      <x:c r="H6" s="39" t="str">
        <x:v>原型/材料已定义</x:v>
      </x:c>
      <x:c r="I6" s="39" t="str">
        <x:v>当前原型或原有需求材料</x:v>
      </x:c>
    </x:row>
    <x:row r="7" ht="34" customHeight="1">
      <x:c r="A7" s="39" t="str">
        <x:v>首页与通知</x:v>
      </x:c>
      <x:c r="B7" s="39" t="str">
        <x:v>首页看板</x:v>
      </x:c>
      <x:c r="C7" s="39" t="str">
        <x:v>待办</x:v>
      </x:c>
      <x:c r="D7" s="39" t="str">
        <x:v>客户/摘要</x:v>
      </x:c>
      <x:c r="E7" s="39" t="str">
        <x:v>文本</x:v>
      </x:c>
      <x:c r="F7" s="39" t="str">
        <x:v>否</x:v>
      </x:c>
      <x:c r="G7" s="39" t="str">
        <x:v>显示任务摘要</x:v>
      </x:c>
      <x:c r="H7" s="39" t="str">
        <x:v>原型/材料已定义</x:v>
      </x:c>
      <x:c r="I7" s="39" t="str">
        <x:v>当前原型或原有需求材料</x:v>
      </x:c>
    </x:row>
    <x:row r="8" ht="34" customHeight="1">
      <x:c r="A8" s="39" t="str">
        <x:v>首页与通知</x:v>
      </x:c>
      <x:c r="B8" s="39" t="str">
        <x:v>首页看板</x:v>
      </x:c>
      <x:c r="C8" s="39" t="str">
        <x:v>异常</x:v>
      </x:c>
      <x:c r="D8" s="39" t="str">
        <x:v>异常类型</x:v>
      </x:c>
      <x:c r="E8" s="39" t="str">
        <x:v>枚举</x:v>
      </x:c>
      <x:c r="F8" s="39" t="str">
        <x:v>否</x:v>
      </x:c>
      <x:c r="G8" s="39" t="str">
        <x:v>紧急、拒单、超时等</x:v>
      </x:c>
      <x:c r="H8" s="39" t="str">
        <x:v>原型/材料已定义</x:v>
      </x:c>
      <x:c r="I8" s="39" t="str">
        <x:v>当前原型或原有需求材料</x:v>
      </x:c>
    </x:row>
    <x:row r="9" ht="34" customHeight="1">
      <x:c r="A9" s="39" t="str">
        <x:v>首页与通知</x:v>
      </x:c>
      <x:c r="B9" s="39" t="str">
        <x:v>首页看板</x:v>
      </x:c>
      <x:c r="C9" s="39" t="str">
        <x:v>动态</x:v>
      </x:c>
      <x:c r="D9" s="39" t="str">
        <x:v>时间/操作人/内容</x:v>
      </x:c>
      <x:c r="E9" s="39" t="str">
        <x:v>记录</x:v>
      </x:c>
      <x:c r="F9" s="39" t="str">
        <x:v>否</x:v>
      </x:c>
      <x:c r="G9" s="39" t="str">
        <x:v>按时间倒序</x:v>
      </x:c>
      <x:c r="H9" s="39" t="str">
        <x:v>原型/材料已定义</x:v>
      </x:c>
      <x:c r="I9" s="39" t="str">
        <x:v>当前原型或原有需求材料</x:v>
      </x:c>
    </x:row>
    <x:row r="10" ht="34" customHeight="1">
      <x:c r="A10" s="39" t="str">
        <x:v>首页与通知</x:v>
      </x:c>
      <x:c r="B10" s="39" t="str">
        <x:v>通知中心</x:v>
      </x:c>
      <x:c r="C10" s="39" t="str">
        <x:v>通知</x:v>
      </x:c>
      <x:c r="D10" s="39" t="str">
        <x:v>通知类型</x:v>
      </x:c>
      <x:c r="E10" s="39" t="str">
        <x:v>枚举</x:v>
      </x:c>
      <x:c r="F10" s="39" t="str">
        <x:v>是</x:v>
      </x:c>
      <x:c r="G10" s="39" t="str">
        <x:v>业务事件类型</x:v>
      </x:c>
      <x:c r="H10" s="39" t="str">
        <x:v>原型/材料已定义</x:v>
      </x:c>
      <x:c r="I10" s="39" t="str">
        <x:v>当前原型或原有需求材料</x:v>
      </x:c>
    </x:row>
    <x:row r="11" ht="34" customHeight="1">
      <x:c r="A11" s="39" t="str">
        <x:v>首页与通知</x:v>
      </x:c>
      <x:c r="B11" s="39" t="str">
        <x:v>通知中心</x:v>
      </x:c>
      <x:c r="C11" s="39" t="str">
        <x:v>通知</x:v>
      </x:c>
      <x:c r="D11" s="39" t="str">
        <x:v>接收角色/人员</x:v>
      </x:c>
      <x:c r="E11" s="39" t="str">
        <x:v>人员</x:v>
      </x:c>
      <x:c r="F11" s="39" t="str">
        <x:v>是</x:v>
      </x:c>
      <x:c r="G11" s="39" t="str">
        <x:v>按角色及人员投递</x:v>
      </x:c>
      <x:c r="H11" s="39" t="str">
        <x:v>原型/材料已定义</x:v>
      </x:c>
      <x:c r="I11" s="39" t="str">
        <x:v>当前原型或原有需求材料</x:v>
      </x:c>
    </x:row>
    <x:row r="12" ht="34" customHeight="1">
      <x:c r="A12" s="39" t="str">
        <x:v>首页与通知</x:v>
      </x:c>
      <x:c r="B12" s="39" t="str">
        <x:v>通知中心</x:v>
      </x:c>
      <x:c r="C12" s="39" t="str">
        <x:v>通知</x:v>
      </x:c>
      <x:c r="D12" s="39" t="str">
        <x:v>关联编号</x:v>
      </x:c>
      <x:c r="E12" s="39" t="str">
        <x:v>文本</x:v>
      </x:c>
      <x:c r="F12" s="39" t="str">
        <x:v>否</x:v>
      </x:c>
      <x:c r="G12" s="39" t="str">
        <x:v>CALL/报价/采购编号</x:v>
      </x:c>
      <x:c r="H12" s="39" t="str">
        <x:v>原型/材料已定义</x:v>
      </x:c>
      <x:c r="I12" s="39" t="str">
        <x:v>当前原型或原有需求材料</x:v>
      </x:c>
    </x:row>
    <x:row r="13" ht="34" customHeight="1">
      <x:c r="A13" s="39" t="str">
        <x:v>首页与通知</x:v>
      </x:c>
      <x:c r="B13" s="39" t="str">
        <x:v>通知中心</x:v>
      </x:c>
      <x:c r="C13" s="39" t="str">
        <x:v>通知</x:v>
      </x:c>
      <x:c r="D13" s="39" t="str">
        <x:v>发送时间</x:v>
      </x:c>
      <x:c r="E13" s="39" t="str">
        <x:v>日期时间</x:v>
      </x:c>
      <x:c r="F13" s="39" t="str">
        <x:v>是</x:v>
      </x:c>
      <x:c r="G13" s="39" t="str">
        <x:v>系统生成</x:v>
      </x:c>
      <x:c r="H13" s="39" t="str">
        <x:v>原型/材料已定义</x:v>
      </x:c>
      <x:c r="I13" s="39" t="str">
        <x:v>当前原型或原有需求材料</x:v>
      </x:c>
    </x:row>
    <x:row r="14" ht="34" customHeight="1">
      <x:c r="A14" s="39" t="str">
        <x:v>首页与通知</x:v>
      </x:c>
      <x:c r="B14" s="39" t="str">
        <x:v>通知中心</x:v>
      </x:c>
      <x:c r="C14" s="39" t="str">
        <x:v>通知</x:v>
      </x:c>
      <x:c r="D14" s="39" t="str">
        <x:v>已读状态</x:v>
      </x:c>
      <x:c r="E14" s="39" t="str">
        <x:v>布尔</x:v>
      </x:c>
      <x:c r="F14" s="39" t="str">
        <x:v>是</x:v>
      </x:c>
      <x:c r="G14" s="39" t="str">
        <x:v>未读/已读</x:v>
      </x:c>
      <x:c r="H14" s="39" t="str">
        <x:v>原型/材料已定义</x:v>
      </x:c>
      <x:c r="I14" s="39" t="str">
        <x:v>当前原型或原有需求材料</x:v>
      </x:c>
    </x:row>
    <x:row r="15" ht="34" customHeight="1">
      <x:c r="A15" s="39" t="str">
        <x:v>CALL受理与工单管理</x:v>
      </x:c>
      <x:c r="B15" s="39" t="str">
        <x:v>CALL受理记录</x:v>
      </x:c>
      <x:c r="C15" s="39" t="str">
        <x:v>来电</x:v>
      </x:c>
      <x:c r="D15" s="39" t="str">
        <x:v>客户</x:v>
      </x:c>
      <x:c r="E15" s="39" t="str">
        <x:v>关联选择</x:v>
      </x:c>
      <x:c r="F15" s="39" t="str">
        <x:v>是</x:v>
      </x:c>
      <x:c r="G15" s="39" t="str">
        <x:v>关联客户主数据</x:v>
      </x:c>
      <x:c r="H15" s="39" t="str">
        <x:v>原型/材料已定义</x:v>
      </x:c>
      <x:c r="I15" s="39" t="str">
        <x:v>当前原型或原有需求材料</x:v>
      </x:c>
    </x:row>
    <x:row r="16" ht="34" customHeight="1">
      <x:c r="A16" s="39" t="str">
        <x:v>CALL受理与工单管理</x:v>
      </x:c>
      <x:c r="B16" s="39" t="str">
        <x:v>CALL受理记录</x:v>
      </x:c>
      <x:c r="C16" s="39" t="str">
        <x:v>来电</x:v>
      </x:c>
      <x:c r="D16" s="39" t="str">
        <x:v>联系人/电话</x:v>
      </x:c>
      <x:c r="E16" s="39" t="str">
        <x:v>文本</x:v>
      </x:c>
      <x:c r="F16" s="39" t="str">
        <x:v>否</x:v>
      </x:c>
      <x:c r="G16" s="39" t="str">
        <x:v>可从客户资料带入</x:v>
      </x:c>
      <x:c r="H16" s="39" t="str">
        <x:v>原型/材料已定义</x:v>
      </x:c>
      <x:c r="I16" s="39" t="str">
        <x:v>当前原型或原有需求材料</x:v>
      </x:c>
    </x:row>
    <x:row r="17" ht="34" customHeight="1">
      <x:c r="A17" s="39" t="str">
        <x:v>CALL受理与工单管理</x:v>
      </x:c>
      <x:c r="B17" s="39" t="str">
        <x:v>CALL受理记录</x:v>
      </x:c>
      <x:c r="C17" s="39" t="str">
        <x:v>来电</x:v>
      </x:c>
      <x:c r="D17" s="39" t="str">
        <x:v>来源渠道</x:v>
      </x:c>
      <x:c r="E17" s="39" t="str">
        <x:v>枚举</x:v>
      </x:c>
      <x:c r="F17" s="39" t="str">
        <x:v>是</x:v>
      </x:c>
      <x:c r="G17" s="39" t="str">
        <x:v>电话、WhatsApp、现场、邮件</x:v>
      </x:c>
      <x:c r="H17" s="39" t="str">
        <x:v>原型/材料已定义</x:v>
      </x:c>
      <x:c r="I17" s="39" t="str">
        <x:v>当前原型或原有需求材料</x:v>
      </x:c>
    </x:row>
    <x:row r="18" ht="34" customHeight="1">
      <x:c r="A18" s="39" t="str">
        <x:v>CALL受理与工单管理</x:v>
      </x:c>
      <x:c r="B18" s="39" t="str">
        <x:v>CALL受理记录</x:v>
      </x:c>
      <x:c r="C18" s="39" t="str">
        <x:v>来电</x:v>
      </x:c>
      <x:c r="D18" s="39" t="str">
        <x:v>内容摘要</x:v>
      </x:c>
      <x:c r="E18" s="39" t="str">
        <x:v>多行文本</x:v>
      </x:c>
      <x:c r="F18" s="39" t="str">
        <x:v>是</x:v>
      </x:c>
      <x:c r="G18" s="39" t="str">
        <x:v>记录客户诉求</x:v>
      </x:c>
      <x:c r="H18" s="39" t="str">
        <x:v>原型/材料已定义</x:v>
      </x:c>
      <x:c r="I18" s="39" t="str">
        <x:v>当前原型或原有需求材料</x:v>
      </x:c>
    </x:row>
    <x:row r="19" ht="34" customHeight="1">
      <x:c r="A19" s="39" t="str">
        <x:v>CALL受理与工单管理</x:v>
      </x:c>
      <x:c r="B19" s="39" t="str">
        <x:v>CALL受理记录</x:v>
      </x:c>
      <x:c r="C19" s="39" t="str">
        <x:v>处理</x:v>
      </x:c>
      <x:c r="D19" s="39" t="str">
        <x:v>受理判断</x:v>
      </x:c>
      <x:c r="E19" s="39" t="str">
        <x:v>枚举</x:v>
      </x:c>
      <x:c r="F19" s="39" t="str">
        <x:v>是</x:v>
      </x:c>
      <x:c r="G19" s="39" t="str">
        <x:v>仅答疑/创建CALL/取消</x:v>
      </x:c>
      <x:c r="H19" s="39" t="str">
        <x:v>原型/材料已定义</x:v>
      </x:c>
      <x:c r="I19" s="39" t="str">
        <x:v>当前原型或原有需求材料</x:v>
      </x:c>
    </x:row>
    <x:row r="20" ht="34" customHeight="1">
      <x:c r="A20" s="39" t="str">
        <x:v>CALL受理与工单管理</x:v>
      </x:c>
      <x:c r="B20" s="39" t="str">
        <x:v>CALL受理记录</x:v>
      </x:c>
      <x:c r="C20" s="39" t="str">
        <x:v>处理</x:v>
      </x:c>
      <x:c r="D20" s="39" t="str">
        <x:v>跟进备注</x:v>
      </x:c>
      <x:c r="E20" s="39" t="str">
        <x:v>多行文本</x:v>
      </x:c>
      <x:c r="F20" s="39" t="str">
        <x:v>否</x:v>
      </x:c>
      <x:c r="G20" s="39" t="str">
        <x:v>后续说明</x:v>
      </x:c>
      <x:c r="H20" s="39" t="str">
        <x:v>原型/材料已定义</x:v>
      </x:c>
      <x:c r="I20" s="39" t="str">
        <x:v>当前原型或原有需求材料</x:v>
      </x:c>
    </x:row>
    <x:row r="21" ht="34" customHeight="1">
      <x:c r="A21" s="39" t="str">
        <x:v>CALL受理与工单管理</x:v>
      </x:c>
      <x:c r="B21" s="39" t="str">
        <x:v>新建/编辑CALL</x:v>
      </x:c>
      <x:c r="C21" s="39" t="str">
        <x:v>编号</x:v>
      </x:c>
      <x:c r="D21" s="39" t="str">
        <x:v>CALL编号</x:v>
      </x:c>
      <x:c r="E21" s="39" t="str">
        <x:v>自动编号</x:v>
      </x:c>
      <x:c r="F21" s="39" t="str">
        <x:v>是</x:v>
      </x:c>
      <x:c r="G21" s="39" t="str">
        <x:v>普通/政府编号规则</x:v>
      </x:c>
      <x:c r="H21" s="39" t="str">
        <x:v>原型/材料已定义</x:v>
      </x:c>
      <x:c r="I21" s="39" t="str">
        <x:v>当前原型或原有需求材料</x:v>
      </x:c>
    </x:row>
    <x:row r="22" ht="34" customHeight="1">
      <x:c r="A22" s="39" t="str">
        <x:v>CALL受理与工单管理</x:v>
      </x:c>
      <x:c r="B22" s="39" t="str">
        <x:v>新建/编辑CALL</x:v>
      </x:c>
      <x:c r="C22" s="39" t="str">
        <x:v>编号</x:v>
      </x:c>
      <x:c r="D22" s="39" t="str">
        <x:v>任务编号</x:v>
      </x:c>
      <x:c r="E22" s="39" t="str">
        <x:v>自动编号</x:v>
      </x:c>
      <x:c r="F22" s="39" t="str">
        <x:v>否</x:v>
      </x:c>
      <x:c r="G22" s="39" t="str">
        <x:v>进入分派后独立生成</x:v>
      </x:c>
      <x:c r="H22" s="39" t="str">
        <x:v>原型/材料已定义</x:v>
      </x:c>
      <x:c r="I22" s="39" t="str">
        <x:v>当前原型或原有需求材料</x:v>
      </x:c>
    </x:row>
    <x:row r="23" ht="34" customHeight="1">
      <x:c r="A23" s="39" t="str">
        <x:v>CALL受理与工单管理</x:v>
      </x:c>
      <x:c r="B23" s="39" t="str">
        <x:v>新建/编辑CALL</x:v>
      </x:c>
      <x:c r="C23" s="39" t="str">
        <x:v>客户</x:v>
      </x:c>
      <x:c r="D23" s="39" t="str">
        <x:v>客户/联系人</x:v>
      </x:c>
      <x:c r="E23" s="39" t="str">
        <x:v>关联选择</x:v>
      </x:c>
      <x:c r="F23" s="39" t="str">
        <x:v>是</x:v>
      </x:c>
      <x:c r="G23" s="39" t="str">
        <x:v>带入联系方式</x:v>
      </x:c>
      <x:c r="H23" s="39" t="str">
        <x:v>原型/材料已定义</x:v>
      </x:c>
      <x:c r="I23" s="39" t="str">
        <x:v>当前原型或原有需求材料</x:v>
      </x:c>
    </x:row>
    <x:row r="24" ht="34" customHeight="1">
      <x:c r="A24" s="39" t="str">
        <x:v>CALL受理与工单管理</x:v>
      </x:c>
      <x:c r="B24" s="39" t="str">
        <x:v>新建/编辑CALL</x:v>
      </x:c>
      <x:c r="C24" s="39" t="str">
        <x:v>客户</x:v>
      </x:c>
      <x:c r="D24" s="39" t="str">
        <x:v>联系电话</x:v>
      </x:c>
      <x:c r="E24" s="39" t="str">
        <x:v>文本</x:v>
      </x:c>
      <x:c r="F24" s="39" t="str">
        <x:v>否</x:v>
      </x:c>
      <x:c r="G24" s="39" t="str">
        <x:v>允许覆盖本次联系号码</x:v>
      </x:c>
      <x:c r="H24" s="39" t="str">
        <x:v>原型/材料已定义</x:v>
      </x:c>
      <x:c r="I24" s="39" t="str">
        <x:v>当前原型或原有需求材料</x:v>
      </x:c>
    </x:row>
    <x:row r="25" ht="34" customHeight="1">
      <x:c r="A25" s="39" t="str">
        <x:v>CALL受理与工单管理</x:v>
      </x:c>
      <x:c r="B25" s="39" t="str">
        <x:v>新建/编辑CALL</x:v>
      </x:c>
      <x:c r="C25" s="39" t="str">
        <x:v>分类</x:v>
      </x:c>
      <x:c r="D25" s="39" t="str">
        <x:v>CALL代码</x:v>
      </x:c>
      <x:c r="E25" s="39" t="str">
        <x:v>字典</x:v>
      </x:c>
      <x:c r="F25" s="39" t="str">
        <x:v>是</x:v>
      </x:c>
      <x:c r="G25" s="39" t="str">
        <x:v>可配置代码</x:v>
      </x:c>
      <x:c r="H25" s="39" t="str">
        <x:v>原型/材料已定义</x:v>
      </x:c>
      <x:c r="I25" s="39" t="str">
        <x:v>当前原型或原有需求材料</x:v>
      </x:c>
    </x:row>
    <x:row r="26" ht="34" customHeight="1">
      <x:c r="A26" s="39" t="str">
        <x:v>CALL受理与工单管理</x:v>
      </x:c>
      <x:c r="B26" s="39" t="str">
        <x:v>新建/编辑CALL</x:v>
      </x:c>
      <x:c r="C26" s="39" t="str">
        <x:v>分类</x:v>
      </x:c>
      <x:c r="D26" s="39" t="str">
        <x:v>CALL类型</x:v>
      </x:c>
      <x:c r="E26" s="39" t="str">
        <x:v>字典</x:v>
      </x:c>
      <x:c r="F26" s="39" t="str">
        <x:v>是</x:v>
      </x:c>
      <x:c r="G26" s="39" t="str">
        <x:v>DLP保养维修等五类</x:v>
      </x:c>
      <x:c r="H26" s="39" t="str">
        <x:v>原型/材料已定义</x:v>
      </x:c>
      <x:c r="I26" s="39" t="str">
        <x:v>当前原型或原有需求材料</x:v>
      </x:c>
    </x:row>
    <x:row r="27" ht="34" customHeight="1">
      <x:c r="A27" s="39" t="str">
        <x:v>CALL受理与工单管理</x:v>
      </x:c>
      <x:c r="B27" s="39" t="str">
        <x:v>新建/编辑CALL</x:v>
      </x:c>
      <x:c r="C27" s="39" t="str">
        <x:v>地点</x:v>
      </x:c>
      <x:c r="D27" s="39" t="str">
        <x:v>区域</x:v>
      </x:c>
      <x:c r="E27" s="39" t="str">
        <x:v>字典</x:v>
      </x:c>
      <x:c r="F27" s="39" t="str">
        <x:v>是</x:v>
      </x:c>
      <x:c r="G27" s="39" t="str">
        <x:v>关联主管与师傅</x:v>
      </x:c>
      <x:c r="H27" s="39" t="str">
        <x:v>原型/材料已定义</x:v>
      </x:c>
      <x:c r="I27" s="39" t="str">
        <x:v>当前原型或原有需求材料</x:v>
      </x:c>
    </x:row>
    <x:row r="28" ht="34" customHeight="1">
      <x:c r="A28" s="39" t="str">
        <x:v>CALL受理与工单管理</x:v>
      </x:c>
      <x:c r="B28" s="39" t="str">
        <x:v>新建/编辑CALL</x:v>
      </x:c>
      <x:c r="C28" s="39" t="str">
        <x:v>地点</x:v>
      </x:c>
      <x:c r="D28" s="39" t="str">
        <x:v>标准地点/地址</x:v>
      </x:c>
      <x:c r="E28" s="39" t="str">
        <x:v>关联选择</x:v>
      </x:c>
      <x:c r="F28" s="39" t="str">
        <x:v>是</x:v>
      </x:c>
      <x:c r="G28" s="39" t="str">
        <x:v>客户地点主数据</x:v>
      </x:c>
      <x:c r="H28" s="39" t="str">
        <x:v>原型/材料已定义</x:v>
      </x:c>
      <x:c r="I28" s="39" t="str">
        <x:v>当前原型或原有需求材料</x:v>
      </x:c>
    </x:row>
    <x:row r="29" ht="34" customHeight="1">
      <x:c r="A29" s="39" t="str">
        <x:v>CALL受理与工单管理</x:v>
      </x:c>
      <x:c r="B29" s="39" t="str">
        <x:v>新建/编辑CALL</x:v>
      </x:c>
      <x:c r="C29" s="39" t="str">
        <x:v>内容</x:v>
      </x:c>
      <x:c r="D29" s="39" t="str">
        <x:v>问题描述</x:v>
      </x:c>
      <x:c r="E29" s="39" t="str">
        <x:v>多行文本</x:v>
      </x:c>
      <x:c r="F29" s="39" t="str">
        <x:v>是</x:v>
      </x:c>
      <x:c r="G29" s="39" t="str">
        <x:v>故障或服务内容</x:v>
      </x:c>
      <x:c r="H29" s="39" t="str">
        <x:v>原型/材料已定义</x:v>
      </x:c>
      <x:c r="I29" s="39" t="str">
        <x:v>当前原型或原有需求材料</x:v>
      </x:c>
    </x:row>
    <x:row r="30" ht="34" customHeight="1">
      <x:c r="A30" s="39" t="str">
        <x:v>CALL受理与工单管理</x:v>
      </x:c>
      <x:c r="B30" s="39" t="str">
        <x:v>新建/编辑CALL</x:v>
      </x:c>
      <x:c r="C30" s="39" t="str">
        <x:v>内容</x:v>
      </x:c>
      <x:c r="D30" s="39" t="str">
        <x:v>附件</x:v>
      </x:c>
      <x:c r="E30" s="39" t="str">
        <x:v>附件</x:v>
      </x:c>
      <x:c r="F30" s="39" t="str">
        <x:v>否</x:v>
      </x:c>
      <x:c r="G30" s="39" t="str">
        <x:v>图片或文件</x:v>
      </x:c>
      <x:c r="H30" s="39" t="str">
        <x:v>原型/材料已定义</x:v>
      </x:c>
      <x:c r="I30" s="39" t="str">
        <x:v>当前原型或原有需求材料</x:v>
      </x:c>
    </x:row>
    <x:row r="31" ht="34" customHeight="1">
      <x:c r="A31" s="39" t="str">
        <x:v>CALL受理与工单管理</x:v>
      </x:c>
      <x:c r="B31" s="39" t="str">
        <x:v>新建/编辑CALL</x:v>
      </x:c>
      <x:c r="C31" s="39" t="str">
        <x:v>内容</x:v>
      </x:c>
      <x:c r="D31" s="39" t="str">
        <x:v>优先级/紧急</x:v>
      </x:c>
      <x:c r="E31" s="39" t="str">
        <x:v>枚举</x:v>
      </x:c>
      <x:c r="F31" s="39" t="str">
        <x:v>否</x:v>
      </x:c>
      <x:c r="G31" s="39" t="str">
        <x:v>用于排序与提醒</x:v>
      </x:c>
      <x:c r="H31" s="39" t="str">
        <x:v>原型/材料已定义</x:v>
      </x:c>
      <x:c r="I31" s="39" t="str">
        <x:v>当前原型或原有需求材料</x:v>
      </x:c>
    </x:row>
    <x:row r="32" ht="34" customHeight="1">
      <x:c r="A32" s="39" t="str">
        <x:v>CALL受理与工单管理</x:v>
      </x:c>
      <x:c r="B32" s="39" t="str">
        <x:v>新建/编辑CALL</x:v>
      </x:c>
      <x:c r="C32" s="39" t="str">
        <x:v>处理</x:v>
      </x:c>
      <x:c r="D32" s="39" t="str">
        <x:v>保存方式</x:v>
      </x:c>
      <x:c r="E32" s="39" t="str">
        <x:v>枚举</x:v>
      </x:c>
      <x:c r="F32" s="39" t="str">
        <x:v>是</x:v>
      </x:c>
      <x:c r="G32" s="39" t="str">
        <x:v>草稿/提交</x:v>
      </x:c>
      <x:c r="H32" s="39" t="str">
        <x:v>原型/材料已定义</x:v>
      </x:c>
      <x:c r="I32" s="39" t="str">
        <x:v>当前原型或原有需求材料</x:v>
      </x:c>
    </x:row>
    <x:row r="33" ht="34" customHeight="1">
      <x:c r="A33" s="39" t="str">
        <x:v>CALL受理与工单管理</x:v>
      </x:c>
      <x:c r="B33" s="39" t="str">
        <x:v>CALL列表与筛选</x:v>
      </x:c>
      <x:c r="C33" s="39" t="str">
        <x:v>筛选</x:v>
      </x:c>
      <x:c r="D33" s="39" t="str">
        <x:v>关键词</x:v>
      </x:c>
      <x:c r="E33" s="39" t="str">
        <x:v>文本</x:v>
      </x:c>
      <x:c r="F33" s="39" t="str">
        <x:v>否</x:v>
      </x:c>
      <x:c r="G33" s="39" t="str">
        <x:v>编号、客户或描述</x:v>
      </x:c>
      <x:c r="H33" s="39" t="str">
        <x:v>原型/材料已定义</x:v>
      </x:c>
      <x:c r="I33" s="39" t="str">
        <x:v>当前原型或原有需求材料</x:v>
      </x:c>
    </x:row>
    <x:row r="34" ht="34" customHeight="1">
      <x:c r="A34" s="39" t="str">
        <x:v>CALL受理与工单管理</x:v>
      </x:c>
      <x:c r="B34" s="39" t="str">
        <x:v>CALL列表与筛选</x:v>
      </x:c>
      <x:c r="C34" s="39" t="str">
        <x:v>筛选</x:v>
      </x:c>
      <x:c r="D34" s="39" t="str">
        <x:v>状态</x:v>
      </x:c>
      <x:c r="E34" s="39" t="str">
        <x:v>多选枚举</x:v>
      </x:c>
      <x:c r="F34" s="39" t="str">
        <x:v>否</x:v>
      </x:c>
      <x:c r="G34" s="39" t="str">
        <x:v>7个主状态</x:v>
      </x:c>
      <x:c r="H34" s="39" t="str">
        <x:v>原型/材料已定义</x:v>
      </x:c>
      <x:c r="I34" s="39" t="str">
        <x:v>当前原型或原有需求材料</x:v>
      </x:c>
    </x:row>
    <x:row r="35" ht="34" customHeight="1">
      <x:c r="A35" s="39" t="str">
        <x:v>CALL受理与工单管理</x:v>
      </x:c>
      <x:c r="B35" s="39" t="str">
        <x:v>CALL列表与筛选</x:v>
      </x:c>
      <x:c r="C35" s="39" t="str">
        <x:v>筛选</x:v>
      </x:c>
      <x:c r="D35" s="39" t="str">
        <x:v>CALL类型</x:v>
      </x:c>
      <x:c r="E35" s="39" t="str">
        <x:v>字典</x:v>
      </x:c>
      <x:c r="F35" s="39" t="str">
        <x:v>否</x:v>
      </x:c>
      <x:c r="G35" s="39" t="str">
        <x:v>五类CALL</x:v>
      </x:c>
      <x:c r="H35" s="39" t="str">
        <x:v>原型/材料已定义</x:v>
      </x:c>
      <x:c r="I35" s="39" t="str">
        <x:v>当前原型或原有需求材料</x:v>
      </x:c>
    </x:row>
    <x:row r="36" ht="34" customHeight="1">
      <x:c r="A36" s="39" t="str">
        <x:v>CALL受理与工单管理</x:v>
      </x:c>
      <x:c r="B36" s="39" t="str">
        <x:v>CALL列表与筛选</x:v>
      </x:c>
      <x:c r="C36" s="39" t="str">
        <x:v>筛选</x:v>
      </x:c>
      <x:c r="D36" s="39" t="str">
        <x:v>区域</x:v>
      </x:c>
      <x:c r="E36" s="39" t="str">
        <x:v>字典</x:v>
      </x:c>
      <x:c r="F36" s="39" t="str">
        <x:v>否</x:v>
      </x:c>
      <x:c r="G36" s="39" t="str">
        <x:v>区域范围</x:v>
      </x:c>
      <x:c r="H36" s="39" t="str">
        <x:v>原型/材料已定义</x:v>
      </x:c>
      <x:c r="I36" s="39" t="str">
        <x:v>当前原型或原有需求材料</x:v>
      </x:c>
    </x:row>
    <x:row r="37" ht="34" customHeight="1">
      <x:c r="A37" s="39" t="str">
        <x:v>CALL受理与工单管理</x:v>
      </x:c>
      <x:c r="B37" s="39" t="str">
        <x:v>CALL列表与筛选</x:v>
      </x:c>
      <x:c r="C37" s="39" t="str">
        <x:v>筛选</x:v>
      </x:c>
      <x:c r="D37" s="39" t="str">
        <x:v>负责人/师傅</x:v>
      </x:c>
      <x:c r="E37" s="39" t="str">
        <x:v>人员</x:v>
      </x:c>
      <x:c r="F37" s="39" t="str">
        <x:v>否</x:v>
      </x:c>
      <x:c r="G37" s="39" t="str">
        <x:v>按权限选择</x:v>
      </x:c>
      <x:c r="H37" s="39" t="str">
        <x:v>原型/材料已定义</x:v>
      </x:c>
      <x:c r="I37" s="39" t="str">
        <x:v>当前原型或原有需求材料</x:v>
      </x:c>
    </x:row>
    <x:row r="38" ht="34" customHeight="1">
      <x:c r="A38" s="39" t="str">
        <x:v>CALL受理与工单管理</x:v>
      </x:c>
      <x:c r="B38" s="39" t="str">
        <x:v>CALL列表与筛选</x:v>
      </x:c>
      <x:c r="C38" s="39" t="str">
        <x:v>筛选</x:v>
      </x:c>
      <x:c r="D38" s="39" t="str">
        <x:v>客户</x:v>
      </x:c>
      <x:c r="E38" s="39" t="str">
        <x:v>关联选择</x:v>
      </x:c>
      <x:c r="F38" s="39" t="str">
        <x:v>否</x:v>
      </x:c>
      <x:c r="G38" s="39" t="str">
        <x:v>客户主数据</x:v>
      </x:c>
      <x:c r="H38" s="39" t="str">
        <x:v>原型/材料已定义</x:v>
      </x:c>
      <x:c r="I38" s="39" t="str">
        <x:v>当前原型或原有需求材料</x:v>
      </x:c>
    </x:row>
    <x:row r="39" ht="34" customHeight="1">
      <x:c r="A39" s="39" t="str">
        <x:v>CALL受理与工单管理</x:v>
      </x:c>
      <x:c r="B39" s="39" t="str">
        <x:v>CALL列表与筛选</x:v>
      </x:c>
      <x:c r="C39" s="39" t="str">
        <x:v>列表</x:v>
      </x:c>
      <x:c r="D39" s="39" t="str">
        <x:v>编号/客户/类型</x:v>
      </x:c>
      <x:c r="E39" s="39" t="str">
        <x:v>文本</x:v>
      </x:c>
      <x:c r="F39" s="39" t="str">
        <x:v>否</x:v>
      </x:c>
      <x:c r="G39" s="39" t="str">
        <x:v>核心识别字段</x:v>
      </x:c>
      <x:c r="H39" s="39" t="str">
        <x:v>原型/材料已定义</x:v>
      </x:c>
      <x:c r="I39" s="39" t="str">
        <x:v>当前原型或原有需求材料</x:v>
      </x:c>
    </x:row>
    <x:row r="40" ht="34" customHeight="1">
      <x:c r="A40" s="39" t="str">
        <x:v>CALL受理与工单管理</x:v>
      </x:c>
      <x:c r="B40" s="39" t="str">
        <x:v>CALL列表与筛选</x:v>
      </x:c>
      <x:c r="C40" s="39" t="str">
        <x:v>列表</x:v>
      </x:c>
      <x:c r="D40" s="39" t="str">
        <x:v>状态/负责人/更新时间</x:v>
      </x:c>
      <x:c r="E40" s="39" t="str">
        <x:v>状态/人员/日期时间</x:v>
      </x:c>
      <x:c r="F40" s="39" t="str">
        <x:v>否</x:v>
      </x:c>
      <x:c r="G40" s="39" t="str">
        <x:v>进度信息</x:v>
      </x:c>
      <x:c r="H40" s="39" t="str">
        <x:v>原型/材料已定义</x:v>
      </x:c>
      <x:c r="I40" s="39" t="str">
        <x:v>当前原型或原有需求材料</x:v>
      </x:c>
    </x:row>
    <x:row r="41" ht="34" customHeight="1">
      <x:c r="A41" s="39" t="str">
        <x:v>CALL受理与工单管理</x:v>
      </x:c>
      <x:c r="B41" s="39" t="str">
        <x:v>CALL详情与操作</x:v>
      </x:c>
      <x:c r="C41" s="39" t="str">
        <x:v>基本</x:v>
      </x:c>
      <x:c r="D41" s="39" t="str">
        <x:v>CALL/任务编号</x:v>
      </x:c>
      <x:c r="E41" s="39" t="str">
        <x:v>文本</x:v>
      </x:c>
      <x:c r="F41" s="39" t="str">
        <x:v>是</x:v>
      </x:c>
      <x:c r="G41" s="39" t="str">
        <x:v>关联检索</x:v>
      </x:c>
      <x:c r="H41" s="39" t="str">
        <x:v>原型/材料已定义</x:v>
      </x:c>
      <x:c r="I41" s="39" t="str">
        <x:v>当前原型或原有需求材料</x:v>
      </x:c>
    </x:row>
    <x:row r="42" ht="34" customHeight="1">
      <x:c r="A42" s="39" t="str">
        <x:v>CALL受理与工单管理</x:v>
      </x:c>
      <x:c r="B42" s="39" t="str">
        <x:v>CALL详情与操作</x:v>
      </x:c>
      <x:c r="C42" s="39" t="str">
        <x:v>基本</x:v>
      </x:c>
      <x:c r="D42" s="39" t="str">
        <x:v>状态/类型/区域</x:v>
      </x:c>
      <x:c r="E42" s="39" t="str">
        <x:v>枚举</x:v>
      </x:c>
      <x:c r="F42" s="39" t="str">
        <x:v>是</x:v>
      </x:c>
      <x:c r="G42" s="39" t="str">
        <x:v>当前业务状态</x:v>
      </x:c>
      <x:c r="H42" s="39" t="str">
        <x:v>原型/材料已定义</x:v>
      </x:c>
      <x:c r="I42" s="39" t="str">
        <x:v>当前原型或原有需求材料</x:v>
      </x:c>
    </x:row>
    <x:row r="43" ht="34" customHeight="1">
      <x:c r="A43" s="39" t="str">
        <x:v>CALL受理与工单管理</x:v>
      </x:c>
      <x:c r="B43" s="39" t="str">
        <x:v>CALL详情与操作</x:v>
      </x:c>
      <x:c r="C43" s="39" t="str">
        <x:v>客户</x:v>
      </x:c>
      <x:c r="D43" s="39" t="str">
        <x:v>客户/联系人/电话</x:v>
      </x:c>
      <x:c r="E43" s="39" t="str">
        <x:v>文本</x:v>
      </x:c>
      <x:c r="F43" s="39" t="str">
        <x:v>是</x:v>
      </x:c>
      <x:c r="G43" s="39" t="str">
        <x:v>客户资料</x:v>
      </x:c>
      <x:c r="H43" s="39" t="str">
        <x:v>原型/材料已定义</x:v>
      </x:c>
      <x:c r="I43" s="39" t="str">
        <x:v>当前原型或原有需求材料</x:v>
      </x:c>
    </x:row>
    <x:row r="44" ht="34" customHeight="1">
      <x:c r="A44" s="39" t="str">
        <x:v>CALL受理与工单管理</x:v>
      </x:c>
      <x:c r="B44" s="39" t="str">
        <x:v>CALL详情与操作</x:v>
      </x:c>
      <x:c r="C44" s="39" t="str">
        <x:v>地点</x:v>
      </x:c>
      <x:c r="D44" s="39" t="str">
        <x:v>地址/标准地点</x:v>
      </x:c>
      <x:c r="E44" s="39" t="str">
        <x:v>文本</x:v>
      </x:c>
      <x:c r="F44" s="39" t="str">
        <x:v>是</x:v>
      </x:c>
      <x:c r="G44" s="39" t="str">
        <x:v>服务位置</x:v>
      </x:c>
      <x:c r="H44" s="39" t="str">
        <x:v>原型/材料已定义</x:v>
      </x:c>
      <x:c r="I44" s="39" t="str">
        <x:v>当前原型或原有需求材料</x:v>
      </x:c>
    </x:row>
    <x:row r="45" ht="34" customHeight="1">
      <x:c r="A45" s="39" t="str">
        <x:v>CALL受理与工单管理</x:v>
      </x:c>
      <x:c r="B45" s="39" t="str">
        <x:v>CALL详情与操作</x:v>
      </x:c>
      <x:c r="C45" s="39" t="str">
        <x:v>人员</x:v>
      </x:c>
      <x:c r="D45" s="39" t="str">
        <x:v>TL/师傅/负责人</x:v>
      </x:c>
      <x:c r="E45" s="39" t="str">
        <x:v>人员</x:v>
      </x:c>
      <x:c r="F45" s="39" t="str">
        <x:v>否</x:v>
      </x:c>
      <x:c r="G45" s="39" t="str">
        <x:v>处理责任</x:v>
      </x:c>
      <x:c r="H45" s="39" t="str">
        <x:v>原型/材料已定义</x:v>
      </x:c>
      <x:c r="I45" s="39" t="str">
        <x:v>当前原型或原有需求材料</x:v>
      </x:c>
    </x:row>
    <x:row r="46" ht="34" customHeight="1">
      <x:c r="A46" s="39" t="str">
        <x:v>CALL受理与工单管理</x:v>
      </x:c>
      <x:c r="B46" s="39" t="str">
        <x:v>CALL详情与操作</x:v>
      </x:c>
      <x:c r="C46" s="39" t="str">
        <x:v>内容</x:v>
      </x:c>
      <x:c r="D46" s="39" t="str">
        <x:v>问题描述/附件</x:v>
      </x:c>
      <x:c r="E46" s="39" t="str">
        <x:v>文本/附件</x:v>
      </x:c>
      <x:c r="F46" s="39" t="str">
        <x:v>是</x:v>
      </x:c>
      <x:c r="G46" s="39" t="str">
        <x:v>原始需求</x:v>
      </x:c>
      <x:c r="H46" s="39" t="str">
        <x:v>原型/材料已定义</x:v>
      </x:c>
      <x:c r="I46" s="39" t="str">
        <x:v>当前原型或原有需求材料</x:v>
      </x:c>
    </x:row>
    <x:row r="47" ht="34" customHeight="1">
      <x:c r="A47" s="39" t="str">
        <x:v>CALL受理与工单管理</x:v>
      </x:c>
      <x:c r="B47" s="39" t="str">
        <x:v>CALL详情与操作</x:v>
      </x:c>
      <x:c r="C47" s="39" t="str">
        <x:v>记录</x:v>
      </x:c>
      <x:c r="D47" s="39" t="str">
        <x:v>处理时间线</x:v>
      </x:c>
      <x:c r="E47" s="39" t="str">
        <x:v>记录</x:v>
      </x:c>
      <x:c r="F47" s="39" t="str">
        <x:v>否</x:v>
      </x:c>
      <x:c r="G47" s="39" t="str">
        <x:v>时间、操作人、内容</x:v>
      </x:c>
      <x:c r="H47" s="39" t="str">
        <x:v>原型/材料已定义</x:v>
      </x:c>
      <x:c r="I47" s="39" t="str">
        <x:v>当前原型或原有需求材料</x:v>
      </x:c>
    </x:row>
    <x:row r="48" ht="34" customHeight="1">
      <x:c r="A48" s="39" t="str">
        <x:v>CALL受理与工单管理</x:v>
      </x:c>
      <x:c r="B48" s="39" t="str">
        <x:v>CALL详情与操作</x:v>
      </x:c>
      <x:c r="C48" s="39" t="str">
        <x:v>记录</x:v>
      </x:c>
      <x:c r="D48" s="39" t="str">
        <x:v>催单记录</x:v>
      </x:c>
      <x:c r="E48" s="39" t="str">
        <x:v>记录</x:v>
      </x:c>
      <x:c r="F48" s="39" t="str">
        <x:v>否</x:v>
      </x:c>
      <x:c r="G48" s="39" t="str">
        <x:v>次数、时间、备注</x:v>
      </x:c>
      <x:c r="H48" s="39" t="str">
        <x:v>原型/材料已定义</x:v>
      </x:c>
      <x:c r="I48" s="39" t="str">
        <x:v>当前原型或原有需求材料</x:v>
      </x:c>
    </x:row>
    <x:row r="49" ht="34" customHeight="1">
      <x:c r="A49" s="39" t="str">
        <x:v>CALL受理与工单管理</x:v>
      </x:c>
      <x:c r="B49" s="39" t="str">
        <x:v>CALL详情与操作</x:v>
      </x:c>
      <x:c r="C49" s="39" t="str">
        <x:v>关闭</x:v>
      </x:c>
      <x:c r="D49" s="39" t="str">
        <x:v>完成/取消原因</x:v>
      </x:c>
      <x:c r="E49" s="39" t="str">
        <x:v>多行文本</x:v>
      </x:c>
      <x:c r="F49" s="39" t="str">
        <x:v>条件必填</x:v>
      </x:c>
      <x:c r="G49" s="39" t="str">
        <x:v>关闭类操作填写</x:v>
      </x:c>
      <x:c r="H49" s="39" t="str">
        <x:v>原型/材料已定义</x:v>
      </x:c>
      <x:c r="I49" s="39" t="str">
        <x:v>当前原型或原有需求材料</x:v>
      </x:c>
    </x:row>
    <x:row r="50" ht="34" customHeight="1">
      <x:c r="A50" s="39" t="str">
        <x:v>分派与调度</x:v>
      </x:c>
      <x:c r="B50" s="39" t="str">
        <x:v>分派中心/分派弹窗</x:v>
      </x:c>
      <x:c r="C50" s="39" t="str">
        <x:v>任务</x:v>
      </x:c>
      <x:c r="D50" s="39" t="str">
        <x:v>任务编号/CALL编号</x:v>
      </x:c>
      <x:c r="E50" s="39" t="str">
        <x:v>文本</x:v>
      </x:c>
      <x:c r="F50" s="39" t="str">
        <x:v>是</x:v>
      </x:c>
      <x:c r="G50" s="39" t="str">
        <x:v>两个编号独立</x:v>
      </x:c>
      <x:c r="H50" s="39" t="str">
        <x:v>原型/材料已定义</x:v>
      </x:c>
      <x:c r="I50" s="39" t="str">
        <x:v>当前原型或原有需求材料</x:v>
      </x:c>
    </x:row>
    <x:row r="51" ht="34" customHeight="1">
      <x:c r="A51" s="39" t="str">
        <x:v>分派与调度</x:v>
      </x:c>
      <x:c r="B51" s="39" t="str">
        <x:v>分派中心/分派弹窗</x:v>
      </x:c>
      <x:c r="C51" s="39" t="str">
        <x:v>任务</x:v>
      </x:c>
      <x:c r="D51" s="39" t="str">
        <x:v>客户/区域/类型/描述</x:v>
      </x:c>
      <x:c r="E51" s="39" t="str">
        <x:v>文本</x:v>
      </x:c>
      <x:c r="F51" s="39" t="str">
        <x:v>是</x:v>
      </x:c>
      <x:c r="G51" s="39" t="str">
        <x:v>分派依据</x:v>
      </x:c>
      <x:c r="H51" s="39" t="str">
        <x:v>原型/材料已定义</x:v>
      </x:c>
      <x:c r="I51" s="39" t="str">
        <x:v>当前原型或原有需求材料</x:v>
      </x:c>
    </x:row>
    <x:row r="52" ht="34" customHeight="1">
      <x:c r="A52" s="39" t="str">
        <x:v>分派与调度</x:v>
      </x:c>
      <x:c r="B52" s="39" t="str">
        <x:v>分派中心/分派弹窗</x:v>
      </x:c>
      <x:c r="C52" s="39" t="str">
        <x:v>候选</x:v>
      </x:c>
      <x:c r="D52" s="39" t="str">
        <x:v>师傅姓名</x:v>
      </x:c>
      <x:c r="E52" s="39" t="str">
        <x:v>人员</x:v>
      </x:c>
      <x:c r="F52" s="39" t="str">
        <x:v>是</x:v>
      </x:c>
      <x:c r="G52" s="39" t="str">
        <x:v>启用且可接单</x:v>
      </x:c>
      <x:c r="H52" s="39" t="str">
        <x:v>原型/材料已定义</x:v>
      </x:c>
      <x:c r="I52" s="39" t="str">
        <x:v>当前原型或原有需求材料</x:v>
      </x:c>
    </x:row>
    <x:row r="53" ht="34" customHeight="1">
      <x:c r="A53" s="39" t="str">
        <x:v>分派与调度</x:v>
      </x:c>
      <x:c r="B53" s="39" t="str">
        <x:v>分派中心/分派弹窗</x:v>
      </x:c>
      <x:c r="C53" s="39" t="str">
        <x:v>候选</x:v>
      </x:c>
      <x:c r="D53" s="39" t="str">
        <x:v>区域/技能</x:v>
      </x:c>
      <x:c r="E53" s="39" t="str">
        <x:v>字典</x:v>
      </x:c>
      <x:c r="F53" s="39" t="str">
        <x:v>是</x:v>
      </x:c>
      <x:c r="G53" s="39" t="str">
        <x:v>技能仅人工筛选</x:v>
      </x:c>
      <x:c r="H53" s="39" t="str">
        <x:v>原型/材料已定义</x:v>
      </x:c>
      <x:c r="I53" s="39" t="str">
        <x:v>当前原型或原有需求材料</x:v>
      </x:c>
    </x:row>
    <x:row r="54" ht="34" customHeight="1">
      <x:c r="A54" s="39" t="str">
        <x:v>分派与调度</x:v>
      </x:c>
      <x:c r="B54" s="39" t="str">
        <x:v>分派中心/分派弹窗</x:v>
      </x:c>
      <x:c r="C54" s="39" t="str">
        <x:v>候选</x:v>
      </x:c>
      <x:c r="D54" s="39" t="str">
        <x:v>今日负载</x:v>
      </x:c>
      <x:c r="E54" s="39" t="str">
        <x:v>数字</x:v>
      </x:c>
      <x:c r="F54" s="39" t="str">
        <x:v>是</x:v>
      </x:c>
      <x:c r="G54" s="39" t="str">
        <x:v>待确认/待处理/处理中数量</x:v>
      </x:c>
      <x:c r="H54" s="39" t="str">
        <x:v>原型/材料已定义</x:v>
      </x:c>
      <x:c r="I54" s="39" t="str">
        <x:v>当前原型或原有需求材料</x:v>
      </x:c>
    </x:row>
    <x:row r="55" ht="34" customHeight="1">
      <x:c r="A55" s="39" t="str">
        <x:v>分派与调度</x:v>
      </x:c>
      <x:c r="B55" s="39" t="str">
        <x:v>分派中心/分派弹窗</x:v>
      </x:c>
      <x:c r="C55" s="39" t="str">
        <x:v>候选</x:v>
      </x:c>
      <x:c r="D55" s="39" t="str">
        <x:v>工作状态</x:v>
      </x:c>
      <x:c r="E55" s="39" t="str">
        <x:v>枚举</x:v>
      </x:c>
      <x:c r="F55" s="39" t="str">
        <x:v>是</x:v>
      </x:c>
      <x:c r="G55" s="39" t="str">
        <x:v>可接单/忙碌/请假</x:v>
      </x:c>
      <x:c r="H55" s="39" t="str">
        <x:v>原型/材料已定义</x:v>
      </x:c>
      <x:c r="I55" s="39" t="str">
        <x:v>当前原型或原有需求材料</x:v>
      </x:c>
    </x:row>
    <x:row r="56" ht="34" customHeight="1">
      <x:c r="A56" s="39" t="str">
        <x:v>分派与调度</x:v>
      </x:c>
      <x:c r="B56" s="39" t="str">
        <x:v>分派中心/分派弹窗</x:v>
      </x:c>
      <x:c r="C56" s="39" t="str">
        <x:v>分派</x:v>
      </x:c>
      <x:c r="D56" s="39" t="str">
        <x:v>选择师傅</x:v>
      </x:c>
      <x:c r="E56" s="39" t="str">
        <x:v>关联选择</x:v>
      </x:c>
      <x:c r="F56" s="39" t="str">
        <x:v>是</x:v>
      </x:c>
      <x:c r="G56" s="39" t="str">
        <x:v>确认分派对象</x:v>
      </x:c>
      <x:c r="H56" s="39" t="str">
        <x:v>原型/材料已定义</x:v>
      </x:c>
      <x:c r="I56" s="39" t="str">
        <x:v>当前原型或原有需求材料</x:v>
      </x:c>
    </x:row>
    <x:row r="57" ht="34" customHeight="1">
      <x:c r="A57" s="39" t="str">
        <x:v>分派与调度</x:v>
      </x:c>
      <x:c r="B57" s="39" t="str">
        <x:v>分派中心/分派弹窗</x:v>
      </x:c>
      <x:c r="C57" s="39" t="str">
        <x:v>分派</x:v>
      </x:c>
      <x:c r="D57" s="39" t="str">
        <x:v>单据类型</x:v>
      </x:c>
      <x:c r="E57" s="39" t="str">
        <x:v>计算</x:v>
      </x:c>
      <x:c r="F57" s="39" t="str">
        <x:v>是</x:v>
      </x:c>
      <x:c r="G57" s="39" t="str">
        <x:v>系统判定SR或完工单</x:v>
      </x:c>
      <x:c r="H57" s="39" t="str">
        <x:v>原型/材料已定义</x:v>
      </x:c>
      <x:c r="I57" s="39" t="str">
        <x:v>当前原型或原有需求材料</x:v>
      </x:c>
    </x:row>
    <x:row r="58" ht="34" customHeight="1">
      <x:c r="A58" s="39" t="str">
        <x:v>分派与调度</x:v>
      </x:c>
      <x:c r="B58" s="39" t="str">
        <x:v>分派中心/分派弹窗</x:v>
      </x:c>
      <x:c r="C58" s="39" t="str">
        <x:v>分派</x:v>
      </x:c>
      <x:c r="D58" s="39" t="str">
        <x:v>派工备注</x:v>
      </x:c>
      <x:c r="E58" s="39" t="str">
        <x:v>多行文本</x:v>
      </x:c>
      <x:c r="F58" s="39" t="str">
        <x:v>否</x:v>
      </x:c>
      <x:c r="G58" s="39" t="str">
        <x:v>现场说明</x:v>
      </x:c>
      <x:c r="H58" s="39" t="str">
        <x:v>原型/材料已定义</x:v>
      </x:c>
      <x:c r="I58" s="39" t="str">
        <x:v>当前原型或原有需求材料</x:v>
      </x:c>
    </x:row>
    <x:row r="59" ht="34" customHeight="1">
      <x:c r="A59" s="39" t="str">
        <x:v>分派与调度</x:v>
      </x:c>
      <x:c r="B59" s="39" t="str">
        <x:v>分派中心/分派弹窗</x:v>
      </x:c>
      <x:c r="C59" s="39" t="str">
        <x:v>记录</x:v>
      </x:c>
      <x:c r="D59" s="39" t="str">
        <x:v>分派历史</x:v>
      </x:c>
      <x:c r="E59" s="39" t="str">
        <x:v>记录</x:v>
      </x:c>
      <x:c r="F59" s="39" t="str">
        <x:v>否</x:v>
      </x:c>
      <x:c r="G59" s="39" t="str">
        <x:v>首次分派/改派日志</x:v>
      </x:c>
      <x:c r="H59" s="39" t="str">
        <x:v>原型/材料已定义</x:v>
      </x:c>
      <x:c r="I59" s="39" t="str">
        <x:v>当前原型或原有需求材料</x:v>
      </x:c>
    </x:row>
    <x:row r="60" ht="34" customHeight="1">
      <x:c r="A60" s="39" t="str">
        <x:v>分派与调度</x:v>
      </x:c>
      <x:c r="B60" s="39" t="str">
        <x:v>分派申请审批</x:v>
      </x:c>
      <x:c r="C60" s="39" t="str">
        <x:v>申请</x:v>
      </x:c>
      <x:c r="D60" s="39" t="str">
        <x:v>任务编号</x:v>
      </x:c>
      <x:c r="E60" s="39" t="str">
        <x:v>文本</x:v>
      </x:c>
      <x:c r="F60" s="39" t="str">
        <x:v>是</x:v>
      </x:c>
      <x:c r="G60" s="39" t="str">
        <x:v>关联任务</x:v>
      </x:c>
      <x:c r="H60" s="39" t="str">
        <x:v>原型/材料已定义</x:v>
      </x:c>
      <x:c r="I60" s="39" t="str">
        <x:v>当前原型或原有需求材料</x:v>
      </x:c>
    </x:row>
    <x:row r="61" ht="34" customHeight="1">
      <x:c r="A61" s="39" t="str">
        <x:v>分派与调度</x:v>
      </x:c>
      <x:c r="B61" s="39" t="str">
        <x:v>分派申请审批</x:v>
      </x:c>
      <x:c r="C61" s="39" t="str">
        <x:v>申请</x:v>
      </x:c>
      <x:c r="D61" s="39" t="str">
        <x:v>申请师傅</x:v>
      </x:c>
      <x:c r="E61" s="39" t="str">
        <x:v>人员</x:v>
      </x:c>
      <x:c r="F61" s="39" t="str">
        <x:v>是</x:v>
      </x:c>
      <x:c r="G61" s="39" t="str">
        <x:v>申请人</x:v>
      </x:c>
      <x:c r="H61" s="39" t="str">
        <x:v>原型/材料已定义</x:v>
      </x:c>
      <x:c r="I61" s="39" t="str">
        <x:v>当前原型或原有需求材料</x:v>
      </x:c>
    </x:row>
    <x:row r="62" ht="34" customHeight="1">
      <x:c r="A62" s="39" t="str">
        <x:v>分派与调度</x:v>
      </x:c>
      <x:c r="B62" s="39" t="str">
        <x:v>分派申请审批</x:v>
      </x:c>
      <x:c r="C62" s="39" t="str">
        <x:v>申请</x:v>
      </x:c>
      <x:c r="D62" s="39" t="str">
        <x:v>申请时间</x:v>
      </x:c>
      <x:c r="E62" s="39" t="str">
        <x:v>日期时间</x:v>
      </x:c>
      <x:c r="F62" s="39" t="str">
        <x:v>是</x:v>
      </x:c>
      <x:c r="G62" s="39" t="str">
        <x:v>系统记录</x:v>
      </x:c>
      <x:c r="H62" s="39" t="str">
        <x:v>原型/材料已定义</x:v>
      </x:c>
      <x:c r="I62" s="39" t="str">
        <x:v>当前原型或原有需求材料</x:v>
      </x:c>
    </x:row>
    <x:row r="63" ht="34" customHeight="1">
      <x:c r="A63" s="39" t="str">
        <x:v>分派与调度</x:v>
      </x:c>
      <x:c r="B63" s="39" t="str">
        <x:v>分派申请审批</x:v>
      </x:c>
      <x:c r="C63" s="39" t="str">
        <x:v>审批</x:v>
      </x:c>
      <x:c r="D63" s="39" t="str">
        <x:v>审批结果</x:v>
      </x:c>
      <x:c r="E63" s="39" t="str">
        <x:v>枚举</x:v>
      </x:c>
      <x:c r="F63" s="39" t="str">
        <x:v>是</x:v>
      </x:c>
      <x:c r="G63" s="39" t="str">
        <x:v>通过/不通过</x:v>
      </x:c>
      <x:c r="H63" s="39" t="str">
        <x:v>原型/材料已定义</x:v>
      </x:c>
      <x:c r="I63" s="39" t="str">
        <x:v>当前原型或原有需求材料</x:v>
      </x:c>
    </x:row>
    <x:row r="64" ht="34" customHeight="1">
      <x:c r="A64" s="39" t="str">
        <x:v>分派与调度</x:v>
      </x:c>
      <x:c r="B64" s="39" t="str">
        <x:v>分派申请审批</x:v>
      </x:c>
      <x:c r="C64" s="39" t="str">
        <x:v>审批</x:v>
      </x:c>
      <x:c r="D64" s="39" t="str">
        <x:v>审批意见</x:v>
      </x:c>
      <x:c r="E64" s="39" t="str">
        <x:v>多行文本</x:v>
      </x:c>
      <x:c r="F64" s="39" t="str">
        <x:v>条件必填</x:v>
      </x:c>
      <x:c r="G64" s="39" t="str">
        <x:v>不通过说明原因</x:v>
      </x:c>
      <x:c r="H64" s="39" t="str">
        <x:v>原型/材料已定义</x:v>
      </x:c>
      <x:c r="I64" s="39" t="str">
        <x:v>当前原型或原有需求材料</x:v>
      </x:c>
    </x:row>
    <x:row r="65" ht="34" customHeight="1">
      <x:c r="A65" s="39" t="str">
        <x:v>移动端现场执行</x:v>
      </x:c>
      <x:c r="B65" s="39" t="str">
        <x:v>师傅首页/CALL列表/详情</x:v>
      </x:c>
      <x:c r="C65" s="39" t="str">
        <x:v>列表</x:v>
      </x:c>
      <x:c r="D65" s="39" t="str">
        <x:v>CALL编号/状态</x:v>
      </x:c>
      <x:c r="E65" s="39" t="str">
        <x:v>文本/状态</x:v>
      </x:c>
      <x:c r="F65" s="39" t="str">
        <x:v>是</x:v>
      </x:c>
      <x:c r="G65" s="39" t="str">
        <x:v>本人授权任务</x:v>
      </x:c>
      <x:c r="H65" s="39" t="str">
        <x:v>原型/材料已定义</x:v>
      </x:c>
      <x:c r="I65" s="39" t="str">
        <x:v>当前原型或原有需求材料</x:v>
      </x:c>
    </x:row>
    <x:row r="66" ht="34" customHeight="1">
      <x:c r="A66" s="39" t="str">
        <x:v>移动端现场执行</x:v>
      </x:c>
      <x:c r="B66" s="39" t="str">
        <x:v>师傅首页/CALL列表/详情</x:v>
      </x:c>
      <x:c r="C66" s="39" t="str">
        <x:v>列表</x:v>
      </x:c>
      <x:c r="D66" s="39" t="str">
        <x:v>客户/区域/地址</x:v>
      </x:c>
      <x:c r="E66" s="39" t="str">
        <x:v>文本</x:v>
      </x:c>
      <x:c r="F66" s="39" t="str">
        <x:v>是</x:v>
      </x:c>
      <x:c r="G66" s="39" t="str">
        <x:v>现场信息</x:v>
      </x:c>
      <x:c r="H66" s="39" t="str">
        <x:v>原型/材料已定义</x:v>
      </x:c>
      <x:c r="I66" s="39" t="str">
        <x:v>当前原型或原有需求材料</x:v>
      </x:c>
    </x:row>
    <x:row r="67" ht="34" customHeight="1">
      <x:c r="A67" s="39" t="str">
        <x:v>移动端现场执行</x:v>
      </x:c>
      <x:c r="B67" s="39" t="str">
        <x:v>师傅首页/CALL列表/详情</x:v>
      </x:c>
      <x:c r="C67" s="39" t="str">
        <x:v>列表</x:v>
      </x:c>
      <x:c r="D67" s="39" t="str">
        <x:v>类型/优先级</x:v>
      </x:c>
      <x:c r="E67" s="39" t="str">
        <x:v>枚举</x:v>
      </x:c>
      <x:c r="F67" s="39" t="str">
        <x:v>是</x:v>
      </x:c>
      <x:c r="G67" s="39" t="str">
        <x:v>用于排序</x:v>
      </x:c>
      <x:c r="H67" s="39" t="str">
        <x:v>原型/材料已定义</x:v>
      </x:c>
      <x:c r="I67" s="39" t="str">
        <x:v>当前原型或原有需求材料</x:v>
      </x:c>
    </x:row>
    <x:row r="68" ht="34" customHeight="1">
      <x:c r="A68" s="39" t="str">
        <x:v>移动端现场执行</x:v>
      </x:c>
      <x:c r="B68" s="39" t="str">
        <x:v>师傅首页/CALL列表/详情</x:v>
      </x:c>
      <x:c r="C68" s="39" t="str">
        <x:v>详情</x:v>
      </x:c>
      <x:c r="D68" s="39" t="str">
        <x:v>问题描述/附件</x:v>
      </x:c>
      <x:c r="E68" s="39" t="str">
        <x:v>文本/附件</x:v>
      </x:c>
      <x:c r="F68" s="39" t="str">
        <x:v>是</x:v>
      </x:c>
      <x:c r="G68" s="39" t="str">
        <x:v>服务内容</x:v>
      </x:c>
      <x:c r="H68" s="39" t="str">
        <x:v>原型/材料已定义</x:v>
      </x:c>
      <x:c r="I68" s="39" t="str">
        <x:v>当前原型或原有需求材料</x:v>
      </x:c>
    </x:row>
    <x:row r="69" ht="34" customHeight="1">
      <x:c r="A69" s="39" t="str">
        <x:v>移动端现场执行</x:v>
      </x:c>
      <x:c r="B69" s="39" t="str">
        <x:v>师傅首页/CALL列表/详情</x:v>
      </x:c>
      <x:c r="C69" s="39" t="str">
        <x:v>操作</x:v>
      </x:c>
      <x:c r="D69" s="39" t="str">
        <x:v>接单/拒单</x:v>
      </x:c>
      <x:c r="E69" s="39" t="str">
        <x:v>操作</x:v>
      </x:c>
      <x:c r="F69" s="39" t="str">
        <x:v>条件</x:v>
      </x:c>
      <x:c r="G69" s="39" t="str">
        <x:v>拒单需填写原因</x:v>
      </x:c>
      <x:c r="H69" s="39" t="str">
        <x:v>原型/材料已定义</x:v>
      </x:c>
      <x:c r="I69" s="39" t="str">
        <x:v>当前原型或原有需求材料</x:v>
      </x:c>
    </x:row>
    <x:row r="70" ht="34" customHeight="1">
      <x:c r="A70" s="39" t="str">
        <x:v>移动端现场执行</x:v>
      </x:c>
      <x:c r="B70" s="39" t="str">
        <x:v>师傅首页/CALL列表/详情</x:v>
      </x:c>
      <x:c r="C70" s="39" t="str">
        <x:v>操作</x:v>
      </x:c>
      <x:c r="D70" s="39" t="str">
        <x:v>预计到场/开始时间</x:v>
      </x:c>
      <x:c r="E70" s="39" t="str">
        <x:v>日期时间</x:v>
      </x:c>
      <x:c r="F70" s="39" t="str">
        <x:v>条件</x:v>
      </x:c>
      <x:c r="G70" s="39" t="str">
        <x:v>关键节点记录</x:v>
      </x:c>
      <x:c r="H70" s="39" t="str">
        <x:v>原型/材料已定义</x:v>
      </x:c>
      <x:c r="I70" s="39" t="str">
        <x:v>当前原型或原有需求材料</x:v>
      </x:c>
    </x:row>
    <x:row r="71" ht="34" customHeight="1">
      <x:c r="A71" s="39" t="str">
        <x:v>移动端现场执行</x:v>
      </x:c>
      <x:c r="B71" s="39" t="str">
        <x:v>现场处理/服务报告</x:v>
      </x:c>
      <x:c r="C71" s="39" t="str">
        <x:v>签到</x:v>
      </x:c>
      <x:c r="D71" s="39" t="str">
        <x:v>到场时间</x:v>
      </x:c>
      <x:c r="E71" s="39" t="str">
        <x:v>日期时间</x:v>
      </x:c>
      <x:c r="F71" s="39" t="str">
        <x:v>是</x:v>
      </x:c>
      <x:c r="G71" s="39" t="str">
        <x:v>打卡时自动记录</x:v>
      </x:c>
      <x:c r="H71" s="39" t="str">
        <x:v>原型/材料已定义</x:v>
      </x:c>
      <x:c r="I71" s="39" t="str">
        <x:v>当前原型或原有需求材料</x:v>
      </x:c>
    </x:row>
    <x:row r="72" ht="34" customHeight="1">
      <x:c r="A72" s="39" t="str">
        <x:v>移动端现场执行</x:v>
      </x:c>
      <x:c r="B72" s="39" t="str">
        <x:v>现场处理/服务报告</x:v>
      </x:c>
      <x:c r="C72" s="39" t="str">
        <x:v>签到</x:v>
      </x:c>
      <x:c r="D72" s="39" t="str">
        <x:v>位置说明</x:v>
      </x:c>
      <x:c r="E72" s="39" t="str">
        <x:v>文本</x:v>
      </x:c>
      <x:c r="F72" s="39" t="str">
        <x:v>否</x:v>
      </x:c>
      <x:c r="G72" s="39" t="str">
        <x:v>真实定位需POC</x:v>
      </x:c>
      <x:c r="H72" s="39" t="str">
        <x:v>原型/材料已定义</x:v>
      </x:c>
      <x:c r="I72" s="39" t="str">
        <x:v>当前原型或原有需求材料</x:v>
      </x:c>
    </x:row>
    <x:row r="73" ht="34" customHeight="1">
      <x:c r="A73" s="39" t="str">
        <x:v>移动端现场执行</x:v>
      </x:c>
      <x:c r="B73" s="39" t="str">
        <x:v>现场处理/服务报告</x:v>
      </x:c>
      <x:c r="C73" s="39" t="str">
        <x:v>报告</x:v>
      </x:c>
      <x:c r="D73" s="39" t="str">
        <x:v>SR编号</x:v>
      </x:c>
      <x:c r="E73" s="39" t="str">
        <x:v>文本</x:v>
      </x:c>
      <x:c r="F73" s="39" t="str">
        <x:v>条件</x:v>
      </x:c>
      <x:c r="G73" s="39" t="str">
        <x:v>服务报告编号规则</x:v>
      </x:c>
      <x:c r="H73" s="39" t="str">
        <x:v>原型/材料已定义</x:v>
      </x:c>
      <x:c r="I73" s="39" t="str">
        <x:v>当前原型或原有需求材料</x:v>
      </x:c>
    </x:row>
    <x:row r="74" ht="34" customHeight="1">
      <x:c r="A74" s="39" t="str">
        <x:v>移动端现场执行</x:v>
      </x:c>
      <x:c r="B74" s="39" t="str">
        <x:v>现场处理/服务报告</x:v>
      </x:c>
      <x:c r="C74" s="39" t="str">
        <x:v>报告</x:v>
      </x:c>
      <x:c r="D74" s="39" t="str">
        <x:v>系统/设备</x:v>
      </x:c>
      <x:c r="E74" s="39" t="str">
        <x:v>文本</x:v>
      </x:c>
      <x:c r="F74" s="39" t="str">
        <x:v>否</x:v>
      </x:c>
      <x:c r="G74" s="39" t="str">
        <x:v>服务对象</x:v>
      </x:c>
      <x:c r="H74" s="39" t="str">
        <x:v>原型/材料已定义</x:v>
      </x:c>
      <x:c r="I74" s="39" t="str">
        <x:v>当前原型或原有需求材料</x:v>
      </x:c>
    </x:row>
    <x:row r="75" ht="34" customHeight="1">
      <x:c r="A75" s="39" t="str">
        <x:v>移动端现场执行</x:v>
      </x:c>
      <x:c r="B75" s="39" t="str">
        <x:v>现场处理/服务报告</x:v>
      </x:c>
      <x:c r="C75" s="39" t="str">
        <x:v>报告</x:v>
      </x:c>
      <x:c r="D75" s="39" t="str">
        <x:v>服务目的</x:v>
      </x:c>
      <x:c r="E75" s="39" t="str">
        <x:v>多行文本</x:v>
      </x:c>
      <x:c r="F75" s="39" t="str">
        <x:v>是</x:v>
      </x:c>
      <x:c r="G75" s="39" t="str">
        <x:v>本次目的</x:v>
      </x:c>
      <x:c r="H75" s="39" t="str">
        <x:v>原型/材料已定义</x:v>
      </x:c>
      <x:c r="I75" s="39" t="str">
        <x:v>当前原型或原有需求材料</x:v>
      </x:c>
    </x:row>
    <x:row r="76" ht="34" customHeight="1">
      <x:c r="A76" s="39" t="str">
        <x:v>移动端现场执行</x:v>
      </x:c>
      <x:c r="B76" s="39" t="str">
        <x:v>现场处理/服务报告</x:v>
      </x:c>
      <x:c r="C76" s="39" t="str">
        <x:v>报告</x:v>
      </x:c>
      <x:c r="D76" s="39" t="str">
        <x:v>完成工作</x:v>
      </x:c>
      <x:c r="E76" s="39" t="str">
        <x:v>多行文本</x:v>
      </x:c>
      <x:c r="F76" s="39" t="str">
        <x:v>是</x:v>
      </x:c>
      <x:c r="G76" s="39" t="str">
        <x:v>处理结果</x:v>
      </x:c>
      <x:c r="H76" s="39" t="str">
        <x:v>原型/材料已定义</x:v>
      </x:c>
      <x:c r="I76" s="39" t="str">
        <x:v>当前原型或原有需求材料</x:v>
      </x:c>
    </x:row>
    <x:row r="77" ht="34" customHeight="1">
      <x:c r="A77" s="39" t="str">
        <x:v>移动端现场执行</x:v>
      </x:c>
      <x:c r="B77" s="39" t="str">
        <x:v>现场处理/服务报告</x:v>
      </x:c>
      <x:c r="C77" s="39" t="str">
        <x:v>报告</x:v>
      </x:c>
      <x:c r="D77" s="39" t="str">
        <x:v>跟进事项</x:v>
      </x:c>
      <x:c r="E77" s="39" t="str">
        <x:v>多行文本</x:v>
      </x:c>
      <x:c r="F77" s="39" t="str">
        <x:v>否</x:v>
      </x:c>
      <x:c r="G77" s="39" t="str">
        <x:v>未解决事项</x:v>
      </x:c>
      <x:c r="H77" s="39" t="str">
        <x:v>原型/材料已定义</x:v>
      </x:c>
      <x:c r="I77" s="39" t="str">
        <x:v>当前原型或原有需求材料</x:v>
      </x:c>
    </x:row>
    <x:row r="78" ht="34" customHeight="1">
      <x:c r="A78" s="39" t="str">
        <x:v>移动端现场执行</x:v>
      </x:c>
      <x:c r="B78" s="39" t="str">
        <x:v>现场处理/服务报告</x:v>
      </x:c>
      <x:c r="C78" s="39" t="str">
        <x:v>照片</x:v>
      </x:c>
      <x:c r="D78" s="39" t="str">
        <x:v>Before照片</x:v>
      </x:c>
      <x:c r="E78" s="39" t="str">
        <x:v>图片</x:v>
      </x:c>
      <x:c r="F78" s="39" t="str">
        <x:v>条件必填</x:v>
      </x:c>
      <x:c r="G78" s="39" t="str">
        <x:v>不可拍照客户可豁免</x:v>
      </x:c>
      <x:c r="H78" s="39" t="str">
        <x:v>原型/材料已定义</x:v>
      </x:c>
      <x:c r="I78" s="39" t="str">
        <x:v>当前原型或原有需求材料</x:v>
      </x:c>
    </x:row>
    <x:row r="79" ht="34" customHeight="1">
      <x:c r="A79" s="39" t="str">
        <x:v>移动端现场执行</x:v>
      </x:c>
      <x:c r="B79" s="39" t="str">
        <x:v>现场处理/服务报告</x:v>
      </x:c>
      <x:c r="C79" s="39" t="str">
        <x:v>照片</x:v>
      </x:c>
      <x:c r="D79" s="39" t="str">
        <x:v>After照片</x:v>
      </x:c>
      <x:c r="E79" s="39" t="str">
        <x:v>图片</x:v>
      </x:c>
      <x:c r="F79" s="39" t="str">
        <x:v>条件必填</x:v>
      </x:c>
      <x:c r="G79" s="39" t="str">
        <x:v>不可拍照客户可豁免</x:v>
      </x:c>
      <x:c r="H79" s="39" t="str">
        <x:v>原型/材料已定义</x:v>
      </x:c>
      <x:c r="I79" s="39" t="str">
        <x:v>当前原型或原有需求材料</x:v>
      </x:c>
    </x:row>
    <x:row r="80" ht="34" customHeight="1">
      <x:c r="A80" s="39" t="str">
        <x:v>移动端现场执行</x:v>
      </x:c>
      <x:c r="B80" s="39" t="str">
        <x:v>现场处理/服务报告</x:v>
      </x:c>
      <x:c r="C80" s="39" t="str">
        <x:v>费用</x:v>
      </x:c>
      <x:c r="D80" s="39" t="str">
        <x:v>车资/材料记录</x:v>
      </x:c>
      <x:c r="E80" s="39" t="str">
        <x:v>数字/明细</x:v>
      </x:c>
      <x:c r="F80" s="39" t="str">
        <x:v>否</x:v>
      </x:c>
      <x:c r="G80" s="39" t="str">
        <x:v>关联现场支出</x:v>
      </x:c>
      <x:c r="H80" s="39" t="str">
        <x:v>原型/材料已定义</x:v>
      </x:c>
      <x:c r="I80" s="39" t="str">
        <x:v>当前原型或原有需求材料</x:v>
      </x:c>
    </x:row>
    <x:row r="81" ht="34" customHeight="1">
      <x:c r="A81" s="39" t="str">
        <x:v>移动端现场执行</x:v>
      </x:c>
      <x:c r="B81" s="39" t="str">
        <x:v>现场处理/服务报告</x:v>
      </x:c>
      <x:c r="C81" s="39" t="str">
        <x:v>报价</x:v>
      </x:c>
      <x:c r="D81" s="39" t="str">
        <x:v>是否需要报价</x:v>
      </x:c>
      <x:c r="E81" s="39" t="str">
        <x:v>布尔</x:v>
      </x:c>
      <x:c r="F81" s="39" t="str">
        <x:v>是</x:v>
      </x:c>
      <x:c r="G81" s="39" t="str">
        <x:v>可触发后补报价</x:v>
      </x:c>
      <x:c r="H81" s="39" t="str">
        <x:v>原型/材料已定义</x:v>
      </x:c>
      <x:c r="I81" s="39" t="str">
        <x:v>当前原型或原有需求材料</x:v>
      </x:c>
    </x:row>
    <x:row r="82" ht="34" customHeight="1">
      <x:c r="A82" s="39" t="str">
        <x:v>移动端现场执行</x:v>
      </x:c>
      <x:c r="B82" s="39" t="str">
        <x:v>现场处理/服务报告</x:v>
      </x:c>
      <x:c r="C82" s="39" t="str">
        <x:v>附件</x:v>
      </x:c>
      <x:c r="D82" s="39" t="str">
        <x:v>其他附件</x:v>
      </x:c>
      <x:c r="E82" s="39" t="str">
        <x:v>附件</x:v>
      </x:c>
      <x:c r="F82" s="39" t="str">
        <x:v>否</x:v>
      </x:c>
      <x:c r="G82" s="39" t="str">
        <x:v>现场资料</x:v>
      </x:c>
      <x:c r="H82" s="39" t="str">
        <x:v>原型/材料已定义</x:v>
      </x:c>
      <x:c r="I82" s="39" t="str">
        <x:v>当前原型或原有需求材料</x:v>
      </x:c>
    </x:row>
    <x:row r="83" ht="34" customHeight="1">
      <x:c r="A83" s="39" t="str">
        <x:v>移动端现场执行</x:v>
      </x:c>
      <x:c r="B83" s="39" t="str">
        <x:v>完工单与客户确认</x:v>
      </x:c>
      <x:c r="C83" s="39" t="str">
        <x:v>完工单</x:v>
      </x:c>
      <x:c r="D83" s="39" t="str">
        <x:v>完工单编号</x:v>
      </x:c>
      <x:c r="E83" s="39" t="str">
        <x:v>文本</x:v>
      </x:c>
      <x:c r="F83" s="39" t="str">
        <x:v>条件</x:v>
      </x:c>
      <x:c r="G83" s="39" t="str">
        <x:v>按单据规则生成/填写</x:v>
      </x:c>
      <x:c r="H83" s="39" t="str">
        <x:v>原型/材料已定义</x:v>
      </x:c>
      <x:c r="I83" s="39" t="str">
        <x:v>当前原型或原有需求材料</x:v>
      </x:c>
    </x:row>
    <x:row r="84" ht="34" customHeight="1">
      <x:c r="A84" s="39" t="str">
        <x:v>移动端现场执行</x:v>
      </x:c>
      <x:c r="B84" s="39" t="str">
        <x:v>完工单与客户确认</x:v>
      </x:c>
      <x:c r="C84" s="39" t="str">
        <x:v>完工单</x:v>
      </x:c>
      <x:c r="D84" s="39" t="str">
        <x:v>完工内容</x:v>
      </x:c>
      <x:c r="E84" s="39" t="str">
        <x:v>多行文本</x:v>
      </x:c>
      <x:c r="F84" s="39" t="str">
        <x:v>是</x:v>
      </x:c>
      <x:c r="G84" s="39" t="str">
        <x:v>本次完成事项</x:v>
      </x:c>
      <x:c r="H84" s="39" t="str">
        <x:v>原型/材料已定义</x:v>
      </x:c>
      <x:c r="I84" s="39" t="str">
        <x:v>当前原型或原有需求材料</x:v>
      </x:c>
    </x:row>
    <x:row r="85" ht="34" customHeight="1">
      <x:c r="A85" s="39" t="str">
        <x:v>移动端现场执行</x:v>
      </x:c>
      <x:c r="B85" s="39" t="str">
        <x:v>完工单与客户确认</x:v>
      </x:c>
      <x:c r="C85" s="39" t="str">
        <x:v>材料</x:v>
      </x:c>
      <x:c r="D85" s="39" t="str">
        <x:v>材料明细</x:v>
      </x:c>
      <x:c r="E85" s="39" t="str">
        <x:v>明细表</x:v>
      </x:c>
      <x:c r="F85" s="39" t="str">
        <x:v>否</x:v>
      </x:c>
      <x:c r="G85" s="39" t="str">
        <x:v>物料、数量、备注</x:v>
      </x:c>
      <x:c r="H85" s="39" t="str">
        <x:v>原型/材料已定义</x:v>
      </x:c>
      <x:c r="I85" s="39" t="str">
        <x:v>当前原型或原有需求材料</x:v>
      </x:c>
    </x:row>
    <x:row r="86" ht="34" customHeight="1">
      <x:c r="A86" s="39" t="str">
        <x:v>移动端现场执行</x:v>
      </x:c>
      <x:c r="B86" s="39" t="str">
        <x:v>完工单与客户确认</x:v>
      </x:c>
      <x:c r="C86" s="39" t="str">
        <x:v>客户确认</x:v>
      </x:c>
      <x:c r="D86" s="39" t="str">
        <x:v>满意度</x:v>
      </x:c>
      <x:c r="E86" s="39" t="str">
        <x:v>评分</x:v>
      </x:c>
      <x:c r="F86" s="39" t="str">
        <x:v>否</x:v>
      </x:c>
      <x:c r="G86" s="39" t="str">
        <x:v>客户评价</x:v>
      </x:c>
      <x:c r="H86" s="39" t="str">
        <x:v>原型/材料已定义</x:v>
      </x:c>
      <x:c r="I86" s="39" t="str">
        <x:v>当前原型或原有需求材料</x:v>
      </x:c>
    </x:row>
    <x:row r="87" ht="34" customHeight="1">
      <x:c r="A87" s="39" t="str">
        <x:v>移动端现场执行</x:v>
      </x:c>
      <x:c r="B87" s="39" t="str">
        <x:v>完工单与客户确认</x:v>
      </x:c>
      <x:c r="C87" s="39" t="str">
        <x:v>客户确认</x:v>
      </x:c>
      <x:c r="D87" s="39" t="str">
        <x:v>电子签名</x:v>
      </x:c>
      <x:c r="E87" s="39" t="str">
        <x:v>签名</x:v>
      </x:c>
      <x:c r="F87" s="39" t="str">
        <x:v>条件</x:v>
      </x:c>
      <x:c r="G87" s="39" t="str">
        <x:v>或选择客户不在场</x:v>
      </x:c>
      <x:c r="H87" s="39" t="str">
        <x:v>原型/材料已定义</x:v>
      </x:c>
      <x:c r="I87" s="39" t="str">
        <x:v>当前原型或原有需求材料</x:v>
      </x:c>
    </x:row>
    <x:row r="88" ht="34" customHeight="1">
      <x:c r="A88" s="39" t="str">
        <x:v>移动端现场执行</x:v>
      </x:c>
      <x:c r="B88" s="39" t="str">
        <x:v>完工单与客户确认</x:v>
      </x:c>
      <x:c r="C88" s="39" t="str">
        <x:v>客户确认</x:v>
      </x:c>
      <x:c r="D88" s="39" t="str">
        <x:v>客户不在场</x:v>
      </x:c>
      <x:c r="E88" s="39" t="str">
        <x:v>布尔</x:v>
      </x:c>
      <x:c r="F88" s="39" t="str">
        <x:v>否</x:v>
      </x:c>
      <x:c r="G88" s="39" t="str">
        <x:v>触发签名豁免</x:v>
      </x:c>
      <x:c r="H88" s="39" t="str">
        <x:v>原型/材料已定义</x:v>
      </x:c>
      <x:c r="I88" s="39" t="str">
        <x:v>当前原型或原有需求材料</x:v>
      </x:c>
    </x:row>
    <x:row r="89" ht="34" customHeight="1">
      <x:c r="A89" s="39" t="str">
        <x:v>移动端现场执行</x:v>
      </x:c>
      <x:c r="B89" s="39" t="str">
        <x:v>完工单与客户确认</x:v>
      </x:c>
      <x:c r="C89" s="39" t="str">
        <x:v>附件</x:v>
      </x:c>
      <x:c r="D89" s="39" t="str">
        <x:v>完工照片/纸质单照片</x:v>
      </x:c>
      <x:c r="E89" s="39" t="str">
        <x:v>图片</x:v>
      </x:c>
      <x:c r="F89" s="39" t="str">
        <x:v>条件</x:v>
      </x:c>
      <x:c r="G89" s="39" t="str">
        <x:v>按客户规则校验</x:v>
      </x:c>
      <x:c r="H89" s="39" t="str">
        <x:v>原型/材料已定义</x:v>
      </x:c>
      <x:c r="I89" s="39" t="str">
        <x:v>当前原型或原有需求材料</x:v>
      </x:c>
    </x:row>
    <x:row r="90" ht="34" customHeight="1">
      <x:c r="A90" s="39" t="str">
        <x:v>移动端现场执行</x:v>
      </x:c>
      <x:c r="B90" s="39" t="str">
        <x:v>完工单与客户确认</x:v>
      </x:c>
      <x:c r="C90" s="39" t="str">
        <x:v>提交</x:v>
      </x:c>
      <x:c r="D90" s="39" t="str">
        <x:v>提交备注</x:v>
      </x:c>
      <x:c r="E90" s="39" t="str">
        <x:v>多行文本</x:v>
      </x:c>
      <x:c r="F90" s="39" t="str">
        <x:v>否</x:v>
      </x:c>
      <x:c r="G90" s="39" t="str">
        <x:v>提交说明</x:v>
      </x:c>
      <x:c r="H90" s="39" t="str">
        <x:v>原型/材料已定义</x:v>
      </x:c>
      <x:c r="I90" s="39" t="str">
        <x:v>当前原型或原有需求材料</x:v>
      </x:c>
    </x:row>
    <x:row r="91" ht="34" customHeight="1">
      <x:c r="A91" s="39" t="str">
        <x:v>报告与文档</x:v>
      </x:c>
      <x:c r="B91" s="39" t="str">
        <x:v>报告管理/发送</x:v>
      </x:c>
      <x:c r="C91" s="39" t="str">
        <x:v>筛选</x:v>
      </x:c>
      <x:c r="D91" s="39" t="str">
        <x:v>报告类型/状态</x:v>
      </x:c>
      <x:c r="E91" s="39" t="str">
        <x:v>枚举</x:v>
      </x:c>
      <x:c r="F91" s="39" t="str">
        <x:v>否</x:v>
      </x:c>
      <x:c r="G91" s="39" t="str">
        <x:v>SR/完工单</x:v>
      </x:c>
      <x:c r="H91" s="39" t="str">
        <x:v>原型/材料已定义</x:v>
      </x:c>
      <x:c r="I91" s="39" t="str">
        <x:v>当前原型或原有需求材料</x:v>
      </x:c>
    </x:row>
    <x:row r="92" ht="34" customHeight="1">
      <x:c r="A92" s="39" t="str">
        <x:v>报告与文档</x:v>
      </x:c>
      <x:c r="B92" s="39" t="str">
        <x:v>报告管理/发送</x:v>
      </x:c>
      <x:c r="C92" s="39" t="str">
        <x:v>筛选</x:v>
      </x:c>
      <x:c r="D92" s="39" t="str">
        <x:v>编号/客户/区域/内容</x:v>
      </x:c>
      <x:c r="E92" s="39" t="str">
        <x:v>文本/选择</x:v>
      </x:c>
      <x:c r="F92" s="39" t="str">
        <x:v>否</x:v>
      </x:c>
      <x:c r="G92" s="39" t="str">
        <x:v>组合查询</x:v>
      </x:c>
      <x:c r="H92" s="39" t="str">
        <x:v>原型/材料已定义</x:v>
      </x:c>
      <x:c r="I92" s="39" t="str">
        <x:v>当前原型或原有需求材料</x:v>
      </x:c>
    </x:row>
    <x:row r="93" ht="34" customHeight="1">
      <x:c r="A93" s="39" t="str">
        <x:v>报告与文档</x:v>
      </x:c>
      <x:c r="B93" s="39" t="str">
        <x:v>报告管理/发送</x:v>
      </x:c>
      <x:c r="C93" s="39" t="str">
        <x:v>报告</x:v>
      </x:c>
      <x:c r="D93" s="39" t="str">
        <x:v>报告编号</x:v>
      </x:c>
      <x:c r="E93" s="39" t="str">
        <x:v>文本</x:v>
      </x:c>
      <x:c r="F93" s="39" t="str">
        <x:v>是</x:v>
      </x:c>
      <x:c r="G93" s="39" t="str">
        <x:v>唯一标识</x:v>
      </x:c>
      <x:c r="H93" s="39" t="str">
        <x:v>原型/材料已定义</x:v>
      </x:c>
      <x:c r="I93" s="39" t="str">
        <x:v>当前原型或原有需求材料</x:v>
      </x:c>
    </x:row>
    <x:row r="94" ht="34" customHeight="1">
      <x:c r="A94" s="39" t="str">
        <x:v>报告与文档</x:v>
      </x:c>
      <x:c r="B94" s="39" t="str">
        <x:v>报告管理/发送</x:v>
      </x:c>
      <x:c r="C94" s="39" t="str">
        <x:v>报告</x:v>
      </x:c>
      <x:c r="D94" s="39" t="str">
        <x:v>关联CALL</x:v>
      </x:c>
      <x:c r="E94" s="39" t="str">
        <x:v>关联</x:v>
      </x:c>
      <x:c r="F94" s="39" t="str">
        <x:v>是</x:v>
      </x:c>
      <x:c r="G94" s="39" t="str">
        <x:v>跳转详情</x:v>
      </x:c>
      <x:c r="H94" s="39" t="str">
        <x:v>原型/材料已定义</x:v>
      </x:c>
      <x:c r="I94" s="39" t="str">
        <x:v>当前原型或原有需求材料</x:v>
      </x:c>
    </x:row>
    <x:row r="95" ht="34" customHeight="1">
      <x:c r="A95" s="39" t="str">
        <x:v>报告与文档</x:v>
      </x:c>
      <x:c r="B95" s="39" t="str">
        <x:v>报告管理/发送</x:v>
      </x:c>
      <x:c r="C95" s="39" t="str">
        <x:v>报告</x:v>
      </x:c>
      <x:c r="D95" s="39" t="str">
        <x:v>客户/签名状态</x:v>
      </x:c>
      <x:c r="E95" s="39" t="str">
        <x:v>文本/状态</x:v>
      </x:c>
      <x:c r="F95" s="39" t="str">
        <x:v>是</x:v>
      </x:c>
      <x:c r="G95" s="39" t="str">
        <x:v>报告信息</x:v>
      </x:c>
      <x:c r="H95" s="39" t="str">
        <x:v>原型/材料已定义</x:v>
      </x:c>
      <x:c r="I95" s="39" t="str">
        <x:v>当前原型或原有需求材料</x:v>
      </x:c>
    </x:row>
    <x:row r="96" ht="34" customHeight="1">
      <x:c r="A96" s="39" t="str">
        <x:v>报告与文档</x:v>
      </x:c>
      <x:c r="B96" s="39" t="str">
        <x:v>报告管理/发送</x:v>
      </x:c>
      <x:c r="C96" s="39" t="str">
        <x:v>发送</x:v>
      </x:c>
      <x:c r="D96" s="39" t="str">
        <x:v>发送渠道</x:v>
      </x:c>
      <x:c r="E96" s="39" t="str">
        <x:v>枚举</x:v>
      </x:c>
      <x:c r="F96" s="39" t="str">
        <x:v>是</x:v>
      </x:c>
      <x:c r="G96" s="39" t="str">
        <x:v>Email/WhatsApp/系统内</x:v>
      </x:c>
      <x:c r="H96" s="39" t="str">
        <x:v>原型/材料已定义</x:v>
      </x:c>
      <x:c r="I96" s="39" t="str">
        <x:v>当前原型或原有需求材料</x:v>
      </x:c>
    </x:row>
    <x:row r="97" ht="34" customHeight="1">
      <x:c r="A97" s="39" t="str">
        <x:v>报告与文档</x:v>
      </x:c>
      <x:c r="B97" s="39" t="str">
        <x:v>报告管理/发送</x:v>
      </x:c>
      <x:c r="C97" s="39" t="str">
        <x:v>发送</x:v>
      </x:c>
      <x:c r="D97" s="39" t="str">
        <x:v>收件人</x:v>
      </x:c>
      <x:c r="E97" s="39" t="str">
        <x:v>文本</x:v>
      </x:c>
      <x:c r="F97" s="39" t="str">
        <x:v>是</x:v>
      </x:c>
      <x:c r="G97" s="39" t="str">
        <x:v>地址或号码</x:v>
      </x:c>
      <x:c r="H97" s="39" t="str">
        <x:v>原型/材料已定义</x:v>
      </x:c>
      <x:c r="I97" s="39" t="str">
        <x:v>当前原型或原有需求材料</x:v>
      </x:c>
    </x:row>
    <x:row r="98" ht="34" customHeight="1">
      <x:c r="A98" s="39" t="str">
        <x:v>报告与文档</x:v>
      </x:c>
      <x:c r="B98" s="39" t="str">
        <x:v>报告管理/发送</x:v>
      </x:c>
      <x:c r="C98" s="39" t="str">
        <x:v>发送</x:v>
      </x:c>
      <x:c r="D98" s="39" t="str">
        <x:v>发送时间/结果</x:v>
      </x:c>
      <x:c r="E98" s="39" t="str">
        <x:v>日期时间/状态</x:v>
      </x:c>
      <x:c r="F98" s="39" t="str">
        <x:v>是</x:v>
      </x:c>
      <x:c r="G98" s="39" t="str">
        <x:v>日志记录</x:v>
      </x:c>
      <x:c r="H98" s="39" t="str">
        <x:v>原型/材料已定义</x:v>
      </x:c>
      <x:c r="I98" s="39" t="str">
        <x:v>当前原型或原有需求材料</x:v>
      </x:c>
    </x:row>
    <x:row r="99" ht="34" customHeight="1">
      <x:c r="A99" s="39" t="str">
        <x:v>报价管理</x:v>
      </x:c>
      <x:c r="B99" s="39" t="str">
        <x:v>报价单/报价明细</x:v>
      </x:c>
      <x:c r="C99" s="39" t="str">
        <x:v>基本</x:v>
      </x:c>
      <x:c r="D99" s="39" t="str">
        <x:v>报价编号</x:v>
      </x:c>
      <x:c r="E99" s="39" t="str">
        <x:v>自动编号</x:v>
      </x:c>
      <x:c r="F99" s="39" t="str">
        <x:v>是</x:v>
      </x:c>
      <x:c r="G99" s="39" t="str">
        <x:v>类别/地区/流水规则</x:v>
      </x:c>
      <x:c r="H99" s="39" t="str">
        <x:v>原型/材料已定义</x:v>
      </x:c>
      <x:c r="I99" s="39" t="str">
        <x:v>当前原型或原有需求材料</x:v>
      </x:c>
    </x:row>
    <x:row r="100" ht="34" customHeight="1">
      <x:c r="A100" s="39" t="str">
        <x:v>报价管理</x:v>
      </x:c>
      <x:c r="B100" s="39" t="str">
        <x:v>报价单/报价明细</x:v>
      </x:c>
      <x:c r="C100" s="39" t="str">
        <x:v>基本</x:v>
      </x:c>
      <x:c r="D100" s="39" t="str">
        <x:v>报价标题/类别</x:v>
      </x:c>
      <x:c r="E100" s="39" t="str">
        <x:v>文本/字典</x:v>
      </x:c>
      <x:c r="F100" s="39" t="str">
        <x:v>是</x:v>
      </x:c>
      <x:c r="G100" s="39" t="str">
        <x:v>报价主题</x:v>
      </x:c>
      <x:c r="H100" s="39" t="str">
        <x:v>原型/材料已定义</x:v>
      </x:c>
      <x:c r="I100" s="39" t="str">
        <x:v>当前原型或原有需求材料</x:v>
      </x:c>
    </x:row>
    <x:row r="101" ht="34" customHeight="1">
      <x:c r="A101" s="39" t="str">
        <x:v>报价管理</x:v>
      </x:c>
      <x:c r="B101" s="39" t="str">
        <x:v>报价单/报价明细</x:v>
      </x:c>
      <x:c r="C101" s="39" t="str">
        <x:v>关联</x:v>
      </x:c>
      <x:c r="D101" s="39" t="str">
        <x:v>来源/CALL/SR/客户</x:v>
      </x:c>
      <x:c r="E101" s="39" t="str">
        <x:v>关联选择</x:v>
      </x:c>
      <x:c r="F101" s="39" t="str">
        <x:v>是</x:v>
      </x:c>
      <x:c r="G101" s="39" t="str">
        <x:v>业务来源</x:v>
      </x:c>
      <x:c r="H101" s="39" t="str">
        <x:v>原型/材料已定义</x:v>
      </x:c>
      <x:c r="I101" s="39" t="str">
        <x:v>当前原型或原有需求材料</x:v>
      </x:c>
    </x:row>
    <x:row r="102" ht="34" customHeight="1">
      <x:c r="A102" s="39" t="str">
        <x:v>报价管理</x:v>
      </x:c>
      <x:c r="B102" s="39" t="str">
        <x:v>报价单/报价明细</x:v>
      </x:c>
      <x:c r="C102" s="39" t="str">
        <x:v>人员</x:v>
      </x:c>
      <x:c r="D102" s="39" t="str">
        <x:v>报价负责人</x:v>
      </x:c>
      <x:c r="E102" s="39" t="str">
        <x:v>人员</x:v>
      </x:c>
      <x:c r="F102" s="39" t="str">
        <x:v>是</x:v>
      </x:c>
      <x:c r="G102" s="39" t="str">
        <x:v>报价组人员</x:v>
      </x:c>
      <x:c r="H102" s="39" t="str">
        <x:v>原型/材料已定义</x:v>
      </x:c>
      <x:c r="I102" s="39" t="str">
        <x:v>当前原型或原有需求材料</x:v>
      </x:c>
    </x:row>
    <x:row r="103" ht="34" customHeight="1">
      <x:c r="A103" s="39" t="str">
        <x:v>报价管理</x:v>
      </x:c>
      <x:c r="B103" s="39" t="str">
        <x:v>报价单/报价明细</x:v>
      </x:c>
      <x:c r="C103" s="39" t="str">
        <x:v>日期</x:v>
      </x:c>
      <x:c r="D103" s="39" t="str">
        <x:v>报价日期/回覆截止/有效期</x:v>
      </x:c>
      <x:c r="E103" s="39" t="str">
        <x:v>日期</x:v>
      </x:c>
      <x:c r="F103" s="39" t="str">
        <x:v>是</x:v>
      </x:c>
      <x:c r="G103" s="39" t="str">
        <x:v>期限控制</x:v>
      </x:c>
      <x:c r="H103" s="39" t="str">
        <x:v>原型/材料已定义</x:v>
      </x:c>
      <x:c r="I103" s="39" t="str">
        <x:v>当前原型或原有需求材料</x:v>
      </x:c>
    </x:row>
    <x:row r="104" ht="34" customHeight="1">
      <x:c r="A104" s="39" t="str">
        <x:v>报价管理</x:v>
      </x:c>
      <x:c r="B104" s="39" t="str">
        <x:v>报价单/报价明细</x:v>
      </x:c>
      <x:c r="C104" s="39" t="str">
        <x:v>明细</x:v>
      </x:c>
      <x:c r="D104" s="39" t="str">
        <x:v>物料/描述/数量/单位</x:v>
      </x:c>
      <x:c r="E104" s="39" t="str">
        <x:v>明细表</x:v>
      </x:c>
      <x:c r="F104" s="39" t="str">
        <x:v>是</x:v>
      </x:c>
      <x:c r="G104" s="39" t="str">
        <x:v>报价项目</x:v>
      </x:c>
      <x:c r="H104" s="39" t="str">
        <x:v>原型/材料已定义</x:v>
      </x:c>
      <x:c r="I104" s="39" t="str">
        <x:v>当前原型或原有需求材料</x:v>
      </x:c>
    </x:row>
    <x:row r="105" ht="34" customHeight="1">
      <x:c r="A105" s="39" t="str">
        <x:v>报价管理</x:v>
      </x:c>
      <x:c r="B105" s="39" t="str">
        <x:v>报价单/报价明细</x:v>
      </x:c>
      <x:c r="C105" s="39" t="str">
        <x:v>金额</x:v>
      </x:c>
      <x:c r="D105" s="39" t="str">
        <x:v>单价/税率/总金额</x:v>
      </x:c>
      <x:c r="E105" s="39" t="str">
        <x:v>数字</x:v>
      </x:c>
      <x:c r="F105" s="39" t="str">
        <x:v>是</x:v>
      </x:c>
      <x:c r="G105" s="39" t="str">
        <x:v>自动汇总</x:v>
      </x:c>
      <x:c r="H105" s="39" t="str">
        <x:v>原型/材料已定义</x:v>
      </x:c>
      <x:c r="I105" s="39" t="str">
        <x:v>当前原型或原有需求材料</x:v>
      </x:c>
    </x:row>
    <x:row r="106" ht="34" customHeight="1">
      <x:c r="A106" s="39" t="str">
        <x:v>报价管理</x:v>
      </x:c>
      <x:c r="B106" s="39" t="str">
        <x:v>报价单/报价明细</x:v>
      </x:c>
      <x:c r="C106" s="39" t="str">
        <x:v>参考</x:v>
      </x:c>
      <x:c r="D106" s="39" t="str">
        <x:v>历史成本/供应商</x:v>
      </x:c>
      <x:c r="E106" s="39" t="str">
        <x:v>参考信息</x:v>
      </x:c>
      <x:c r="F106" s="39" t="str">
        <x:v>否</x:v>
      </x:c>
      <x:c r="G106" s="39" t="str">
        <x:v>不锁库存</x:v>
      </x:c>
      <x:c r="H106" s="39" t="str">
        <x:v>原型/材料已定义</x:v>
      </x:c>
      <x:c r="I106" s="39" t="str">
        <x:v>当前原型或原有需求材料</x:v>
      </x:c>
    </x:row>
    <x:row r="107" ht="34" customHeight="1">
      <x:c r="A107" s="39" t="str">
        <x:v>报价管理</x:v>
      </x:c>
      <x:c r="B107" s="39" t="str">
        <x:v>报价单/报价明细</x:v>
      </x:c>
      <x:c r="C107" s="39" t="str">
        <x:v>状态</x:v>
      </x:c>
      <x:c r="D107" s="39" t="str">
        <x:v>报价状态/中单结果</x:v>
      </x:c>
      <x:c r="E107" s="39" t="str">
        <x:v>枚举</x:v>
      </x:c>
      <x:c r="F107" s="39" t="str">
        <x:v>是</x:v>
      </x:c>
      <x:c r="G107" s="39" t="str">
        <x:v>待报价、报价中、已中单、丢单</x:v>
      </x:c>
      <x:c r="H107" s="39" t="str">
        <x:v>原型/材料已定义</x:v>
      </x:c>
      <x:c r="I107" s="39" t="str">
        <x:v>当前原型或原有需求材料</x:v>
      </x:c>
    </x:row>
    <x:row r="108" ht="34" customHeight="1">
      <x:c r="A108" s="39" t="str">
        <x:v>报价管理</x:v>
      </x:c>
      <x:c r="B108" s="39" t="str">
        <x:v>报价单/报价明细</x:v>
      </x:c>
      <x:c r="C108" s="39" t="str">
        <x:v>版本</x:v>
      </x:c>
      <x:c r="D108" s="39" t="str">
        <x:v>版本/修订记录</x:v>
      </x:c>
      <x:c r="E108" s="39" t="str">
        <x:v>文本/记录</x:v>
      </x:c>
      <x:c r="F108" s="39" t="str">
        <x:v>否</x:v>
      </x:c>
      <x:c r="G108" s="39" t="str">
        <x:v>R1/R2等</x:v>
      </x:c>
      <x:c r="H108" s="39" t="str">
        <x:v>原型/材料已定义</x:v>
      </x:c>
      <x:c r="I108" s="39" t="str">
        <x:v>当前原型或原有需求材料</x:v>
      </x:c>
    </x:row>
    <x:row r="109" ht="34" customHeight="1">
      <x:c r="A109" s="39" t="str">
        <x:v>报价管理</x:v>
      </x:c>
      <x:c r="B109" s="39" t="str">
        <x:v>报价单/报价明细</x:v>
      </x:c>
      <x:c r="C109" s="39" t="str">
        <x:v>附件</x:v>
      </x:c>
      <x:c r="D109" s="39" t="str">
        <x:v>报价附件</x:v>
      </x:c>
      <x:c r="E109" s="39" t="str">
        <x:v>附件</x:v>
      </x:c>
      <x:c r="F109" s="39" t="str">
        <x:v>否</x:v>
      </x:c>
      <x:c r="G109" s="39" t="str">
        <x:v>PDF或客户资料</x:v>
      </x:c>
      <x:c r="H109" s="39" t="str">
        <x:v>原型/材料已定义</x:v>
      </x:c>
      <x:c r="I109" s="39" t="str">
        <x:v>当前原型或原有需求材料</x:v>
      </x:c>
    </x:row>
    <x:row r="110" ht="34" customHeight="1">
      <x:c r="A110" s="39" t="str">
        <x:v>标书管理</x:v>
      </x:c>
      <x:c r="B110" s="39" t="str">
        <x:v>标书表单</x:v>
      </x:c>
      <x:c r="C110" s="39" t="str">
        <x:v>基本</x:v>
      </x:c>
      <x:c r="D110" s="39" t="str">
        <x:v>标书编号/名称</x:v>
      </x:c>
      <x:c r="E110" s="39" t="str">
        <x:v>文本</x:v>
      </x:c>
      <x:c r="F110" s="39" t="str">
        <x:v>是</x:v>
      </x:c>
      <x:c r="G110" s="39" t="str">
        <x:v>标书识别</x:v>
      </x:c>
      <x:c r="H110" s="39" t="str">
        <x:v>原型/材料已定义</x:v>
      </x:c>
      <x:c r="I110" s="39" t="str">
        <x:v>当前原型或原有需求材料</x:v>
      </x:c>
    </x:row>
    <x:row r="111" ht="34" customHeight="1">
      <x:c r="A111" s="39" t="str">
        <x:v>标书管理</x:v>
      </x:c>
      <x:c r="B111" s="39" t="str">
        <x:v>标书表单</x:v>
      </x:c>
      <x:c r="C111" s="39" t="str">
        <x:v>来源</x:v>
      </x:c>
      <x:c r="D111" s="39" t="str">
        <x:v>标书来源</x:v>
      </x:c>
      <x:c r="E111" s="39" t="str">
        <x:v>字典</x:v>
      </x:c>
      <x:c r="F111" s="39" t="str">
        <x:v>是</x:v>
      </x:c>
      <x:c r="G111" s="39" t="str">
        <x:v>主动/邀请等</x:v>
      </x:c>
      <x:c r="H111" s="39" t="str">
        <x:v>原型/材料已定义</x:v>
      </x:c>
      <x:c r="I111" s="39" t="str">
        <x:v>当前原型或原有需求材料</x:v>
      </x:c>
    </x:row>
    <x:row r="112" ht="34" customHeight="1">
      <x:c r="A112" s="39" t="str">
        <x:v>标书管理</x:v>
      </x:c>
      <x:c r="B112" s="39" t="str">
        <x:v>标书表单</x:v>
      </x:c>
      <x:c r="C112" s="39" t="str">
        <x:v>回标</x:v>
      </x:c>
      <x:c r="D112" s="39" t="str">
        <x:v>回标方式</x:v>
      </x:c>
      <x:c r="E112" s="39" t="str">
        <x:v>字典</x:v>
      </x:c>
      <x:c r="F112" s="39" t="str">
        <x:v>是</x:v>
      </x:c>
      <x:c r="G112" s="39" t="str">
        <x:v>邮件/平台/现场</x:v>
      </x:c>
      <x:c r="H112" s="39" t="str">
        <x:v>原型/材料已定义</x:v>
      </x:c>
      <x:c r="I112" s="39" t="str">
        <x:v>当前原型或原有需求材料</x:v>
      </x:c>
    </x:row>
    <x:row r="113" ht="34" customHeight="1">
      <x:c r="A113" s="39" t="str">
        <x:v>标书管理</x:v>
      </x:c>
      <x:c r="B113" s="39" t="str">
        <x:v>标书表单</x:v>
      </x:c>
      <x:c r="C113" s="39" t="str">
        <x:v>日期</x:v>
      </x:c>
      <x:c r="D113" s="39" t="str">
        <x:v>收到日期/截止日期</x:v>
      </x:c>
      <x:c r="E113" s="39" t="str">
        <x:v>日期时间</x:v>
      </x:c>
      <x:c r="F113" s="39" t="str">
        <x:v>是</x:v>
      </x:c>
      <x:c r="G113" s="39" t="str">
        <x:v>倒计时依据</x:v>
      </x:c>
      <x:c r="H113" s="39" t="str">
        <x:v>原型/材料已定义</x:v>
      </x:c>
      <x:c r="I113" s="39" t="str">
        <x:v>当前原型或原有需求材料</x:v>
      </x:c>
    </x:row>
    <x:row r="114" ht="34" customHeight="1">
      <x:c r="A114" s="39" t="str">
        <x:v>标书管理</x:v>
      </x:c>
      <x:c r="B114" s="39" t="str">
        <x:v>标书表单</x:v>
      </x:c>
      <x:c r="C114" s="39" t="str">
        <x:v>人员</x:v>
      </x:c>
      <x:c r="D114" s="39" t="str">
        <x:v>负责人</x:v>
      </x:c>
      <x:c r="E114" s="39" t="str">
        <x:v>人员</x:v>
      </x:c>
      <x:c r="F114" s="39" t="str">
        <x:v>是</x:v>
      </x:c>
      <x:c r="G114" s="39" t="str">
        <x:v>标书组</x:v>
      </x:c>
      <x:c r="H114" s="39" t="str">
        <x:v>原型/材料已定义</x:v>
      </x:c>
      <x:c r="I114" s="39" t="str">
        <x:v>当前原型或原有需求材料</x:v>
      </x:c>
    </x:row>
    <x:row r="115" ht="34" customHeight="1">
      <x:c r="A115" s="39" t="str">
        <x:v>标书管理</x:v>
      </x:c>
      <x:c r="B115" s="39" t="str">
        <x:v>标书表单</x:v>
      </x:c>
      <x:c r="C115" s="39" t="str">
        <x:v>状态</x:v>
      </x:c>
      <x:c r="D115" s="39" t="str">
        <x:v>投标状态/中标结果</x:v>
      </x:c>
      <x:c r="E115" s="39" t="str">
        <x:v>枚举</x:v>
      </x:c>
      <x:c r="F115" s="39" t="str">
        <x:v>是</x:v>
      </x:c>
      <x:c r="G115" s="39" t="str">
        <x:v>待投标/不投标/已中标/未中标</x:v>
      </x:c>
      <x:c r="H115" s="39" t="str">
        <x:v>原型/材料已定义</x:v>
      </x:c>
      <x:c r="I115" s="39" t="str">
        <x:v>当前原型或原有需求材料</x:v>
      </x:c>
    </x:row>
    <x:row r="116" ht="34" customHeight="1">
      <x:c r="A116" s="39" t="str">
        <x:v>标书管理</x:v>
      </x:c>
      <x:c r="B116" s="39" t="str">
        <x:v>标书表单</x:v>
      </x:c>
      <x:c r="C116" s="39" t="str">
        <x:v>附件</x:v>
      </x:c>
      <x:c r="D116" s="39" t="str">
        <x:v>招标文件/往来资料</x:v>
      </x:c>
      <x:c r="E116" s="39" t="str">
        <x:v>附件</x:v>
      </x:c>
      <x:c r="F116" s="39" t="str">
        <x:v>否</x:v>
      </x:c>
      <x:c r="G116" s="39" t="str">
        <x:v>文件管理</x:v>
      </x:c>
      <x:c r="H116" s="39" t="str">
        <x:v>原型/材料已定义</x:v>
      </x:c>
      <x:c r="I116" s="39" t="str">
        <x:v>当前原型或原有需求材料</x:v>
      </x:c>
    </x:row>
    <x:row r="117" ht="34" customHeight="1">
      <x:c r="A117" s="39" t="str">
        <x:v>标书管理</x:v>
      </x:c>
      <x:c r="B117" s="39" t="str">
        <x:v>标书表单</x:v>
      </x:c>
      <x:c r="C117" s="39" t="str">
        <x:v>备注</x:v>
      </x:c>
      <x:c r="D117" s="39" t="str">
        <x:v>内部备注</x:v>
      </x:c>
      <x:c r="E117" s="39" t="str">
        <x:v>多行文本</x:v>
      </x:c>
      <x:c r="F117" s="39" t="str">
        <x:v>否</x:v>
      </x:c>
      <x:c r="G117" s="39" t="str">
        <x:v>内部协同</x:v>
      </x:c>
      <x:c r="H117" s="39" t="str">
        <x:v>原型/材料已定义</x:v>
      </x:c>
      <x:c r="I117" s="39" t="str">
        <x:v>当前原型或原有需求材料</x:v>
      </x:c>
    </x:row>
    <x:row r="118" ht="34" customHeight="1">
      <x:c r="A118" s="39" t="str">
        <x:v>标书管理</x:v>
      </x:c>
      <x:c r="B118" s="39" t="str">
        <x:v>标书师傅排程</x:v>
      </x:c>
      <x:c r="C118" s="39" t="str">
        <x:v>关联</x:v>
      </x:c>
      <x:c r="D118" s="39" t="str">
        <x:v>标书</x:v>
      </x:c>
      <x:c r="E118" s="39" t="str">
        <x:v>关联选择</x:v>
      </x:c>
      <x:c r="F118" s="39" t="str">
        <x:v>是</x:v>
      </x:c>
      <x:c r="G118" s="39" t="str">
        <x:v>关联标书</x:v>
      </x:c>
      <x:c r="H118" s="39" t="str">
        <x:v>原型/材料已定义</x:v>
      </x:c>
      <x:c r="I118" s="39" t="str">
        <x:v>当前原型或原有需求材料</x:v>
      </x:c>
    </x:row>
    <x:row r="119" ht="34" customHeight="1">
      <x:c r="A119" s="39" t="str">
        <x:v>标书管理</x:v>
      </x:c>
      <x:c r="B119" s="39" t="str">
        <x:v>标书师傅排程</x:v>
      </x:c>
      <x:c r="C119" s="39" t="str">
        <x:v>人员</x:v>
      </x:c>
      <x:c r="D119" s="39" t="str">
        <x:v>师傅</x:v>
      </x:c>
      <x:c r="E119" s="39" t="str">
        <x:v>人员</x:v>
      </x:c>
      <x:c r="F119" s="39" t="str">
        <x:v>是</x:v>
      </x:c>
      <x:c r="G119" s="39" t="str">
        <x:v>按区域/技能筛选</x:v>
      </x:c>
      <x:c r="H119" s="39" t="str">
        <x:v>原型/材料已定义</x:v>
      </x:c>
      <x:c r="I119" s="39" t="str">
        <x:v>当前原型或原有需求材料</x:v>
      </x:c>
    </x:row>
    <x:row r="120" ht="34" customHeight="1">
      <x:c r="A120" s="39" t="str">
        <x:v>标书管理</x:v>
      </x:c>
      <x:c r="B120" s="39" t="str">
        <x:v>标书师傅排程</x:v>
      </x:c>
      <x:c r="C120" s="39" t="str">
        <x:v>排程</x:v>
      </x:c>
      <x:c r="D120" s="39" t="str">
        <x:v>开始/结束日期</x:v>
      </x:c>
      <x:c r="E120" s="39" t="str">
        <x:v>日期</x:v>
      </x:c>
      <x:c r="F120" s="39" t="str">
        <x:v>是</x:v>
      </x:c>
      <x:c r="G120" s="39" t="str">
        <x:v>排程范围</x:v>
      </x:c>
      <x:c r="H120" s="39" t="str">
        <x:v>原型/材料已定义</x:v>
      </x:c>
      <x:c r="I120" s="39" t="str">
        <x:v>当前原型或原有需求材料</x:v>
      </x:c>
    </x:row>
    <x:row r="121" ht="34" customHeight="1">
      <x:c r="A121" s="39" t="str">
        <x:v>标书管理</x:v>
      </x:c>
      <x:c r="B121" s="39" t="str">
        <x:v>标书师傅排程</x:v>
      </x:c>
      <x:c r="C121" s="39" t="str">
        <x:v>排程</x:v>
      </x:c>
      <x:c r="D121" s="39" t="str">
        <x:v>重复周期</x:v>
      </x:c>
      <x:c r="E121" s="39" t="str">
        <x:v>枚举</x:v>
      </x:c>
      <x:c r="F121" s="39" t="str">
        <x:v>否</x:v>
      </x:c>
      <x:c r="G121" s="39" t="str">
        <x:v>不重复/周/月</x:v>
      </x:c>
      <x:c r="H121" s="39" t="str">
        <x:v>原型/材料已定义</x:v>
      </x:c>
      <x:c r="I121" s="39" t="str">
        <x:v>当前原型或原有需求材料</x:v>
      </x:c>
    </x:row>
    <x:row r="122" ht="34" customHeight="1">
      <x:c r="A122" s="39" t="str">
        <x:v>标书管理</x:v>
      </x:c>
      <x:c r="B122" s="39" t="str">
        <x:v>标书师傅排程</x:v>
      </x:c>
      <x:c r="C122" s="39" t="str">
        <x:v>排程</x:v>
      </x:c>
      <x:c r="D122" s="39" t="str">
        <x:v>备注</x:v>
      </x:c>
      <x:c r="E122" s="39" t="str">
        <x:v>多行文本</x:v>
      </x:c>
      <x:c r="F122" s="39" t="str">
        <x:v>否</x:v>
      </x:c>
      <x:c r="G122" s="39" t="str">
        <x:v>安排说明</x:v>
      </x:c>
      <x:c r="H122" s="39" t="str">
        <x:v>原型/材料已定义</x:v>
      </x:c>
      <x:c r="I122" s="39" t="str">
        <x:v>当前原型或原有需求材料</x:v>
      </x:c>
    </x:row>
    <x:row r="123" ht="34" customHeight="1">
      <x:c r="A123" s="39" t="str">
        <x:v>备货与采购</x:v>
      </x:c>
      <x:c r="B123" s="39" t="str">
        <x:v>备货单/采购单</x:v>
      </x:c>
      <x:c r="C123" s="39" t="str">
        <x:v>备货</x:v>
      </x:c>
      <x:c r="D123" s="39" t="str">
        <x:v>备货单编号</x:v>
      </x:c>
      <x:c r="E123" s="39" t="str">
        <x:v>自动编号</x:v>
      </x:c>
      <x:c r="F123" s="39" t="str">
        <x:v>是</x:v>
      </x:c>
      <x:c r="G123" s="39" t="str">
        <x:v>中单报价唯一触发</x:v>
      </x:c>
      <x:c r="H123" s="39" t="str">
        <x:v>原型/材料已定义</x:v>
      </x:c>
      <x:c r="I123" s="39" t="str">
        <x:v>当前原型或原有需求材料</x:v>
      </x:c>
    </x:row>
    <x:row r="124" ht="34" customHeight="1">
      <x:c r="A124" s="39" t="str">
        <x:v>备货与采购</x:v>
      </x:c>
      <x:c r="B124" s="39" t="str">
        <x:v>备货单/采购单</x:v>
      </x:c>
      <x:c r="C124" s="39" t="str">
        <x:v>关联</x:v>
      </x:c>
      <x:c r="D124" s="39" t="str">
        <x:v>报价/CALL/客户</x:v>
      </x:c>
      <x:c r="E124" s="39" t="str">
        <x:v>关联</x:v>
      </x:c>
      <x:c r="F124" s="39" t="str">
        <x:v>是</x:v>
      </x:c>
      <x:c r="G124" s="39" t="str">
        <x:v>来源业务</x:v>
      </x:c>
      <x:c r="H124" s="39" t="str">
        <x:v>原型/材料已定义</x:v>
      </x:c>
      <x:c r="I124" s="39" t="str">
        <x:v>当前原型或原有需求材料</x:v>
      </x:c>
    </x:row>
    <x:row r="125" ht="34" customHeight="1">
      <x:c r="A125" s="39" t="str">
        <x:v>备货与采购</x:v>
      </x:c>
      <x:c r="B125" s="39" t="str">
        <x:v>备货单/采购单</x:v>
      </x:c>
      <x:c r="C125" s="39" t="str">
        <x:v>采购</x:v>
      </x:c>
      <x:c r="D125" s="39" t="str">
        <x:v>采购单编号</x:v>
      </x:c>
      <x:c r="E125" s="39" t="str">
        <x:v>自动/文本</x:v>
      </x:c>
      <x:c r="F125" s="39" t="str">
        <x:v>是</x:v>
      </x:c>
      <x:c r="G125" s="39" t="str">
        <x:v>可按供应商拆单</x:v>
      </x:c>
      <x:c r="H125" s="39" t="str">
        <x:v>原型/材料已定义</x:v>
      </x:c>
      <x:c r="I125" s="39" t="str">
        <x:v>当前原型或原有需求材料</x:v>
      </x:c>
    </x:row>
    <x:row r="126" ht="34" customHeight="1">
      <x:c r="A126" s="39" t="str">
        <x:v>备货与采购</x:v>
      </x:c>
      <x:c r="B126" s="39" t="str">
        <x:v>备货单/采购单</x:v>
      </x:c>
      <x:c r="C126" s="39" t="str">
        <x:v>采购</x:v>
      </x:c>
      <x:c r="D126" s="39" t="str">
        <x:v>供应商</x:v>
      </x:c>
      <x:c r="E126" s="39" t="str">
        <x:v>关联选择</x:v>
      </x:c>
      <x:c r="F126" s="39" t="str">
        <x:v>是</x:v>
      </x:c>
      <x:c r="G126" s="39" t="str">
        <x:v>供应商主数据</x:v>
      </x:c>
      <x:c r="H126" s="39" t="str">
        <x:v>原型/材料已定义</x:v>
      </x:c>
      <x:c r="I126" s="39" t="str">
        <x:v>当前原型或原有需求材料</x:v>
      </x:c>
    </x:row>
    <x:row r="127" ht="34" customHeight="1">
      <x:c r="A127" s="39" t="str">
        <x:v>备货与采购</x:v>
      </x:c>
      <x:c r="B127" s="39" t="str">
        <x:v>备货单/采购单</x:v>
      </x:c>
      <x:c r="C127" s="39" t="str">
        <x:v>明细</x:v>
      </x:c>
      <x:c r="D127" s="39" t="str">
        <x:v>物料/数量/单位</x:v>
      </x:c>
      <x:c r="E127" s="39" t="str">
        <x:v>明细表</x:v>
      </x:c>
      <x:c r="F127" s="39" t="str">
        <x:v>是</x:v>
      </x:c>
      <x:c r="G127" s="39" t="str">
        <x:v>采购明细</x:v>
      </x:c>
      <x:c r="H127" s="39" t="str">
        <x:v>原型/材料已定义</x:v>
      </x:c>
      <x:c r="I127" s="39" t="str">
        <x:v>当前原型或原有需求材料</x:v>
      </x:c>
    </x:row>
    <x:row r="128" ht="34" customHeight="1">
      <x:c r="A128" s="39" t="str">
        <x:v>备货与采购</x:v>
      </x:c>
      <x:c r="B128" s="39" t="str">
        <x:v>备货单/采购单</x:v>
      </x:c>
      <x:c r="C128" s="39" t="str">
        <x:v>日期</x:v>
      </x:c>
      <x:c r="D128" s="39" t="str">
        <x:v>预计/实际到货</x:v>
      </x:c>
      <x:c r="E128" s="39" t="str">
        <x:v>日期</x:v>
      </x:c>
      <x:c r="F128" s="39" t="str">
        <x:v>否</x:v>
      </x:c>
      <x:c r="G128" s="39" t="str">
        <x:v>进度跟踪</x:v>
      </x:c>
      <x:c r="H128" s="39" t="str">
        <x:v>原型/材料已定义</x:v>
      </x:c>
      <x:c r="I128" s="39" t="str">
        <x:v>当前原型或原有需求材料</x:v>
      </x:c>
    </x:row>
    <x:row r="129" ht="34" customHeight="1">
      <x:c r="A129" s="39" t="str">
        <x:v>备货与采购</x:v>
      </x:c>
      <x:c r="B129" s="39" t="str">
        <x:v>备货单/采购单</x:v>
      </x:c>
      <x:c r="C129" s="39" t="str">
        <x:v>状态</x:v>
      </x:c>
      <x:c r="D129" s="39" t="str">
        <x:v>采购状态</x:v>
      </x:c>
      <x:c r="E129" s="39" t="str">
        <x:v>枚举</x:v>
      </x:c>
      <x:c r="F129" s="39" t="str">
        <x:v>是</x:v>
      </x:c>
      <x:c r="G129" s="39" t="str">
        <x:v>待下单/已下单/已发货/到货/验收</x:v>
      </x:c>
      <x:c r="H129" s="39" t="str">
        <x:v>原型/材料已定义</x:v>
      </x:c>
      <x:c r="I129" s="39" t="str">
        <x:v>当前原型或原有需求材料</x:v>
      </x:c>
    </x:row>
    <x:row r="130" ht="34" customHeight="1">
      <x:c r="A130" s="39" t="str">
        <x:v>备货与采购</x:v>
      </x:c>
      <x:c r="B130" s="39" t="str">
        <x:v>备货单/采购单</x:v>
      </x:c>
      <x:c r="C130" s="39" t="str">
        <x:v>联动</x:v>
      </x:c>
      <x:c r="D130" s="39" t="str">
        <x:v>验收后建CALL</x:v>
      </x:c>
      <x:c r="E130" s="39" t="str">
        <x:v>布尔</x:v>
      </x:c>
      <x:c r="F130" s="39" t="str">
        <x:v>否</x:v>
      </x:c>
      <x:c r="G130" s="39" t="str">
        <x:v>客户确认后启用</x:v>
      </x:c>
      <x:c r="H130" s="39" t="str">
        <x:v>原型/材料已定义</x:v>
      </x:c>
      <x:c r="I130" s="39" t="str">
        <x:v>当前原型或原有需求材料</x:v>
      </x:c>
    </x:row>
    <x:row r="131" ht="34" customHeight="1">
      <x:c r="A131" s="39" t="str">
        <x:v>备货与采购</x:v>
      </x:c>
      <x:c r="B131" s="39" t="str">
        <x:v>供应商档案</x:v>
      </x:c>
      <x:c r="C131" s="39" t="str">
        <x:v>基本</x:v>
      </x:c>
      <x:c r="D131" s="39" t="str">
        <x:v>供应商编号/名称</x:v>
      </x:c>
      <x:c r="E131" s="39" t="str">
        <x:v>文本</x:v>
      </x:c>
      <x:c r="F131" s="39" t="str">
        <x:v>是</x:v>
      </x:c>
      <x:c r="G131" s="39" t="str">
        <x:v>供应商主键</x:v>
      </x:c>
      <x:c r="H131" s="39" t="str">
        <x:v>原型/材料已定义</x:v>
      </x:c>
      <x:c r="I131" s="39" t="str">
        <x:v>当前原型或原有需求材料</x:v>
      </x:c>
    </x:row>
    <x:row r="132" ht="34" customHeight="1">
      <x:c r="A132" s="39" t="str">
        <x:v>备货与采购</x:v>
      </x:c>
      <x:c r="B132" s="39" t="str">
        <x:v>供应商档案</x:v>
      </x:c>
      <x:c r="C132" s="39" t="str">
        <x:v>联系</x:v>
      </x:c>
      <x:c r="D132" s="39" t="str">
        <x:v>联系人/电话/邮箱</x:v>
      </x:c>
      <x:c r="E132" s="39" t="str">
        <x:v>文本</x:v>
      </x:c>
      <x:c r="F132" s="39" t="str">
        <x:v>否</x:v>
      </x:c>
      <x:c r="G132" s="39" t="str">
        <x:v>采购联络</x:v>
      </x:c>
      <x:c r="H132" s="39" t="str">
        <x:v>原型/材料已定义</x:v>
      </x:c>
      <x:c r="I132" s="39" t="str">
        <x:v>当前原型或原有需求材料</x:v>
      </x:c>
    </x:row>
    <x:row r="133" ht="34" customHeight="1">
      <x:c r="A133" s="39" t="str">
        <x:v>备货与采购</x:v>
      </x:c>
      <x:c r="B133" s="39" t="str">
        <x:v>供应商档案</x:v>
      </x:c>
      <x:c r="C133" s="39" t="str">
        <x:v>业务</x:v>
      </x:c>
      <x:c r="D133" s="39" t="str">
        <x:v>供应类别</x:v>
      </x:c>
      <x:c r="E133" s="39" t="str">
        <x:v>字典</x:v>
      </x:c>
      <x:c r="F133" s="39" t="str">
        <x:v>否</x:v>
      </x:c>
      <x:c r="G133" s="39" t="str">
        <x:v>物料/服务范围</x:v>
      </x:c>
      <x:c r="H133" s="39" t="str">
        <x:v>原型/材料已定义</x:v>
      </x:c>
      <x:c r="I133" s="39" t="str">
        <x:v>当前原型或原有需求材料</x:v>
      </x:c>
    </x:row>
    <x:row r="134" ht="34" customHeight="1">
      <x:c r="A134" s="39" t="str">
        <x:v>备货与采购</x:v>
      </x:c>
      <x:c r="B134" s="39" t="str">
        <x:v>供应商档案</x:v>
      </x:c>
      <x:c r="C134" s="39" t="str">
        <x:v>业务</x:v>
      </x:c>
      <x:c r="D134" s="39" t="str">
        <x:v>合作状态</x:v>
      </x:c>
      <x:c r="E134" s="39" t="str">
        <x:v>枚举</x:v>
      </x:c>
      <x:c r="F134" s="39" t="str">
        <x:v>是</x:v>
      </x:c>
      <x:c r="G134" s="39" t="str">
        <x:v>合作中/暂停/停用</x:v>
      </x:c>
      <x:c r="H134" s="39" t="str">
        <x:v>原型/材料已定义</x:v>
      </x:c>
      <x:c r="I134" s="39" t="str">
        <x:v>当前原型或原有需求材料</x:v>
      </x:c>
    </x:row>
    <x:row r="135" ht="34" customHeight="1">
      <x:c r="A135" s="39" t="str">
        <x:v>备货与采购</x:v>
      </x:c>
      <x:c r="B135" s="39" t="str">
        <x:v>供应商档案</x:v>
      </x:c>
      <x:c r="C135" s="39" t="str">
        <x:v>备注</x:v>
      </x:c>
      <x:c r="D135" s="39" t="str">
        <x:v>备注</x:v>
      </x:c>
      <x:c r="E135" s="39" t="str">
        <x:v>多行文本</x:v>
      </x:c>
      <x:c r="F135" s="39" t="str">
        <x:v>否</x:v>
      </x:c>
      <x:c r="G135" s="39" t="str">
        <x:v>合作说明</x:v>
      </x:c>
      <x:c r="H135" s="39" t="str">
        <x:v>原型/材料已定义</x:v>
      </x:c>
      <x:c r="I135" s="39" t="str">
        <x:v>当前原型或原有需求材料</x:v>
      </x:c>
    </x:row>
    <x:row r="136" ht="34" customHeight="1">
      <x:c r="A136" s="39" t="str">
        <x:v>会计与外部接口</x:v>
      </x:c>
      <x:c r="B136" s="39" t="str">
        <x:v>待开票/发票管理</x:v>
      </x:c>
      <x:c r="C136" s="39" t="str">
        <x:v>关联</x:v>
      </x:c>
      <x:c r="D136" s="39" t="str">
        <x:v>Job Code/客户</x:v>
      </x:c>
      <x:c r="E136" s="39" t="str">
        <x:v>文本/关联</x:v>
      </x:c>
      <x:c r="F136" s="39" t="str">
        <x:v>是</x:v>
      </x:c>
      <x:c r="G136" s="39" t="str">
        <x:v>开票对象</x:v>
      </x:c>
      <x:c r="H136" s="39" t="str">
        <x:v>原型/材料已定义</x:v>
      </x:c>
      <x:c r="I136" s="39" t="str">
        <x:v>当前原型或原有需求材料</x:v>
      </x:c>
    </x:row>
    <x:row r="137" ht="34" customHeight="1">
      <x:c r="A137" s="39" t="str">
        <x:v>会计与外部接口</x:v>
      </x:c>
      <x:c r="B137" s="39" t="str">
        <x:v>待开票/发票管理</x:v>
      </x:c>
      <x:c r="C137" s="39" t="str">
        <x:v>内容</x:v>
      </x:c>
      <x:c r="D137" s="39" t="str">
        <x:v>描述/类型</x:v>
      </x:c>
      <x:c r="E137" s="39" t="str">
        <x:v>文本/枚举</x:v>
      </x:c>
      <x:c r="F137" s="39" t="str">
        <x:v>是</x:v>
      </x:c>
      <x:c r="G137" s="39" t="str">
        <x:v>收费内容</x:v>
      </x:c>
      <x:c r="H137" s="39" t="str">
        <x:v>原型/材料已定义</x:v>
      </x:c>
      <x:c r="I137" s="39" t="str">
        <x:v>当前原型或原有需求材料</x:v>
      </x:c>
    </x:row>
    <x:row r="138" ht="34" customHeight="1">
      <x:c r="A138" s="39" t="str">
        <x:v>会计与外部接口</x:v>
      </x:c>
      <x:c r="B138" s="39" t="str">
        <x:v>待开票/发票管理</x:v>
      </x:c>
      <x:c r="C138" s="39" t="str">
        <x:v>金额</x:v>
      </x:c>
      <x:c r="D138" s="39" t="str">
        <x:v>开票金额</x:v>
      </x:c>
      <x:c r="E138" s="39" t="str">
        <x:v>数字</x:v>
      </x:c>
      <x:c r="F138" s="39" t="str">
        <x:v>是</x:v>
      </x:c>
      <x:c r="G138" s="39" t="str">
        <x:v>HKD</x:v>
      </x:c>
      <x:c r="H138" s="39" t="str">
        <x:v>原型/材料已定义</x:v>
      </x:c>
      <x:c r="I138" s="39" t="str">
        <x:v>当前原型或原有需求材料</x:v>
      </x:c>
    </x:row>
    <x:row r="139" ht="34" customHeight="1">
      <x:c r="A139" s="39" t="str">
        <x:v>会计与外部接口</x:v>
      </x:c>
      <x:c r="B139" s="39" t="str">
        <x:v>待开票/发票管理</x:v>
      </x:c>
      <x:c r="C139" s="39" t="str">
        <x:v>期间</x:v>
      </x:c>
      <x:c r="D139" s="39" t="str">
        <x:v>Billing Period</x:v>
      </x:c>
      <x:c r="E139" s="39" t="str">
        <x:v>期间</x:v>
      </x:c>
      <x:c r="F139" s="39" t="str">
        <x:v>是</x:v>
      </x:c>
      <x:c r="G139" s="39" t="str">
        <x:v>服务期间</x:v>
      </x:c>
      <x:c r="H139" s="39" t="str">
        <x:v>原型/材料已定义</x:v>
      </x:c>
      <x:c r="I139" s="39" t="str">
        <x:v>当前原型或原有需求材料</x:v>
      </x:c>
    </x:row>
    <x:row r="140" ht="34" customHeight="1">
      <x:c r="A140" s="39" t="str">
        <x:v>会计与外部接口</x:v>
      </x:c>
      <x:c r="B140" s="39" t="str">
        <x:v>待开票/发票管理</x:v>
      </x:c>
      <x:c r="C140" s="39" t="str">
        <x:v>日期</x:v>
      </x:c>
      <x:c r="D140" s="39" t="str">
        <x:v>服务起止日期</x:v>
      </x:c>
      <x:c r="E140" s="39" t="str">
        <x:v>日期</x:v>
      </x:c>
      <x:c r="F140" s="39" t="str">
        <x:v>是</x:v>
      </x:c>
      <x:c r="G140" s="39" t="str">
        <x:v>计费范围</x:v>
      </x:c>
      <x:c r="H140" s="39" t="str">
        <x:v>原型/材料已定义</x:v>
      </x:c>
      <x:c r="I140" s="39" t="str">
        <x:v>当前原型或原有需求材料</x:v>
      </x:c>
    </x:row>
    <x:row r="141" ht="34" customHeight="1">
      <x:c r="A141" s="39" t="str">
        <x:v>会计与外部接口</x:v>
      </x:c>
      <x:c r="B141" s="39" t="str">
        <x:v>待开票/发票管理</x:v>
      </x:c>
      <x:c r="C141" s="39" t="str">
        <x:v>账期</x:v>
      </x:c>
      <x:c r="D141" s="39" t="str">
        <x:v>付款账期</x:v>
      </x:c>
      <x:c r="E141" s="39" t="str">
        <x:v>枚举</x:v>
      </x:c>
      <x:c r="F141" s="39" t="str">
        <x:v>是</x:v>
      </x:c>
      <x:c r="G141" s="39" t="str">
        <x:v>月结/天数</x:v>
      </x:c>
      <x:c r="H141" s="39" t="str">
        <x:v>原型/材料已定义</x:v>
      </x:c>
      <x:c r="I141" s="39" t="str">
        <x:v>当前原型或原有需求材料</x:v>
      </x:c>
    </x:row>
    <x:row r="142" ht="34" customHeight="1">
      <x:c r="A142" s="39" t="str">
        <x:v>会计与外部接口</x:v>
      </x:c>
      <x:c r="B142" s="39" t="str">
        <x:v>待开票/发票管理</x:v>
      </x:c>
      <x:c r="C142" s="39" t="str">
        <x:v>附件</x:v>
      </x:c>
      <x:c r="D142" s="39" t="str">
        <x:v>合约/附件</x:v>
      </x:c>
      <x:c r="E142" s="39" t="str">
        <x:v>附件</x:v>
      </x:c>
      <x:c r="F142" s="39" t="str">
        <x:v>否</x:v>
      </x:c>
      <x:c r="G142" s="39" t="str">
        <x:v>开票依据</x:v>
      </x:c>
      <x:c r="H142" s="39" t="str">
        <x:v>原型/材料已定义</x:v>
      </x:c>
      <x:c r="I142" s="39" t="str">
        <x:v>当前原型或原有需求材料</x:v>
      </x:c>
    </x:row>
    <x:row r="143" ht="34" customHeight="1">
      <x:c r="A143" s="39" t="str">
        <x:v>会计与外部接口</x:v>
      </x:c>
      <x:c r="B143" s="39" t="str">
        <x:v>待开票/发票管理</x:v>
      </x:c>
      <x:c r="C143" s="39" t="str">
        <x:v>状态</x:v>
      </x:c>
      <x:c r="D143" s="39" t="str">
        <x:v>发票/收款状态</x:v>
      </x:c>
      <x:c r="E143" s="39" t="str">
        <x:v>枚举</x:v>
      </x:c>
      <x:c r="F143" s="39" t="str">
        <x:v>是</x:v>
      </x:c>
      <x:c r="G143" s="39" t="str">
        <x:v>待开票/已开票/已收款</x:v>
      </x:c>
      <x:c r="H143" s="39" t="str">
        <x:v>原型/材料已定义</x:v>
      </x:c>
      <x:c r="I143" s="39" t="str">
        <x:v>当前原型或原有需求材料</x:v>
      </x:c>
    </x:row>
    <x:row r="144" ht="34" customHeight="1">
      <x:c r="A144" s="39" t="str">
        <x:v>会计与外部接口</x:v>
      </x:c>
      <x:c r="B144" s="39" t="str">
        <x:v>收款/收据</x:v>
      </x:c>
      <x:c r="C144" s="39" t="str">
        <x:v>关联</x:v>
      </x:c>
      <x:c r="D144" s="39" t="str">
        <x:v>发票编号/客户</x:v>
      </x:c>
      <x:c r="E144" s="39" t="str">
        <x:v>关联</x:v>
      </x:c>
      <x:c r="F144" s="39" t="str">
        <x:v>是</x:v>
      </x:c>
      <x:c r="G144" s="39" t="str">
        <x:v>收款对象</x:v>
      </x:c>
      <x:c r="H144" s="39" t="str">
        <x:v>原型/材料已定义</x:v>
      </x:c>
      <x:c r="I144" s="39" t="str">
        <x:v>当前原型或原有需求材料</x:v>
      </x:c>
    </x:row>
    <x:row r="145" ht="34" customHeight="1">
      <x:c r="A145" s="39" t="str">
        <x:v>会计与外部接口</x:v>
      </x:c>
      <x:c r="B145" s="39" t="str">
        <x:v>收款/收据</x:v>
      </x:c>
      <x:c r="C145" s="39" t="str">
        <x:v>收款</x:v>
      </x:c>
      <x:c r="D145" s="39" t="str">
        <x:v>收款日期</x:v>
      </x:c>
      <x:c r="E145" s="39" t="str">
        <x:v>日期</x:v>
      </x:c>
      <x:c r="F145" s="39" t="str">
        <x:v>是</x:v>
      </x:c>
      <x:c r="G145" s="39" t="str">
        <x:v>到账日期</x:v>
      </x:c>
      <x:c r="H145" s="39" t="str">
        <x:v>原型/材料已定义</x:v>
      </x:c>
      <x:c r="I145" s="39" t="str">
        <x:v>当前原型或原有需求材料</x:v>
      </x:c>
    </x:row>
    <x:row r="146" ht="34" customHeight="1">
      <x:c r="A146" s="39" t="str">
        <x:v>会计与外部接口</x:v>
      </x:c>
      <x:c r="B146" s="39" t="str">
        <x:v>收款/收据</x:v>
      </x:c>
      <x:c r="C146" s="39" t="str">
        <x:v>收款</x:v>
      </x:c>
      <x:c r="D146" s="39" t="str">
        <x:v>金额</x:v>
      </x:c>
      <x:c r="E146" s="39" t="str">
        <x:v>数字</x:v>
      </x:c>
      <x:c r="F146" s="39" t="str">
        <x:v>是</x:v>
      </x:c>
      <x:c r="G146" s="39" t="str">
        <x:v>不得超过未收金额</x:v>
      </x:c>
      <x:c r="H146" s="39" t="str">
        <x:v>原型/材料已定义</x:v>
      </x:c>
      <x:c r="I146" s="39" t="str">
        <x:v>当前原型或原有需求材料</x:v>
      </x:c>
    </x:row>
    <x:row r="147" ht="34" customHeight="1">
      <x:c r="A147" s="39" t="str">
        <x:v>会计与外部接口</x:v>
      </x:c>
      <x:c r="B147" s="39" t="str">
        <x:v>收款/收据</x:v>
      </x:c>
      <x:c r="C147" s="39" t="str">
        <x:v>收款</x:v>
      </x:c>
      <x:c r="D147" s="39" t="str">
        <x:v>方式</x:v>
      </x:c>
      <x:c r="E147" s="39" t="str">
        <x:v>枚举</x:v>
      </x:c>
      <x:c r="F147" s="39" t="str">
        <x:v>是</x:v>
      </x:c>
      <x:c r="G147" s="39" t="str">
        <x:v>转账/支票/现金等</x:v>
      </x:c>
      <x:c r="H147" s="39" t="str">
        <x:v>原型/材料已定义</x:v>
      </x:c>
      <x:c r="I147" s="39" t="str">
        <x:v>当前原型或原有需求材料</x:v>
      </x:c>
    </x:row>
    <x:row r="148" ht="34" customHeight="1">
      <x:c r="A148" s="39" t="str">
        <x:v>会计与外部接口</x:v>
      </x:c>
      <x:c r="B148" s="39" t="str">
        <x:v>收款/收据</x:v>
      </x:c>
      <x:c r="C148" s="39" t="str">
        <x:v>收据</x:v>
      </x:c>
      <x:c r="D148" s="39" t="str">
        <x:v>收据编号</x:v>
      </x:c>
      <x:c r="E148" s="39" t="str">
        <x:v>自动编号</x:v>
      </x:c>
      <x:c r="F148" s="39" t="str">
        <x:v>是</x:v>
      </x:c>
      <x:c r="G148" s="39" t="str">
        <x:v>唯一编号</x:v>
      </x:c>
      <x:c r="H148" s="39" t="str">
        <x:v>原型/材料已定义</x:v>
      </x:c>
      <x:c r="I148" s="39" t="str">
        <x:v>当前原型或原有需求材料</x:v>
      </x:c>
    </x:row>
    <x:row r="149" ht="34" customHeight="1">
      <x:c r="A149" s="39" t="str">
        <x:v>会计与外部接口</x:v>
      </x:c>
      <x:c r="B149" s="39" t="str">
        <x:v>收款/收据</x:v>
      </x:c>
      <x:c r="C149" s="39" t="str">
        <x:v>收据</x:v>
      </x:c>
      <x:c r="D149" s="39" t="str">
        <x:v>打印状态</x:v>
      </x:c>
      <x:c r="E149" s="39" t="str">
        <x:v>状态</x:v>
      </x:c>
      <x:c r="F149" s="39" t="str">
        <x:v>否</x:v>
      </x:c>
      <x:c r="G149" s="39" t="str">
        <x:v>已打印/重印</x:v>
      </x:c>
      <x:c r="H149" s="39" t="str">
        <x:v>原型/材料已定义</x:v>
      </x:c>
      <x:c r="I149" s="39" t="str">
        <x:v>当前原型或原有需求材料</x:v>
      </x:c>
    </x:row>
    <x:row r="150" ht="34" customHeight="1">
      <x:c r="A150" s="39" t="str">
        <x:v>会计与外部接口</x:v>
      </x:c>
      <x:c r="B150" s="39" t="str">
        <x:v>收款/收据</x:v>
      </x:c>
      <x:c r="C150" s="39" t="str">
        <x:v>备注</x:v>
      </x:c>
      <x:c r="D150" s="39" t="str">
        <x:v>备注</x:v>
      </x:c>
      <x:c r="E150" s="39" t="str">
        <x:v>多行文本</x:v>
      </x:c>
      <x:c r="F150" s="39" t="str">
        <x:v>否</x:v>
      </x:c>
      <x:c r="G150" s="39" t="str">
        <x:v>差异说明</x:v>
      </x:c>
      <x:c r="H150" s="39" t="str">
        <x:v>原型/材料已定义</x:v>
      </x:c>
      <x:c r="I150" s="39" t="str">
        <x:v>当前原型或原有需求材料</x:v>
      </x:c>
    </x:row>
    <x:row r="151" ht="34" customHeight="1">
      <x:c r="A151" s="39" t="str">
        <x:v>会计与外部接口</x:v>
      </x:c>
      <x:c r="B151" s="39" t="str">
        <x:v>会计客户/保养合约</x:v>
      </x:c>
      <x:c r="C151" s="39" t="str">
        <x:v>客户</x:v>
      </x:c>
      <x:c r="D151" s="39" t="str">
        <x:v>财务客户编号/名称</x:v>
      </x:c>
      <x:c r="E151" s="39" t="str">
        <x:v>文本</x:v>
      </x:c>
      <x:c r="F151" s="39" t="str">
        <x:v>是</x:v>
      </x:c>
      <x:c r="G151" s="39" t="str">
        <x:v>可关联业务客户</x:v>
      </x:c>
      <x:c r="H151" s="39" t="str">
        <x:v>原型/材料已定义</x:v>
      </x:c>
      <x:c r="I151" s="39" t="str">
        <x:v>当前原型或原有需求材料</x:v>
      </x:c>
    </x:row>
    <x:row r="152" ht="34" customHeight="1">
      <x:c r="A152" s="39" t="str">
        <x:v>会计与外部接口</x:v>
      </x:c>
      <x:c r="B152" s="39" t="str">
        <x:v>会计客户/保养合约</x:v>
      </x:c>
      <x:c r="C152" s="39" t="str">
        <x:v>账单</x:v>
      </x:c>
      <x:c r="D152" s="39" t="str">
        <x:v>账单地址/收件人</x:v>
      </x:c>
      <x:c r="E152" s="39" t="str">
        <x:v>文本</x:v>
      </x:c>
      <x:c r="F152" s="39" t="str">
        <x:v>是</x:v>
      </x:c>
      <x:c r="G152" s="39" t="str">
        <x:v>发票寄送</x:v>
      </x:c>
      <x:c r="H152" s="39" t="str">
        <x:v>原型/材料已定义</x:v>
      </x:c>
      <x:c r="I152" s="39" t="str">
        <x:v>当前原型或原有需求材料</x:v>
      </x:c>
    </x:row>
    <x:row r="153" ht="34" customHeight="1">
      <x:c r="A153" s="39" t="str">
        <x:v>会计与外部接口</x:v>
      </x:c>
      <x:c r="B153" s="39" t="str">
        <x:v>会计客户/保养合约</x:v>
      </x:c>
      <x:c r="C153" s="39" t="str">
        <x:v>账单</x:v>
      </x:c>
      <x:c r="D153" s="39" t="str">
        <x:v>付款账期</x:v>
      </x:c>
      <x:c r="E153" s="39" t="str">
        <x:v>枚举</x:v>
      </x:c>
      <x:c r="F153" s="39" t="str">
        <x:v>是</x:v>
      </x:c>
      <x:c r="G153" s="39" t="str">
        <x:v>月结规则</x:v>
      </x:c>
      <x:c r="H153" s="39" t="str">
        <x:v>原型/材料已定义</x:v>
      </x:c>
      <x:c r="I153" s="39" t="str">
        <x:v>当前原型或原有需求材料</x:v>
      </x:c>
    </x:row>
    <x:row r="154" ht="34" customHeight="1">
      <x:c r="A154" s="39" t="str">
        <x:v>会计与外部接口</x:v>
      </x:c>
      <x:c r="B154" s="39" t="str">
        <x:v>会计客户/保养合约</x:v>
      </x:c>
      <x:c r="C154" s="39" t="str">
        <x:v>合约</x:v>
      </x:c>
      <x:c r="D154" s="39" t="str">
        <x:v>合约编号</x:v>
      </x:c>
      <x:c r="E154" s="39" t="str">
        <x:v>文本</x:v>
      </x:c>
      <x:c r="F154" s="39" t="str">
        <x:v>是</x:v>
      </x:c>
      <x:c r="G154" s="39" t="str">
        <x:v>保养合约</x:v>
      </x:c>
      <x:c r="H154" s="39" t="str">
        <x:v>原型/材料已定义</x:v>
      </x:c>
      <x:c r="I154" s="39" t="str">
        <x:v>当前原型或原有需求材料</x:v>
      </x:c>
    </x:row>
    <x:row r="155" ht="34" customHeight="1">
      <x:c r="A155" s="39" t="str">
        <x:v>会计与外部接口</x:v>
      </x:c>
      <x:c r="B155" s="39" t="str">
        <x:v>会计客户/保养合约</x:v>
      </x:c>
      <x:c r="C155" s="39" t="str">
        <x:v>合约</x:v>
      </x:c>
      <x:c r="D155" s="39" t="str">
        <x:v>起止日期</x:v>
      </x:c>
      <x:c r="E155" s="39" t="str">
        <x:v>日期</x:v>
      </x:c>
      <x:c r="F155" s="39" t="str">
        <x:v>是</x:v>
      </x:c>
      <x:c r="G155" s="39" t="str">
        <x:v>有效期</x:v>
      </x:c>
      <x:c r="H155" s="39" t="str">
        <x:v>原型/材料已定义</x:v>
      </x:c>
      <x:c r="I155" s="39" t="str">
        <x:v>当前原型或原有需求材料</x:v>
      </x:c>
    </x:row>
    <x:row r="156" ht="34" customHeight="1">
      <x:c r="A156" s="39" t="str">
        <x:v>会计与外部接口</x:v>
      </x:c>
      <x:c r="B156" s="39" t="str">
        <x:v>会计客户/保养合约</x:v>
      </x:c>
      <x:c r="C156" s="39" t="str">
        <x:v>合约</x:v>
      </x:c>
      <x:c r="D156" s="39" t="str">
        <x:v>开单频率</x:v>
      </x:c>
      <x:c r="E156" s="39" t="str">
        <x:v>枚举</x:v>
      </x:c>
      <x:c r="F156" s="39" t="str">
        <x:v>是</x:v>
      </x:c>
      <x:c r="G156" s="39" t="str">
        <x:v>月/季/年</x:v>
      </x:c>
      <x:c r="H156" s="39" t="str">
        <x:v>原型/材料已定义</x:v>
      </x:c>
      <x:c r="I156" s="39" t="str">
        <x:v>当前原型或原有需求材料</x:v>
      </x:c>
    </x:row>
    <x:row r="157" ht="34" customHeight="1">
      <x:c r="A157" s="39" t="str">
        <x:v>会计与外部接口</x:v>
      </x:c>
      <x:c r="B157" s="39" t="str">
        <x:v>会计客户/保养合约</x:v>
      </x:c>
      <x:c r="C157" s="39" t="str">
        <x:v>合约</x:v>
      </x:c>
      <x:c r="D157" s="39" t="str">
        <x:v>固定金额</x:v>
      </x:c>
      <x:c r="E157" s="39" t="str">
        <x:v>数字</x:v>
      </x:c>
      <x:c r="F157" s="39" t="str">
        <x:v>条件</x:v>
      </x:c>
      <x:c r="G157" s="39" t="str">
        <x:v>自动生成金额</x:v>
      </x:c>
      <x:c r="H157" s="39" t="str">
        <x:v>原型/材料已定义</x:v>
      </x:c>
      <x:c r="I157" s="39" t="str">
        <x:v>当前原型或原有需求材料</x:v>
      </x:c>
    </x:row>
    <x:row r="158" ht="34" customHeight="1">
      <x:c r="A158" s="39" t="str">
        <x:v>会计与外部接口</x:v>
      </x:c>
      <x:c r="B158" s="39" t="str">
        <x:v>Peachtree接口配置</x:v>
      </x:c>
      <x:c r="C158" s="39" t="str">
        <x:v>连接</x:v>
      </x:c>
      <x:c r="D158" s="39" t="str">
        <x:v>系统版本/地址</x:v>
      </x:c>
      <x:c r="E158" s="39" t="str">
        <x:v>文本</x:v>
      </x:c>
      <x:c r="F158" s="39" t="str">
        <x:v>是</x:v>
      </x:c>
      <x:c r="G158" s="39" t="str">
        <x:v>接口能力待确认</x:v>
      </x:c>
      <x:c r="H158" s="39" t="str">
        <x:v>原型/材料已定义</x:v>
      </x:c>
      <x:c r="I158" s="39" t="str">
        <x:v>当前原型或原有需求材料</x:v>
      </x:c>
    </x:row>
    <x:row r="159" ht="34" customHeight="1">
      <x:c r="A159" s="39" t="str">
        <x:v>会计与外部接口</x:v>
      </x:c>
      <x:c r="B159" s="39" t="str">
        <x:v>Peachtree接口配置</x:v>
      </x:c>
      <x:c r="C159" s="39" t="str">
        <x:v>连接</x:v>
      </x:c>
      <x:c r="D159" s="39" t="str">
        <x:v>鉴权方式</x:v>
      </x:c>
      <x:c r="E159" s="39" t="str">
        <x:v>枚举</x:v>
      </x:c>
      <x:c r="F159" s="39" t="str">
        <x:v>是</x:v>
      </x:c>
      <x:c r="G159" s="39" t="str">
        <x:v>凭据不在清单存储</x:v>
      </x:c>
      <x:c r="H159" s="39" t="str">
        <x:v>原型/材料已定义</x:v>
      </x:c>
      <x:c r="I159" s="39" t="str">
        <x:v>当前原型或原有需求材料</x:v>
      </x:c>
    </x:row>
    <x:row r="160" ht="34" customHeight="1">
      <x:c r="A160" s="39" t="str">
        <x:v>会计与外部接口</x:v>
      </x:c>
      <x:c r="B160" s="39" t="str">
        <x:v>Peachtree接口配置</x:v>
      </x:c>
      <x:c r="C160" s="39" t="str">
        <x:v>同步</x:v>
      </x:c>
      <x:c r="D160" s="39" t="str">
        <x:v>数据对象</x:v>
      </x:c>
      <x:c r="E160" s="39" t="str">
        <x:v>多选</x:v>
      </x:c>
      <x:c r="F160" s="39" t="str">
        <x:v>是</x:v>
      </x:c>
      <x:c r="G160" s="39" t="str">
        <x:v>客户/发票/收款</x:v>
      </x:c>
      <x:c r="H160" s="39" t="str">
        <x:v>原型/材料已定义</x:v>
      </x:c>
      <x:c r="I160" s="39" t="str">
        <x:v>当前原型或原有需求材料</x:v>
      </x:c>
    </x:row>
    <x:row r="161" ht="34" customHeight="1">
      <x:c r="A161" s="39" t="str">
        <x:v>会计与外部接口</x:v>
      </x:c>
      <x:c r="B161" s="39" t="str">
        <x:v>Peachtree接口配置</x:v>
      </x:c>
      <x:c r="C161" s="39" t="str">
        <x:v>同步</x:v>
      </x:c>
      <x:c r="D161" s="39" t="str">
        <x:v>同步方向</x:v>
      </x:c>
      <x:c r="E161" s="39" t="str">
        <x:v>枚举</x:v>
      </x:c>
      <x:c r="F161" s="39" t="str">
        <x:v>是</x:v>
      </x:c>
      <x:c r="G161" s="39" t="str">
        <x:v>导入/导出/双向</x:v>
      </x:c>
      <x:c r="H161" s="39" t="str">
        <x:v>原型/材料已定义</x:v>
      </x:c>
      <x:c r="I161" s="39" t="str">
        <x:v>当前原型或原有需求材料</x:v>
      </x:c>
    </x:row>
    <x:row r="162" ht="34" customHeight="1">
      <x:c r="A162" s="39" t="str">
        <x:v>会计与外部接口</x:v>
      </x:c>
      <x:c r="B162" s="39" t="str">
        <x:v>Peachtree接口配置</x:v>
      </x:c>
      <x:c r="C162" s="39" t="str">
        <x:v>同步</x:v>
      </x:c>
      <x:c r="D162" s="39" t="str">
        <x:v>最后同步时间</x:v>
      </x:c>
      <x:c r="E162" s="39" t="str">
        <x:v>日期时间</x:v>
      </x:c>
      <x:c r="F162" s="39" t="str">
        <x:v>否</x:v>
      </x:c>
      <x:c r="G162" s="39" t="str">
        <x:v>系统记录</x:v>
      </x:c>
      <x:c r="H162" s="39" t="str">
        <x:v>原型/材料已定义</x:v>
      </x:c>
      <x:c r="I162" s="39" t="str">
        <x:v>当前原型或原有需求材料</x:v>
      </x:c>
    </x:row>
    <x:row r="163" ht="34" customHeight="1">
      <x:c r="A163" s="39" t="str">
        <x:v>会计与外部接口</x:v>
      </x:c>
      <x:c r="B163" s="39" t="str">
        <x:v>Peachtree接口配置</x:v>
      </x:c>
      <x:c r="C163" s="39" t="str">
        <x:v>同步</x:v>
      </x:c>
      <x:c r="D163" s="39" t="str">
        <x:v>结果/错误日志</x:v>
      </x:c>
      <x:c r="E163" s="39" t="str">
        <x:v>记录</x:v>
      </x:c>
      <x:c r="F163" s="39" t="str">
        <x:v>否</x:v>
      </x:c>
      <x:c r="G163" s="39" t="str">
        <x:v>可追踪</x:v>
      </x:c>
      <x:c r="H163" s="39" t="str">
        <x:v>原型/材料已定义</x:v>
      </x:c>
      <x:c r="I163" s="39" t="str">
        <x:v>当前原型或原有需求材料</x:v>
      </x:c>
    </x:row>
    <x:row r="164" ht="34" customHeight="1">
      <x:c r="A164" s="39" t="str">
        <x:v>统计、客户和基础设置</x:v>
      </x:c>
      <x:c r="B164" s="39" t="str">
        <x:v>用户管理</x:v>
      </x:c>
      <x:c r="C164" s="39" t="str">
        <x:v>基本</x:v>
      </x:c>
      <x:c r="D164" s="39" t="str">
        <x:v>姓名/工号</x:v>
      </x:c>
      <x:c r="E164" s="39" t="str">
        <x:v>文本</x:v>
      </x:c>
      <x:c r="F164" s="39" t="str">
        <x:v>是</x:v>
      </x:c>
      <x:c r="G164" s="39" t="str">
        <x:v>人员标识</x:v>
      </x:c>
      <x:c r="H164" s="39" t="str">
        <x:v>原型/材料已定义</x:v>
      </x:c>
      <x:c r="I164" s="39" t="str">
        <x:v>当前原型或原有需求材料</x:v>
      </x:c>
    </x:row>
    <x:row r="165" ht="34" customHeight="1">
      <x:c r="A165" s="39" t="str">
        <x:v>统计、客户和基础设置</x:v>
      </x:c>
      <x:c r="B165" s="39" t="str">
        <x:v>用户管理</x:v>
      </x:c>
      <x:c r="C165" s="39" t="str">
        <x:v>联系</x:v>
      </x:c>
      <x:c r="D165" s="39" t="str">
        <x:v>电话/邮箱</x:v>
      </x:c>
      <x:c r="E165" s="39" t="str">
        <x:v>文本</x:v>
      </x:c>
      <x:c r="F165" s="39" t="str">
        <x:v>否</x:v>
      </x:c>
      <x:c r="G165" s="39" t="str">
        <x:v>登录与通知</x:v>
      </x:c>
      <x:c r="H165" s="39" t="str">
        <x:v>原型/材料已定义</x:v>
      </x:c>
      <x:c r="I165" s="39" t="str">
        <x:v>当前原型或原有需求材料</x:v>
      </x:c>
    </x:row>
    <x:row r="166" ht="34" customHeight="1">
      <x:c r="A166" s="39" t="str">
        <x:v>统计、客户和基础设置</x:v>
      </x:c>
      <x:c r="B166" s="39" t="str">
        <x:v>用户管理</x:v>
      </x:c>
      <x:c r="C166" s="39" t="str">
        <x:v>权限</x:v>
      </x:c>
      <x:c r="D166" s="39" t="str">
        <x:v>角色</x:v>
      </x:c>
      <x:c r="E166" s="39" t="str">
        <x:v>多选枚举</x:v>
      </x:c>
      <x:c r="F166" s="39" t="str">
        <x:v>是</x:v>
      </x:c>
      <x:c r="G166" s="39" t="str">
        <x:v>10类角色</x:v>
      </x:c>
      <x:c r="H166" s="39" t="str">
        <x:v>原型/材料已定义</x:v>
      </x:c>
      <x:c r="I166" s="39" t="str">
        <x:v>当前原型或原有需求材料</x:v>
      </x:c>
    </x:row>
    <x:row r="167" ht="34" customHeight="1">
      <x:c r="A167" s="39" t="str">
        <x:v>统计、客户和基础设置</x:v>
      </x:c>
      <x:c r="B167" s="39" t="str">
        <x:v>用户管理</x:v>
      </x:c>
      <x:c r="C167" s="39" t="str">
        <x:v>权限</x:v>
      </x:c>
      <x:c r="D167" s="39" t="str">
        <x:v>所属区域/主管</x:v>
      </x:c>
      <x:c r="E167" s="39" t="str">
        <x:v>关联选择</x:v>
      </x:c>
      <x:c r="F167" s="39" t="str">
        <x:v>否</x:v>
      </x:c>
      <x:c r="G167" s="39" t="str">
        <x:v>数据范围</x:v>
      </x:c>
      <x:c r="H167" s="39" t="str">
        <x:v>原型/材料已定义</x:v>
      </x:c>
      <x:c r="I167" s="39" t="str">
        <x:v>当前原型或原有需求材料</x:v>
      </x:c>
    </x:row>
    <x:row r="168" ht="34" customHeight="1">
      <x:c r="A168" s="39" t="str">
        <x:v>统计、客户和基础设置</x:v>
      </x:c>
      <x:c r="B168" s="39" t="str">
        <x:v>用户管理</x:v>
      </x:c>
      <x:c r="C168" s="39" t="str">
        <x:v>能力</x:v>
      </x:c>
      <x:c r="D168" s="39" t="str">
        <x:v>技能</x:v>
      </x:c>
      <x:c r="E168" s="39" t="str">
        <x:v>多选字典</x:v>
      </x:c>
      <x:c r="F168" s="39" t="str">
        <x:v>否</x:v>
      </x:c>
      <x:c r="G168" s="39" t="str">
        <x:v>师傅人工筛选</x:v>
      </x:c>
      <x:c r="H168" s="39" t="str">
        <x:v>原型/材料已定义</x:v>
      </x:c>
      <x:c r="I168" s="39" t="str">
        <x:v>当前原型或原有需求材料</x:v>
      </x:c>
    </x:row>
    <x:row r="169" ht="34" customHeight="1">
      <x:c r="A169" s="39" t="str">
        <x:v>统计、客户和基础设置</x:v>
      </x:c>
      <x:c r="B169" s="39" t="str">
        <x:v>用户管理</x:v>
      </x:c>
      <x:c r="C169" s="39" t="str">
        <x:v>状态</x:v>
      </x:c>
      <x:c r="D169" s="39" t="str">
        <x:v>启用/禁用/离职</x:v>
      </x:c>
      <x:c r="E169" s="39" t="str">
        <x:v>枚举</x:v>
      </x:c>
      <x:c r="F169" s="39" t="str">
        <x:v>是</x:v>
      </x:c>
      <x:c r="G169" s="39" t="str">
        <x:v>账号状态</x:v>
      </x:c>
      <x:c r="H169" s="39" t="str">
        <x:v>原型/材料已定义</x:v>
      </x:c>
      <x:c r="I169" s="39" t="str">
        <x:v>当前原型或原有需求材料</x:v>
      </x:c>
    </x:row>
    <x:row r="170" ht="34" customHeight="1">
      <x:c r="A170" s="39" t="str">
        <x:v>统计、客户和基础设置</x:v>
      </x:c>
      <x:c r="B170" s="39" t="str">
        <x:v>用户管理</x:v>
      </x:c>
      <x:c r="C170" s="39" t="str">
        <x:v>账号</x:v>
      </x:c>
      <x:c r="D170" s="39" t="str">
        <x:v>最后登录</x:v>
      </x:c>
      <x:c r="E170" s="39" t="str">
        <x:v>日期时间</x:v>
      </x:c>
      <x:c r="F170" s="39" t="str">
        <x:v>否</x:v>
      </x:c>
      <x:c r="G170" s="39" t="str">
        <x:v>审计信息</x:v>
      </x:c>
      <x:c r="H170" s="39" t="str">
        <x:v>原型/材料已定义</x:v>
      </x:c>
      <x:c r="I170" s="39" t="str">
        <x:v>当前原型或原有需求材料</x:v>
      </x:c>
    </x:row>
    <x:row r="171" ht="34" customHeight="1">
      <x:c r="A171" s="39" t="str">
        <x:v>统计、客户和基础设置</x:v>
      </x:c>
      <x:c r="B171" s="39" t="str">
        <x:v>客户/联系人/地点管理</x:v>
      </x:c>
      <x:c r="C171" s="39" t="str">
        <x:v>客户</x:v>
      </x:c>
      <x:c r="D171" s="39" t="str">
        <x:v>客户编号/中英文名称</x:v>
      </x:c>
      <x:c r="E171" s="39" t="str">
        <x:v>文本</x:v>
      </x:c>
      <x:c r="F171" s="39" t="str">
        <x:v>是</x:v>
      </x:c>
      <x:c r="G171" s="39" t="str">
        <x:v>客户主键</x:v>
      </x:c>
      <x:c r="H171" s="39" t="str">
        <x:v>原型/材料已定义</x:v>
      </x:c>
      <x:c r="I171" s="39" t="str">
        <x:v>当前原型或原有需求材料</x:v>
      </x:c>
    </x:row>
    <x:row r="172" ht="34" customHeight="1">
      <x:c r="A172" s="39" t="str">
        <x:v>统计、客户和基础设置</x:v>
      </x:c>
      <x:c r="B172" s="39" t="str">
        <x:v>客户/联系人/地点管理</x:v>
      </x:c>
      <x:c r="C172" s="39" t="str">
        <x:v>客户</x:v>
      </x:c>
      <x:c r="D172" s="39" t="str">
        <x:v>客户类型/等级/状态</x:v>
      </x:c>
      <x:c r="E172" s="39" t="str">
        <x:v>枚举</x:v>
      </x:c>
      <x:c r="F172" s="39" t="str">
        <x:v>是</x:v>
      </x:c>
      <x:c r="G172" s="39" t="str">
        <x:v>政府/私人等</x:v>
      </x:c>
      <x:c r="H172" s="39" t="str">
        <x:v>原型/材料已定义</x:v>
      </x:c>
      <x:c r="I172" s="39" t="str">
        <x:v>当前原型或原有需求材料</x:v>
      </x:c>
    </x:row>
    <x:row r="173" ht="34" customHeight="1">
      <x:c r="A173" s="39" t="str">
        <x:v>统计、客户和基础设置</x:v>
      </x:c>
      <x:c r="B173" s="39" t="str">
        <x:v>客户/联系人/地点管理</x:v>
      </x:c>
      <x:c r="C173" s="39" t="str">
        <x:v>外部</x:v>
      </x:c>
      <x:c r="D173" s="39" t="str">
        <x:v>Peachtree ID</x:v>
      </x:c>
      <x:c r="E173" s="39" t="str">
        <x:v>文本</x:v>
      </x:c>
      <x:c r="F173" s="39" t="str">
        <x:v>否</x:v>
      </x:c>
      <x:c r="G173" s="39" t="str">
        <x:v>财务关联</x:v>
      </x:c>
      <x:c r="H173" s="39" t="str">
        <x:v>原型/材料已定义</x:v>
      </x:c>
      <x:c r="I173" s="39" t="str">
        <x:v>当前原型或原有需求材料</x:v>
      </x:c>
    </x:row>
    <x:row r="174" ht="34" customHeight="1">
      <x:c r="A174" s="39" t="str">
        <x:v>统计、客户和基础设置</x:v>
      </x:c>
      <x:c r="B174" s="39" t="str">
        <x:v>客户/联系人/地点管理</x:v>
      </x:c>
      <x:c r="C174" s="39" t="str">
        <x:v>联系人</x:v>
      </x:c>
      <x:c r="D174" s="39" t="str">
        <x:v>姓名/职位/电话/WhatsApp/邮箱</x:v>
      </x:c>
      <x:c r="E174" s="39" t="str">
        <x:v>文本</x:v>
      </x:c>
      <x:c r="F174" s="39" t="str">
        <x:v>否</x:v>
      </x:c>
      <x:c r="G174" s="39" t="str">
        <x:v>可多条</x:v>
      </x:c>
      <x:c r="H174" s="39" t="str">
        <x:v>原型/材料已定义</x:v>
      </x:c>
      <x:c r="I174" s="39" t="str">
        <x:v>当前原型或原有需求材料</x:v>
      </x:c>
    </x:row>
    <x:row r="175" ht="34" customHeight="1">
      <x:c r="A175" s="39" t="str">
        <x:v>统计、客户和基础设置</x:v>
      </x:c>
      <x:c r="B175" s="39" t="str">
        <x:v>客户/联系人/地点管理</x:v>
      </x:c>
      <x:c r="C175" s="39" t="str">
        <x:v>地点</x:v>
      </x:c>
      <x:c r="D175" s="39" t="str">
        <x:v>区域/中英文地址</x:v>
      </x:c>
      <x:c r="E175" s="39" t="str">
        <x:v>文本/字典</x:v>
      </x:c>
      <x:c r="F175" s="39" t="str">
        <x:v>是</x:v>
      </x:c>
      <x:c r="G175" s="39" t="str">
        <x:v>可多地点</x:v>
      </x:c>
      <x:c r="H175" s="39" t="str">
        <x:v>原型/材料已定义</x:v>
      </x:c>
      <x:c r="I175" s="39" t="str">
        <x:v>当前原型或原有需求材料</x:v>
      </x:c>
    </x:row>
    <x:row r="176" ht="34" customHeight="1">
      <x:c r="A176" s="39" t="str">
        <x:v>统计、客户和基础设置</x:v>
      </x:c>
      <x:c r="B176" s="39" t="str">
        <x:v>客户/联系人/地点管理</x:v>
      </x:c>
      <x:c r="C176" s="39" t="str">
        <x:v>地点</x:v>
      </x:c>
      <x:c r="D176" s="39" t="str">
        <x:v>默认TL</x:v>
      </x:c>
      <x:c r="E176" s="39" t="str">
        <x:v>人员</x:v>
      </x:c>
      <x:c r="F176" s="39" t="str">
        <x:v>否</x:v>
      </x:c>
      <x:c r="G176" s="39" t="str">
        <x:v>区域负责人</x:v>
      </x:c>
      <x:c r="H176" s="39" t="str">
        <x:v>原型/材料已定义</x:v>
      </x:c>
      <x:c r="I176" s="39" t="str">
        <x:v>当前原型或原有需求材料</x:v>
      </x:c>
    </x:row>
    <x:row r="177" ht="34" customHeight="1">
      <x:c r="A177" s="39" t="str">
        <x:v>统计、客户和基础设置</x:v>
      </x:c>
      <x:c r="B177" s="39" t="str">
        <x:v>客户/联系人/地点管理</x:v>
      </x:c>
      <x:c r="C177" s="39" t="str">
        <x:v>规则</x:v>
      </x:c>
      <x:c r="D177" s="39" t="str">
        <x:v>不可拍照/原因</x:v>
      </x:c>
      <x:c r="E177" s="39" t="str">
        <x:v>布尔/文本</x:v>
      </x:c>
      <x:c r="F177" s="39" t="str">
        <x:v>否</x:v>
      </x:c>
      <x:c r="G177" s="39" t="str">
        <x:v>现场校验</x:v>
      </x:c>
      <x:c r="H177" s="39" t="str">
        <x:v>原型/材料已定义</x:v>
      </x:c>
      <x:c r="I177" s="39" t="str">
        <x:v>当前原型或原有需求材料</x:v>
      </x:c>
    </x:row>
    <x:row r="178" ht="34" customHeight="1">
      <x:c r="A178" s="39" t="str">
        <x:v>统计、客户和基础设置</x:v>
      </x:c>
      <x:c r="B178" s="39" t="str">
        <x:v>客户/联系人/地点管理</x:v>
      </x:c>
      <x:c r="C178" s="39" t="str">
        <x:v>合约</x:v>
      </x:c>
      <x:c r="D178" s="39" t="str">
        <x:v>项目/合约编号与周期</x:v>
      </x:c>
      <x:c r="E178" s="39" t="str">
        <x:v>文本/日期</x:v>
      </x:c>
      <x:c r="F178" s="39" t="str">
        <x:v>否</x:v>
      </x:c>
      <x:c r="G178" s="39" t="str">
        <x:v>服务关系</x:v>
      </x:c>
      <x:c r="H178" s="39" t="str">
        <x:v>原型/材料已定义</x:v>
      </x:c>
      <x:c r="I178" s="39" t="str">
        <x:v>当前原型或原有需求材料</x:v>
      </x:c>
    </x:row>
    <x:row r="179" ht="34" customHeight="1">
      <x:c r="A179" s="39" t="str">
        <x:v>统计、客户和基础设置</x:v>
      </x:c>
      <x:c r="B179" s="39" t="str">
        <x:v>业务字典管理</x:v>
      </x:c>
      <x:c r="C179" s="39" t="str">
        <x:v>字典</x:v>
      </x:c>
      <x:c r="D179" s="39" t="str">
        <x:v>字典类别</x:v>
      </x:c>
      <x:c r="E179" s="39" t="str">
        <x:v>枚举</x:v>
      </x:c>
      <x:c r="F179" s="39" t="str">
        <x:v>是</x:v>
      </x:c>
      <x:c r="G179" s="39" t="str">
        <x:v>CALL类型/区域/状态等</x:v>
      </x:c>
      <x:c r="H179" s="39" t="str">
        <x:v>原型/材料已定义</x:v>
      </x:c>
      <x:c r="I179" s="39" t="str">
        <x:v>当前原型或原有需求材料</x:v>
      </x:c>
    </x:row>
    <x:row r="180" ht="34" customHeight="1">
      <x:c r="A180" s="39" t="str">
        <x:v>统计、客户和基础设置</x:v>
      </x:c>
      <x:c r="B180" s="39" t="str">
        <x:v>业务字典管理</x:v>
      </x:c>
      <x:c r="C180" s="39" t="str">
        <x:v>字典</x:v>
      </x:c>
      <x:c r="D180" s="39" t="str">
        <x:v>代码</x:v>
      </x:c>
      <x:c r="E180" s="39" t="str">
        <x:v>文本</x:v>
      </x:c>
      <x:c r="F180" s="39" t="str">
        <x:v>是</x:v>
      </x:c>
      <x:c r="G180" s="39" t="str">
        <x:v>唯一代码</x:v>
      </x:c>
      <x:c r="H180" s="39" t="str">
        <x:v>原型/材料已定义</x:v>
      </x:c>
      <x:c r="I180" s="39" t="str">
        <x:v>当前原型或原有需求材料</x:v>
      </x:c>
    </x:row>
    <x:row r="181" ht="34" customHeight="1">
      <x:c r="A181" s="39" t="str">
        <x:v>统计、客户和基础设置</x:v>
      </x:c>
      <x:c r="B181" s="39" t="str">
        <x:v>业务字典管理</x:v>
      </x:c>
      <x:c r="C181" s="39" t="str">
        <x:v>字典</x:v>
      </x:c>
      <x:c r="D181" s="39" t="str">
        <x:v>名称/说明</x:v>
      </x:c>
      <x:c r="E181" s="39" t="str">
        <x:v>文本</x:v>
      </x:c>
      <x:c r="F181" s="39" t="str">
        <x:v>是</x:v>
      </x:c>
      <x:c r="G181" s="39" t="str">
        <x:v>显示内容</x:v>
      </x:c>
      <x:c r="H181" s="39" t="str">
        <x:v>原型/材料已定义</x:v>
      </x:c>
      <x:c r="I181" s="39" t="str">
        <x:v>当前原型或原有需求材料</x:v>
      </x:c>
    </x:row>
    <x:row r="182" ht="34" customHeight="1">
      <x:c r="A182" s="39" t="str">
        <x:v>统计、客户和基础设置</x:v>
      </x:c>
      <x:c r="B182" s="39" t="str">
        <x:v>业务字典管理</x:v>
      </x:c>
      <x:c r="C182" s="39" t="str">
        <x:v>字典</x:v>
      </x:c>
      <x:c r="D182" s="39" t="str">
        <x:v>排序</x:v>
      </x:c>
      <x:c r="E182" s="39" t="str">
        <x:v>数字</x:v>
      </x:c>
      <x:c r="F182" s="39" t="str">
        <x:v>否</x:v>
      </x:c>
      <x:c r="G182" s="39" t="str">
        <x:v>显示顺序</x:v>
      </x:c>
      <x:c r="H182" s="39" t="str">
        <x:v>原型/材料已定义</x:v>
      </x:c>
      <x:c r="I182" s="39" t="str">
        <x:v>当前原型或原有需求材料</x:v>
      </x:c>
    </x:row>
    <x:row r="183" ht="34" customHeight="1">
      <x:c r="A183" s="39" t="str">
        <x:v>统计、客户和基础设置</x:v>
      </x:c>
      <x:c r="B183" s="39" t="str">
        <x:v>业务字典管理</x:v>
      </x:c>
      <x:c r="C183" s="39" t="str">
        <x:v>字典</x:v>
      </x:c>
      <x:c r="D183" s="39" t="str">
        <x:v>启用状态</x:v>
      </x:c>
      <x:c r="E183" s="39" t="str">
        <x:v>布尔</x:v>
      </x:c>
      <x:c r="F183" s="39" t="str">
        <x:v>是</x:v>
      </x:c>
      <x:c r="G183" s="39" t="str">
        <x:v>历史兼容</x:v>
      </x:c>
      <x:c r="H183" s="39" t="str">
        <x:v>原型/材料已定义</x:v>
      </x:c>
      <x:c r="I183" s="39" t="str">
        <x:v>当前原型或原有需求材料</x:v>
      </x:c>
    </x:row>
    <x:row r="184" ht="34" customHeight="1">
      <x:c r="A184" s="39" t="str">
        <x:v>统计、客户和基础设置</x:v>
      </x:c>
      <x:c r="B184" s="39" t="str">
        <x:v>业务字典管理</x:v>
      </x:c>
      <x:c r="C184" s="39" t="str">
        <x:v>规则</x:v>
      </x:c>
      <x:c r="D184" s="39" t="str">
        <x:v>关联通知/负责人</x:v>
      </x:c>
      <x:c r="E184" s="39" t="str">
        <x:v>配置</x:v>
      </x:c>
      <x:c r="F184" s="39" t="str">
        <x:v>否</x:v>
      </x:c>
      <x:c r="G184" s="39" t="str">
        <x:v>按类别使用</x:v>
      </x:c>
      <x:c r="H184" s="39" t="str">
        <x:v>原型/材料已定义</x:v>
      </x:c>
      <x:c r="I184" s="39" t="str">
        <x:v>当前原型或原有需求材料</x:v>
      </x:c>
    </x:row>
    <x:row r="185" ht="34" customHeight="1">
      <x:c r="A185" s="39" t="str">
        <x:v>统计、客户和基础设置</x:v>
      </x:c>
      <x:c r="B185" s="39" t="str">
        <x:v>Excel导入</x:v>
      </x:c>
      <x:c r="C185" s="39" t="str">
        <x:v>导入</x:v>
      </x:c>
      <x:c r="D185" s="39" t="str">
        <x:v>数据类型</x:v>
      </x:c>
      <x:c r="E185" s="39" t="str">
        <x:v>枚举</x:v>
      </x:c>
      <x:c r="F185" s="39" t="str">
        <x:v>是</x:v>
      </x:c>
      <x:c r="G185" s="39" t="str">
        <x:v>客户/CALL/报价/发票/收款</x:v>
      </x:c>
      <x:c r="H185" s="39" t="str">
        <x:v>原型/材料已定义</x:v>
      </x:c>
      <x:c r="I185" s="39" t="str">
        <x:v>当前原型或原有需求材料</x:v>
      </x:c>
    </x:row>
    <x:row r="186" ht="34" customHeight="1">
      <x:c r="A186" s="39" t="str">
        <x:v>统计、客户和基础设置</x:v>
      </x:c>
      <x:c r="B186" s="39" t="str">
        <x:v>Excel导入</x:v>
      </x:c>
      <x:c r="C186" s="39" t="str">
        <x:v>导入</x:v>
      </x:c>
      <x:c r="D186" s="39" t="str">
        <x:v>文件</x:v>
      </x:c>
      <x:c r="E186" s="39" t="str">
        <x:v>Excel文件</x:v>
      </x:c>
      <x:c r="F186" s="39" t="str">
        <x:v>是</x:v>
      </x:c>
      <x:c r="G186" s="39" t="str">
        <x:v>模板格式</x:v>
      </x:c>
      <x:c r="H186" s="39" t="str">
        <x:v>原型/材料已定义</x:v>
      </x:c>
      <x:c r="I186" s="39" t="str">
        <x:v>当前原型或原有需求材料</x:v>
      </x:c>
    </x:row>
    <x:row r="187" ht="34" customHeight="1">
      <x:c r="A187" s="39" t="str">
        <x:v>统计、客户和基础设置</x:v>
      </x:c>
      <x:c r="B187" s="39" t="str">
        <x:v>Excel导入</x:v>
      </x:c>
      <x:c r="C187" s="39" t="str">
        <x:v>导入</x:v>
      </x:c>
      <x:c r="D187" s="39" t="str">
        <x:v>重复处理</x:v>
      </x:c>
      <x:c r="E187" s="39" t="str">
        <x:v>枚举</x:v>
      </x:c>
      <x:c r="F187" s="39" t="str">
        <x:v>是</x:v>
      </x:c>
      <x:c r="G187" s="39" t="str">
        <x:v>跳过/更新/报错</x:v>
      </x:c>
      <x:c r="H187" s="39" t="str">
        <x:v>原型/材料已定义</x:v>
      </x:c>
      <x:c r="I187" s="39" t="str">
        <x:v>当前原型或原有需求材料</x:v>
      </x:c>
    </x:row>
    <x:row r="188" ht="34" customHeight="1">
      <x:c r="A188" s="39" t="str">
        <x:v>统计、客户和基础设置</x:v>
      </x:c>
      <x:c r="B188" s="39" t="str">
        <x:v>Excel导入</x:v>
      </x:c>
      <x:c r="C188" s="39" t="str">
        <x:v>结果</x:v>
      </x:c>
      <x:c r="D188" s="39" t="str">
        <x:v>总数/成功/失败</x:v>
      </x:c>
      <x:c r="E188" s="39" t="str">
        <x:v>数字</x:v>
      </x:c>
      <x:c r="F188" s="39" t="str">
        <x:v>否</x:v>
      </x:c>
      <x:c r="G188" s="39" t="str">
        <x:v>校验结果</x:v>
      </x:c>
      <x:c r="H188" s="39" t="str">
        <x:v>原型/材料已定义</x:v>
      </x:c>
      <x:c r="I188" s="39" t="str">
        <x:v>当前原型或原有需求材料</x:v>
      </x:c>
    </x:row>
    <x:row r="189" ht="34" customHeight="1">
      <x:c r="A189" s="39" t="str">
        <x:v>统计、客户和基础设置</x:v>
      </x:c>
      <x:c r="B189" s="39" t="str">
        <x:v>Excel导入</x:v>
      </x:c>
      <x:c r="C189" s="39" t="str">
        <x:v>结果</x:v>
      </x:c>
      <x:c r="D189" s="39" t="str">
        <x:v>错误行/原因</x:v>
      </x:c>
      <x:c r="E189" s="39" t="str">
        <x:v>记录</x:v>
      </x:c>
      <x:c r="F189" s="39" t="str">
        <x:v>否</x:v>
      </x:c>
      <x:c r="G189" s="39" t="str">
        <x:v>可下载错误明细</x:v>
      </x:c>
      <x:c r="H189" s="39" t="str">
        <x:v>原型/材料已定义</x:v>
      </x:c>
      <x:c r="I189" s="39" t="str">
        <x:v>当前原型或原有需求材料</x:v>
      </x:c>
    </x:row>
    <x:row r="190" ht="34" customHeight="1">
      <x:c r="A190" s="39" t="str">
        <x:v>统计、客户和基础设置</x:v>
      </x:c>
      <x:c r="B190" s="39" t="str">
        <x:v>附件存储设置</x:v>
      </x:c>
      <x:c r="C190" s="39" t="str">
        <x:v>存储</x:v>
      </x:c>
      <x:c r="D190" s="39" t="str">
        <x:v>存储方式/供应商</x:v>
      </x:c>
      <x:c r="E190" s="39" t="str">
        <x:v>枚举</x:v>
      </x:c>
      <x:c r="F190" s="39" t="str">
        <x:v>是</x:v>
      </x:c>
      <x:c r="G190" s="39" t="str">
        <x:v>待技术选型</x:v>
      </x:c>
      <x:c r="H190" s="39" t="str">
        <x:v>原型/材料已定义</x:v>
      </x:c>
      <x:c r="I190" s="39" t="str">
        <x:v>当前原型或原有需求材料</x:v>
      </x:c>
    </x:row>
    <x:row r="191" ht="34" customHeight="1">
      <x:c r="A191" s="39" t="str">
        <x:v>统计、客户和基础设置</x:v>
      </x:c>
      <x:c r="B191" s="39" t="str">
        <x:v>附件存储设置</x:v>
      </x:c>
      <x:c r="C191" s="39" t="str">
        <x:v>文件</x:v>
      </x:c>
      <x:c r="D191" s="39" t="str">
        <x:v>允许类型</x:v>
      </x:c>
      <x:c r="E191" s="39" t="str">
        <x:v>多选</x:v>
      </x:c>
      <x:c r="F191" s="39" t="str">
        <x:v>是</x:v>
      </x:c>
      <x:c r="G191" s="39" t="str">
        <x:v>图片/PDF/文档</x:v>
      </x:c>
      <x:c r="H191" s="39" t="str">
        <x:v>原型/材料已定义</x:v>
      </x:c>
      <x:c r="I191" s="39" t="str">
        <x:v>当前原型或原有需求材料</x:v>
      </x:c>
    </x:row>
    <x:row r="192" ht="34" customHeight="1">
      <x:c r="A192" s="39" t="str">
        <x:v>统计、客户和基础设置</x:v>
      </x:c>
      <x:c r="B192" s="39" t="str">
        <x:v>附件存储设置</x:v>
      </x:c>
      <x:c r="C192" s="39" t="str">
        <x:v>文件</x:v>
      </x:c>
      <x:c r="D192" s="39" t="str">
        <x:v>单文件大小</x:v>
      </x:c>
      <x:c r="E192" s="39" t="str">
        <x:v>数字</x:v>
      </x:c>
      <x:c r="F192" s="39" t="str">
        <x:v>是</x:v>
      </x:c>
      <x:c r="G192" s="39" t="str">
        <x:v>MB</x:v>
      </x:c>
      <x:c r="H192" s="39" t="str">
        <x:v>原型/材料已定义</x:v>
      </x:c>
      <x:c r="I192" s="39" t="str">
        <x:v>当前原型或原有需求材料</x:v>
      </x:c>
    </x:row>
    <x:row r="193" ht="34" customHeight="1">
      <x:c r="A193" s="39" t="str">
        <x:v>统计、客户和基础设置</x:v>
      </x:c>
      <x:c r="B193" s="39" t="str">
        <x:v>附件存储设置</x:v>
      </x:c>
      <x:c r="C193" s="39" t="str">
        <x:v>容量</x:v>
      </x:c>
      <x:c r="D193" s="39" t="str">
        <x:v>总容量/已用容量</x:v>
      </x:c>
      <x:c r="E193" s="39" t="str">
        <x:v>数字</x:v>
      </x:c>
      <x:c r="F193" s="39" t="str">
        <x:v>是</x:v>
      </x:c>
      <x:c r="G193" s="39" t="str">
        <x:v>GB</x:v>
      </x:c>
      <x:c r="H193" s="39" t="str">
        <x:v>原型/材料已定义</x:v>
      </x:c>
      <x:c r="I193" s="39" t="str">
        <x:v>当前原型或原有需求材料</x:v>
      </x:c>
    </x:row>
    <x:row r="194" ht="34" customHeight="1">
      <x:c r="A194" s="39" t="str">
        <x:v>统计、客户和基础设置</x:v>
      </x:c>
      <x:c r="B194" s="39" t="str">
        <x:v>附件存储设置</x:v>
      </x:c>
      <x:c r="C194" s="39" t="str">
        <x:v>保留</x:v>
      </x:c>
      <x:c r="D194" s="39" t="str">
        <x:v>在线保留期</x:v>
      </x:c>
      <x:c r="E194" s="39" t="str">
        <x:v>数字</x:v>
      </x:c>
      <x:c r="F194" s="39" t="str">
        <x:v>是</x:v>
      </x:c>
      <x:c r="G194" s="39" t="str">
        <x:v>天/月</x:v>
      </x:c>
      <x:c r="H194" s="39" t="str">
        <x:v>原型/材料已定义</x:v>
      </x:c>
      <x:c r="I194" s="39" t="str">
        <x:v>当前原型或原有需求材料</x:v>
      </x:c>
    </x:row>
    <x:row r="195" ht="34" customHeight="1">
      <x:c r="A195" s="39" t="str">
        <x:v>统计、客户和基础设置</x:v>
      </x:c>
      <x:c r="B195" s="39" t="str">
        <x:v>附件存储设置</x:v>
      </x:c>
      <x:c r="C195" s="39" t="str">
        <x:v>备份</x:v>
      </x:c>
      <x:c r="D195" s="39" t="str">
        <x:v>备份周期/位置</x:v>
      </x:c>
      <x:c r="E195" s="39" t="str">
        <x:v>配置</x:v>
      </x:c>
      <x:c r="F195" s="39" t="str">
        <x:v>是</x:v>
      </x:c>
      <x:c r="G195" s="39" t="str">
        <x:v>需可恢复</x:v>
      </x:c>
      <x:c r="H195" s="39" t="str">
        <x:v>原型/材料已定义</x:v>
      </x:c>
      <x:c r="I195" s="39" t="str">
        <x:v>当前原型或原有需求材料</x:v>
      </x:c>
    </x:row>
    <x:row r="196" ht="34" customHeight="1">
      <x:c r="A196" s="39" t="str">
        <x:v>统计、客户和基础设置</x:v>
      </x:c>
      <x:c r="B196" s="39" t="str">
        <x:v>附件存储设置</x:v>
      </x:c>
      <x:c r="C196" s="39" t="str">
        <x:v>清理</x:v>
      </x:c>
      <x:c r="D196" s="39" t="str">
        <x:v>清理策略</x:v>
      </x:c>
      <x:c r="E196" s="39" t="str">
        <x:v>配置</x:v>
      </x:c>
      <x:c r="F196" s="39" t="str">
        <x:v>否</x:v>
      </x:c>
      <x:c r="G196" s="39" t="str">
        <x:v>到期归档/删除</x:v>
      </x:c>
      <x:c r="H196" s="39" t="str">
        <x:v>原型/材料已定义</x:v>
      </x:c>
      <x:c r="I196" s="39" t="str">
        <x:v>当前原型或原有需求材料</x:v>
      </x:c>
    </x:row>
    <x:row r="197" ht="34" customHeight="1">
      <x:c r="A197" s="39" t="str">
        <x:v>统计、客户和基础设置</x:v>
      </x:c>
      <x:c r="B197" s="39" t="str">
        <x:v>统计报表</x:v>
      </x:c>
      <x:c r="C197" s="39" t="str">
        <x:v>范围</x:v>
      </x:c>
      <x:c r="D197" s="39" t="str">
        <x:v>统计日期范围</x:v>
      </x:c>
      <x:c r="E197" s="39" t="str">
        <x:v>日期范围</x:v>
      </x:c>
      <x:c r="F197" s="39" t="str">
        <x:v>否</x:v>
      </x:c>
      <x:c r="G197" s="39" t="str">
        <x:v>默认当前周期</x:v>
      </x:c>
      <x:c r="H197" s="39" t="str">
        <x:v>原型/材料已定义</x:v>
      </x:c>
      <x:c r="I197" s="39" t="str">
        <x:v>当前原型或原有需求材料</x:v>
      </x:c>
    </x:row>
    <x:row r="198" ht="34" customHeight="1">
      <x:c r="A198" s="39" t="str">
        <x:v>统计、客户和基础设置</x:v>
      </x:c>
      <x:c r="B198" s="39" t="str">
        <x:v>统计报表</x:v>
      </x:c>
      <x:c r="C198" s="39" t="str">
        <x:v>维度</x:v>
      </x:c>
      <x:c r="D198" s="39" t="str">
        <x:v>状态/类型/区域/师傅/客户</x:v>
      </x:c>
      <x:c r="E198" s="39" t="str">
        <x:v>枚举</x:v>
      </x:c>
      <x:c r="F198" s="39" t="str">
        <x:v>是</x:v>
      </x:c>
      <x:c r="G198" s="39" t="str">
        <x:v>切换维度</x:v>
      </x:c>
      <x:c r="H198" s="39" t="str">
        <x:v>原型/材料已定义</x:v>
      </x:c>
      <x:c r="I198" s="39" t="str">
        <x:v>当前原型或原有需求材料</x:v>
      </x:c>
    </x:row>
    <x:row r="199" ht="34" customHeight="1">
      <x:c r="A199" s="39" t="str">
        <x:v>统计、客户和基础设置</x:v>
      </x:c>
      <x:c r="B199" s="39" t="str">
        <x:v>统计报表</x:v>
      </x:c>
      <x:c r="C199" s="39" t="str">
        <x:v>指标</x:v>
      </x:c>
      <x:c r="D199" s="39" t="str">
        <x:v>CALL数量</x:v>
      </x:c>
      <x:c r="E199" s="39" t="str">
        <x:v>计算</x:v>
      </x:c>
      <x:c r="F199" s="39" t="str">
        <x:v>是</x:v>
      </x:c>
      <x:c r="G199" s="39" t="str">
        <x:v>按权限口径</x:v>
      </x:c>
      <x:c r="H199" s="39" t="str">
        <x:v>原型/材料已定义</x:v>
      </x:c>
      <x:c r="I199" s="39" t="str">
        <x:v>当前原型或原有需求材料</x:v>
      </x:c>
    </x:row>
    <x:row r="200" ht="34" customHeight="1">
      <x:c r="A200" s="39" t="str">
        <x:v>统计、客户和基础设置</x:v>
      </x:c>
      <x:c r="B200" s="39" t="str">
        <x:v>统计报表</x:v>
      </x:c>
      <x:c r="C200" s="39" t="str">
        <x:v>指标</x:v>
      </x:c>
      <x:c r="D200" s="39" t="str">
        <x:v>最近7天趋势</x:v>
      </x:c>
      <x:c r="E200" s="39" t="str">
        <x:v>计算</x:v>
      </x:c>
      <x:c r="F200" s="39" t="str">
        <x:v>否</x:v>
      </x:c>
      <x:c r="G200" s="39" t="str">
        <x:v>日维度</x:v>
      </x:c>
      <x:c r="H200" s="39" t="str">
        <x:v>原型/材料已定义</x:v>
      </x:c>
      <x:c r="I200" s="39" t="str">
        <x:v>当前原型或原有需求材料</x:v>
      </x:c>
    </x:row>
    <x:row r="201" ht="34" customHeight="1">
      <x:c r="A201" s="39" t="str">
        <x:v>统计、客户和基础设置</x:v>
      </x:c>
      <x:c r="B201" s="39" t="str">
        <x:v>统计报表</x:v>
      </x:c>
      <x:c r="C201" s="39" t="str">
        <x:v>提醒</x:v>
      </x:c>
      <x:c r="D201" s="39" t="str">
        <x:v>未完成/SR待签名/资料缺失</x:v>
      </x:c>
      <x:c r="E201" s="39" t="str">
        <x:v>计算</x:v>
      </x:c>
      <x:c r="F201" s="39" t="str">
        <x:v>否</x:v>
      </x:c>
      <x:c r="G201" s="39" t="str">
        <x:v>Outstanding规则</x:v>
      </x:c>
      <x:c r="H201" s="39" t="str">
        <x:v>原型/材料已定义</x:v>
      </x:c>
      <x:c r="I201" s="39" t="str">
        <x:v>当前原型或原有需求材料</x:v>
      </x:c>
    </x:row>
    <x:row r="202" ht="34" customHeight="1">
      <x:c r="A202" s="39" t="str">
        <x:v>统计、客户和基础设置</x:v>
      </x:c>
      <x:c r="B202" s="39" t="str">
        <x:v>统计报表</x:v>
      </x:c>
      <x:c r="C202" s="39" t="str">
        <x:v>报价</x:v>
      </x:c>
      <x:c r="D202" s="39" t="str">
        <x:v>报价总数/中单数/中单率</x:v>
      </x:c>
      <x:c r="E202" s="39" t="str">
        <x:v>计算</x:v>
      </x:c>
      <x:c r="F202" s="39" t="str">
        <x:v>否</x:v>
      </x:c>
      <x:c r="G202" s="39" t="str">
        <x:v>扩展模块指标</x:v>
      </x:c>
      <x:c r="H202" s="39" t="str">
        <x:v>原型/材料已定义</x:v>
      </x:c>
      <x:c r="I202" s="39" t="str">
        <x:v>当前原型或原有需求材料</x:v>
      </x:c>
    </x:row>
    <x:row r="203" ht="34" customHeight="1">
      <x:c r="A203" s="39" t="str">
        <x:v>统计、客户和基础设置</x:v>
      </x:c>
      <x:c r="B203" s="39" t="str">
        <x:v>登录与角色切换</x:v>
      </x:c>
      <x:c r="C203" s="39" t="str">
        <x:v>登录</x:v>
      </x:c>
      <x:c r="D203" s="39" t="str">
        <x:v>账号/人员</x:v>
      </x:c>
      <x:c r="E203" s="39" t="str">
        <x:v>文本/选择</x:v>
      </x:c>
      <x:c r="F203" s="39" t="str">
        <x:v>是</x:v>
      </x:c>
      <x:c r="G203" s="39" t="str">
        <x:v>原型按人员选择</x:v>
      </x:c>
      <x:c r="H203" s="39" t="str">
        <x:v>原型/材料已定义</x:v>
      </x:c>
      <x:c r="I203" s="39" t="str">
        <x:v>当前原型或原有需求材料</x:v>
      </x:c>
    </x:row>
    <x:row r="204" ht="34" customHeight="1">
      <x:c r="A204" s="39" t="str">
        <x:v>统计、客户和基础设置</x:v>
      </x:c>
      <x:c r="B204" s="39" t="str">
        <x:v>登录与角色切换</x:v>
      </x:c>
      <x:c r="C204" s="39" t="str">
        <x:v>登录</x:v>
      </x:c>
      <x:c r="D204" s="39" t="str">
        <x:v>密码</x:v>
      </x:c>
      <x:c r="E204" s="39" t="str">
        <x:v>密码</x:v>
      </x:c>
      <x:c r="F204" s="39" t="str">
        <x:v>生产必填</x:v>
      </x:c>
      <x:c r="G204" s="39" t="str">
        <x:v>原型不代表正式鉴权</x:v>
      </x:c>
      <x:c r="H204" s="39" t="str">
        <x:v>原型/材料已定义</x:v>
      </x:c>
      <x:c r="I204" s="39" t="str">
        <x:v>当前原型或原有需求材料</x:v>
      </x:c>
    </x:row>
    <x:row r="205" ht="34" customHeight="1">
      <x:c r="A205" s="39" t="str">
        <x:v>统计、客户和基础设置</x:v>
      </x:c>
      <x:c r="B205" s="39" t="str">
        <x:v>登录与角色切换</x:v>
      </x:c>
      <x:c r="C205" s="39" t="str">
        <x:v>身份</x:v>
      </x:c>
      <x:c r="D205" s="39" t="str">
        <x:v>当前角色</x:v>
      </x:c>
      <x:c r="E205" s="39" t="str">
        <x:v>枚举</x:v>
      </x:c>
      <x:c r="F205" s="39" t="str">
        <x:v>是</x:v>
      </x:c>
      <x:c r="G205" s="39" t="str">
        <x:v>10类角色</x:v>
      </x:c>
      <x:c r="H205" s="39" t="str">
        <x:v>原型/材料已定义</x:v>
      </x:c>
      <x:c r="I205" s="39" t="str">
        <x:v>当前原型或原有需求材料</x:v>
      </x:c>
    </x:row>
    <x:row r="206" ht="34" customHeight="1">
      <x:c r="A206" s="39" t="str">
        <x:v>统计、客户和基础设置</x:v>
      </x:c>
      <x:c r="B206" s="39" t="str">
        <x:v>登录与角色切换</x:v>
      </x:c>
      <x:c r="C206" s="39" t="str">
        <x:v>权限</x:v>
      </x:c>
      <x:c r="D206" s="39" t="str">
        <x:v>允许页面</x:v>
      </x:c>
      <x:c r="E206" s="39" t="str">
        <x:v>计算</x:v>
      </x:c>
      <x:c r="F206" s="39" t="str">
        <x:v>是</x:v>
      </x:c>
      <x:c r="G206" s="39" t="str">
        <x:v>按角色菜单</x:v>
      </x:c>
      <x:c r="H206" s="39" t="str">
        <x:v>原型/材料已定义</x:v>
      </x:c>
      <x:c r="I206" s="39" t="str">
        <x:v>当前原型或原有需求材料</x:v>
      </x:c>
    </x:row>
    <x:row r="207" ht="34" customHeight="1">
      <x:c r="A207" s="39" t="str">
        <x:v>统计、客户和基础设置</x:v>
      </x:c>
      <x:c r="B207" s="39" t="str">
        <x:v>登录与角色切换</x:v>
      </x:c>
      <x:c r="C207" s="39" t="str">
        <x:v>权限</x:v>
      </x:c>
      <x:c r="D207" s="39" t="str">
        <x:v>数据范围</x:v>
      </x:c>
      <x:c r="E207" s="39" t="str">
        <x:v>计算</x:v>
      </x:c>
      <x:c r="F207" s="39" t="str">
        <x:v>是</x:v>
      </x:c>
      <x:c r="G207" s="39" t="str">
        <x:v>本人/团队/区域/全局</x:v>
      </x:c>
      <x:c r="H207" s="39" t="str">
        <x:v>原型/材料已定义</x:v>
      </x:c>
      <x:c r="I207" s="39" t="str">
        <x:v>当前原型或原有需求材料</x:v>
      </x:c>
    </x:row>
    <x:row r="208" ht="34" customHeight="1">
      <x:c r="A208" s="39" t="str">
        <x:v>原需求补充与上线约束</x:v>
      </x:c>
      <x:c r="B208" s="39" t="str">
        <x:v>编号规则配置</x:v>
      </x:c>
      <x:c r="C208" s="39" t="str">
        <x:v>规则</x:v>
      </x:c>
      <x:c r="D208" s="39" t="str">
        <x:v>编号对象</x:v>
      </x:c>
      <x:c r="E208" s="39" t="str">
        <x:v>枚举</x:v>
      </x:c>
      <x:c r="F208" s="39" t="str">
        <x:v>是</x:v>
      </x:c>
      <x:c r="G208" s="39" t="str">
        <x:v>CALL/任务/项目/外部Reference</x:v>
      </x:c>
      <x:c r="H208" s="39" t="str">
        <x:v>原型/材料已定义</x:v>
      </x:c>
      <x:c r="I208" s="39" t="str">
        <x:v>当前原型或原有需求材料</x:v>
      </x:c>
    </x:row>
    <x:row r="209" ht="34" customHeight="1">
      <x:c r="A209" s="39" t="str">
        <x:v>原需求补充与上线约束</x:v>
      </x:c>
      <x:c r="B209" s="39" t="str">
        <x:v>编号规则配置</x:v>
      </x:c>
      <x:c r="C209" s="39" t="str">
        <x:v>规则</x:v>
      </x:c>
      <x:c r="D209" s="39" t="str">
        <x:v>客户类别</x:v>
      </x:c>
      <x:c r="E209" s="39" t="str">
        <x:v>枚举</x:v>
      </x:c>
      <x:c r="F209" s="39" t="str">
        <x:v>否</x:v>
      </x:c>
      <x:c r="G209" s="39" t="str">
        <x:v>普通/政府</x:v>
      </x:c>
      <x:c r="H209" s="39" t="str">
        <x:v>原型/材料已定义</x:v>
      </x:c>
      <x:c r="I209" s="39" t="str">
        <x:v>当前原型或原有需求材料</x:v>
      </x:c>
    </x:row>
    <x:row r="210" ht="34" customHeight="1">
      <x:c r="A210" s="39" t="str">
        <x:v>原需求补充与上线约束</x:v>
      </x:c>
      <x:c r="B210" s="39" t="str">
        <x:v>编号规则配置</x:v>
      </x:c>
      <x:c r="C210" s="39" t="str">
        <x:v>规则</x:v>
      </x:c>
      <x:c r="D210" s="39" t="str">
        <x:v>前缀/日期格式</x:v>
      </x:c>
      <x:c r="E210" s="39" t="str">
        <x:v>文本</x:v>
      </x:c>
      <x:c r="F210" s="39" t="str">
        <x:v>是</x:v>
      </x:c>
      <x:c r="G210" s="39" t="str">
        <x:v>如WO-YYYYMMDD</x:v>
      </x:c>
      <x:c r="H210" s="39" t="str">
        <x:v>原型/材料已定义</x:v>
      </x:c>
      <x:c r="I210" s="39" t="str">
        <x:v>当前原型或原有需求材料</x:v>
      </x:c>
    </x:row>
    <x:row r="211" ht="34" customHeight="1">
      <x:c r="A211" s="39" t="str">
        <x:v>原需求补充与上线约束</x:v>
      </x:c>
      <x:c r="B211" s="39" t="str">
        <x:v>编号规则配置</x:v>
      </x:c>
      <x:c r="C211" s="39" t="str">
        <x:v>规则</x:v>
      </x:c>
      <x:c r="D211" s="39" t="str">
        <x:v>流水位数</x:v>
      </x:c>
      <x:c r="E211" s="39" t="str">
        <x:v>数字</x:v>
      </x:c>
      <x:c r="F211" s="39" t="str">
        <x:v>是</x:v>
      </x:c>
      <x:c r="G211" s="39" t="str">
        <x:v>每日或全局流水</x:v>
      </x:c>
      <x:c r="H211" s="39" t="str">
        <x:v>原型/材料已定义</x:v>
      </x:c>
      <x:c r="I211" s="39" t="str">
        <x:v>当前原型或原有需求材料</x:v>
      </x:c>
    </x:row>
    <x:row r="212" ht="34" customHeight="1">
      <x:c r="A212" s="39" t="str">
        <x:v>原需求补充与上线约束</x:v>
      </x:c>
      <x:c r="B212" s="39" t="str">
        <x:v>编号规则配置</x:v>
      </x:c>
      <x:c r="C212" s="39" t="str">
        <x:v>规则</x:v>
      </x:c>
      <x:c r="D212" s="39" t="str">
        <x:v>启用状态</x:v>
      </x:c>
      <x:c r="E212" s="39" t="str">
        <x:v>布尔</x:v>
      </x:c>
      <x:c r="F212" s="39" t="str">
        <x:v>是</x:v>
      </x:c>
      <x:c r="G212" s="39" t="str">
        <x:v>历史规则保留</x:v>
      </x:c>
      <x:c r="H212" s="39" t="str">
        <x:v>原型/材料已定义</x:v>
      </x:c>
      <x:c r="I212" s="39" t="str">
        <x:v>当前原型或原有需求材料</x:v>
      </x:c>
    </x:row>
    <x:row r="213" ht="34" customHeight="1">
      <x:c r="A213" s="39" t="str">
        <x:v>原需求补充与上线约束</x:v>
      </x:c>
      <x:c r="B213" s="39" t="str">
        <x:v>不可拍照豁免</x:v>
      </x:c>
      <x:c r="C213" s="39" t="str">
        <x:v>范围</x:v>
      </x:c>
      <x:c r="D213" s="39" t="str">
        <x:v>客户/地点</x:v>
      </x:c>
      <x:c r="E213" s="39" t="str">
        <x:v>关联选择</x:v>
      </x:c>
      <x:c r="F213" s="39" t="str">
        <x:v>是</x:v>
      </x:c>
      <x:c r="G213" s="39" t="str">
        <x:v>豁免对象</x:v>
      </x:c>
      <x:c r="H213" s="39" t="str">
        <x:v>原型/材料已定义</x:v>
      </x:c>
      <x:c r="I213" s="39" t="str">
        <x:v>当前原型或原有需求材料</x:v>
      </x:c>
    </x:row>
    <x:row r="214" ht="34" customHeight="1">
      <x:c r="A214" s="39" t="str">
        <x:v>原需求补充与上线约束</x:v>
      </x:c>
      <x:c r="B214" s="39" t="str">
        <x:v>不可拍照豁免</x:v>
      </x:c>
      <x:c r="C214" s="39" t="str">
        <x:v>规则</x:v>
      </x:c>
      <x:c r="D214" s="39" t="str">
        <x:v>不可拍照</x:v>
      </x:c>
      <x:c r="E214" s="39" t="str">
        <x:v>布尔</x:v>
      </x:c>
      <x:c r="F214" s="39" t="str">
        <x:v>是</x:v>
      </x:c>
      <x:c r="G214" s="39" t="str">
        <x:v>启用豁免</x:v>
      </x:c>
      <x:c r="H214" s="39" t="str">
        <x:v>原型/材料已定义</x:v>
      </x:c>
      <x:c r="I214" s="39" t="str">
        <x:v>当前原型或原有需求材料</x:v>
      </x:c>
    </x:row>
    <x:row r="215" ht="34" customHeight="1">
      <x:c r="A215" s="39" t="str">
        <x:v>原需求补充与上线约束</x:v>
      </x:c>
      <x:c r="B215" s="39" t="str">
        <x:v>不可拍照豁免</x:v>
      </x:c>
      <x:c r="C215" s="39" t="str">
        <x:v>规则</x:v>
      </x:c>
      <x:c r="D215" s="39" t="str">
        <x:v>原因</x:v>
      </x:c>
      <x:c r="E215" s="39" t="str">
        <x:v>多行文本</x:v>
      </x:c>
      <x:c r="F215" s="39" t="str">
        <x:v>是</x:v>
      </x:c>
      <x:c r="G215" s="39" t="str">
        <x:v>合规依据</x:v>
      </x:c>
      <x:c r="H215" s="39" t="str">
        <x:v>原型/材料已定义</x:v>
      </x:c>
      <x:c r="I215" s="39" t="str">
        <x:v>当前原型或原有需求材料</x:v>
      </x:c>
    </x:row>
    <x:row r="216" ht="34" customHeight="1">
      <x:c r="A216" s="39" t="str">
        <x:v>原需求补充与上线约束</x:v>
      </x:c>
      <x:c r="B216" s="39" t="str">
        <x:v>不可拍照豁免</x:v>
      </x:c>
      <x:c r="C216" s="39" t="str">
        <x:v>规则</x:v>
      </x:c>
      <x:c r="D216" s="39" t="str">
        <x:v>替代证明</x:v>
      </x:c>
      <x:c r="E216" s="39" t="str">
        <x:v>枚举/附件</x:v>
      </x:c>
      <x:c r="F216" s="39" t="str">
        <x:v>否</x:v>
      </x:c>
      <x:c r="G216" s="39" t="str">
        <x:v>文字/文件</x:v>
      </x:c>
      <x:c r="H216" s="39" t="str">
        <x:v>原型/材料已定义</x:v>
      </x:c>
      <x:c r="I216" s="39" t="str">
        <x:v>当前原型或原有需求材料</x:v>
      </x:c>
    </x:row>
    <x:row r="217" ht="34" customHeight="1">
      <x:c r="A217" s="39" t="str">
        <x:v>原需求补充与上线约束</x:v>
      </x:c>
      <x:c r="B217" s="39" t="str">
        <x:v>不可拍照豁免</x:v>
      </x:c>
      <x:c r="C217" s="39" t="str">
        <x:v>规则</x:v>
      </x:c>
      <x:c r="D217" s="39" t="str">
        <x:v>有效期</x:v>
      </x:c>
      <x:c r="E217" s="39" t="str">
        <x:v>日期范围</x:v>
      </x:c>
      <x:c r="F217" s="39" t="str">
        <x:v>否</x:v>
      </x:c>
      <x:c r="G217" s="39" t="str">
        <x:v>到期复核</x:v>
      </x:c>
      <x:c r="H217" s="39" t="str">
        <x:v>原型/材料已定义</x:v>
      </x:c>
      <x:c r="I217" s="39" t="str">
        <x:v>当前原型或原有需求材料</x:v>
      </x:c>
    </x:row>
    <x:row r="218" ht="34" customHeight="1">
      <x:c r="A218" s="39" t="str">
        <x:v>原需求补充与上线约束</x:v>
      </x:c>
      <x:c r="B218" s="39" t="str">
        <x:v>SLA与提醒规则</x:v>
      </x:c>
      <x:c r="C218" s="39" t="str">
        <x:v>规则</x:v>
      </x:c>
      <x:c r="D218" s="39" t="str">
        <x:v>业务事件</x:v>
      </x:c>
      <x:c r="E218" s="39" t="str">
        <x:v>枚举</x:v>
      </x:c>
      <x:c r="F218" s="39" t="str">
        <x:v>是</x:v>
      </x:c>
      <x:c r="G218" s="39" t="str">
        <x:v>未接单/未到场/超时/采购停滞</x:v>
      </x:c>
      <x:c r="H218" s="39" t="str">
        <x:v>原型/材料已定义</x:v>
      </x:c>
      <x:c r="I218" s="39" t="str">
        <x:v>当前原型或原有需求材料</x:v>
      </x:c>
    </x:row>
    <x:row r="219" ht="34" customHeight="1">
      <x:c r="A219" s="39" t="str">
        <x:v>原需求补充与上线约束</x:v>
      </x:c>
      <x:c r="B219" s="39" t="str">
        <x:v>SLA与提醒规则</x:v>
      </x:c>
      <x:c r="C219" s="39" t="str">
        <x:v>规则</x:v>
      </x:c>
      <x:c r="D219" s="39" t="str">
        <x:v>阈值</x:v>
      </x:c>
      <x:c r="E219" s="39" t="str">
        <x:v>数字+单位</x:v>
      </x:c>
      <x:c r="F219" s="39" t="str">
        <x:v>是</x:v>
      </x:c>
      <x:c r="G219" s="39" t="str">
        <x:v>分钟/小时/天</x:v>
      </x:c>
      <x:c r="H219" s="39" t="str">
        <x:v>原型/材料已定义</x:v>
      </x:c>
      <x:c r="I219" s="39" t="str">
        <x:v>当前原型或原有需求材料</x:v>
      </x:c>
    </x:row>
    <x:row r="220" ht="34" customHeight="1">
      <x:c r="A220" s="39" t="str">
        <x:v>原需求补充与上线约束</x:v>
      </x:c>
      <x:c r="B220" s="39" t="str">
        <x:v>SLA与提醒规则</x:v>
      </x:c>
      <x:c r="C220" s="39" t="str">
        <x:v>接收</x:v>
      </x:c>
      <x:c r="D220" s="39" t="str">
        <x:v>接收角色/人员</x:v>
      </x:c>
      <x:c r="E220" s="39" t="str">
        <x:v>多选</x:v>
      </x:c>
      <x:c r="F220" s="39" t="str">
        <x:v>是</x:v>
      </x:c>
      <x:c r="G220" s="39" t="str">
        <x:v>负责人及升级对象</x:v>
      </x:c>
      <x:c r="H220" s="39" t="str">
        <x:v>原型/材料已定义</x:v>
      </x:c>
      <x:c r="I220" s="39" t="str">
        <x:v>当前原型或原有需求材料</x:v>
      </x:c>
    </x:row>
    <x:row r="221" ht="34" customHeight="1">
      <x:c r="A221" s="39" t="str">
        <x:v>原需求补充与上线约束</x:v>
      </x:c>
      <x:c r="B221" s="39" t="str">
        <x:v>SLA与提醒规则</x:v>
      </x:c>
      <x:c r="C221" s="39" t="str">
        <x:v>渠道</x:v>
      </x:c>
      <x:c r="D221" s="39" t="str">
        <x:v>通知渠道</x:v>
      </x:c>
      <x:c r="E221" s="39" t="str">
        <x:v>多选</x:v>
      </x:c>
      <x:c r="F221" s="39" t="str">
        <x:v>是</x:v>
      </x:c>
      <x:c r="G221" s="39" t="str">
        <x:v>系统内/钉钉/邮件</x:v>
      </x:c>
      <x:c r="H221" s="39" t="str">
        <x:v>原型/材料已定义</x:v>
      </x:c>
      <x:c r="I221" s="39" t="str">
        <x:v>当前原型或原有需求材料</x:v>
      </x:c>
    </x:row>
    <x:row r="222" ht="34" customHeight="1">
      <x:c r="A222" s="39" t="str">
        <x:v>原需求补充与上线约束</x:v>
      </x:c>
      <x:c r="B222" s="39" t="str">
        <x:v>SLA与提醒规则</x:v>
      </x:c>
      <x:c r="C222" s="39" t="str">
        <x:v>状态</x:v>
      </x:c>
      <x:c r="D222" s="39" t="str">
        <x:v>启用状态</x:v>
      </x:c>
      <x:c r="E222" s="39" t="str">
        <x:v>布尔</x:v>
      </x:c>
      <x:c r="F222" s="39" t="str">
        <x:v>是</x:v>
      </x:c>
      <x:c r="G222" s="39" t="str">
        <x:v>规则开关</x:v>
      </x:c>
      <x:c r="H222" s="39" t="str">
        <x:v>原型/材料已定义</x:v>
      </x:c>
      <x:c r="I222" s="39" t="str">
        <x:v>当前原型或原有需求材料</x:v>
      </x:c>
    </x:row>
    <x:row r="223" ht="34" customHeight="1">
      <x:c r="A223" s="39" t="str">
        <x:v>原需求补充与上线约束</x:v>
      </x:c>
      <x:c r="B223" s="39" t="str">
        <x:v>工单池</x:v>
      </x:c>
      <x:c r="C223" s="39" t="str">
        <x:v>任务</x:v>
      </x:c>
      <x:c r="D223" s="39" t="str">
        <x:v>任务编号/区域/类型</x:v>
      </x:c>
      <x:c r="E223" s="39" t="str">
        <x:v>文本/枚举</x:v>
      </x:c>
      <x:c r="F223" s="39" t="str">
        <x:v>是</x:v>
      </x:c>
      <x:c r="G223" s="39" t="str">
        <x:v>开放任务</x:v>
      </x:c>
      <x:c r="H223" s="39" t="str">
        <x:v>原型/材料已定义</x:v>
      </x:c>
      <x:c r="I223" s="39" t="str">
        <x:v>当前原型或原有需求材料</x:v>
      </x:c>
    </x:row>
    <x:row r="224" ht="34" customHeight="1">
      <x:c r="A224" s="39" t="str">
        <x:v>原需求补充与上线约束</x:v>
      </x:c>
      <x:c r="B224" s="39" t="str">
        <x:v>工单池</x:v>
      </x:c>
      <x:c r="C224" s="39" t="str">
        <x:v>资格</x:v>
      </x:c>
      <x:c r="D224" s="39" t="str">
        <x:v>可申请范围</x:v>
      </x:c>
      <x:c r="E224" s="39" t="str">
        <x:v>规则</x:v>
      </x:c>
      <x:c r="F224" s="39" t="str">
        <x:v>是</x:v>
      </x:c>
      <x:c r="G224" s="39" t="str">
        <x:v>区域/角色/状态</x:v>
      </x:c>
      <x:c r="H224" s="39" t="str">
        <x:v>原型/材料已定义</x:v>
      </x:c>
      <x:c r="I224" s="39" t="str">
        <x:v>当前原型或原有需求材料</x:v>
      </x:c>
    </x:row>
    <x:row r="225" ht="34" customHeight="1">
      <x:c r="A225" s="39" t="str">
        <x:v>原需求补充与上线约束</x:v>
      </x:c>
      <x:c r="B225" s="39" t="str">
        <x:v>工单池</x:v>
      </x:c>
      <x:c r="C225" s="39" t="str">
        <x:v>申请</x:v>
      </x:c>
      <x:c r="D225" s="39" t="str">
        <x:v>申请师傅/时间</x:v>
      </x:c>
      <x:c r="E225" s="39" t="str">
        <x:v>人员/日期时间</x:v>
      </x:c>
      <x:c r="F225" s="39" t="str">
        <x:v>是</x:v>
      </x:c>
      <x:c r="G225" s="39" t="str">
        <x:v>申请记录</x:v>
      </x:c>
      <x:c r="H225" s="39" t="str">
        <x:v>原型/材料已定义</x:v>
      </x:c>
      <x:c r="I225" s="39" t="str">
        <x:v>当前原型或原有需求材料</x:v>
      </x:c>
    </x:row>
    <x:row r="226" ht="34" customHeight="1">
      <x:c r="A226" s="39" t="str">
        <x:v>原需求补充与上线约束</x:v>
      </x:c>
      <x:c r="B226" s="39" t="str">
        <x:v>工单池</x:v>
      </x:c>
      <x:c r="C226" s="39" t="str">
        <x:v>申请</x:v>
      </x:c>
      <x:c r="D226" s="39" t="str">
        <x:v>申请说明</x:v>
      </x:c>
      <x:c r="E226" s="39" t="str">
        <x:v>多行文本</x:v>
      </x:c>
      <x:c r="F226" s="39" t="str">
        <x:v>否</x:v>
      </x:c>
      <x:c r="G226" s="39" t="str">
        <x:v>接单说明</x:v>
      </x:c>
      <x:c r="H226" s="39" t="str">
        <x:v>原型/材料已定义</x:v>
      </x:c>
      <x:c r="I226" s="39" t="str">
        <x:v>当前原型或原有需求材料</x:v>
      </x:c>
    </x:row>
    <x:row r="227" ht="34" customHeight="1">
      <x:c r="A227" s="39" t="str">
        <x:v>原需求补充与上线约束</x:v>
      </x:c>
      <x:c r="B227" s="39" t="str">
        <x:v>工单池</x:v>
      </x:c>
      <x:c r="C227" s="39" t="str">
        <x:v>审批</x:v>
      </x:c>
      <x:c r="D227" s="39" t="str">
        <x:v>结果/意见</x:v>
      </x:c>
      <x:c r="E227" s="39" t="str">
        <x:v>枚举/文本</x:v>
      </x:c>
      <x:c r="F227" s="39" t="str">
        <x:v>是</x:v>
      </x:c>
      <x:c r="G227" s="39" t="str">
        <x:v>主管确认</x:v>
      </x:c>
      <x:c r="H227" s="39" t="str">
        <x:v>原型/材料已定义</x:v>
      </x:c>
      <x:c r="I227" s="39" t="str">
        <x:v>当前原型或原有需求材料</x:v>
      </x:c>
    </x:row>
    <x:row r="228" ht="34" customHeight="1">
      <x:c r="A228" s="39" t="str">
        <x:v>原需求补充与上线约束</x:v>
      </x:c>
      <x:c r="B228" s="39" t="str">
        <x:v>简版报销关联</x:v>
      </x:c>
      <x:c r="C228" s="39" t="str">
        <x:v>报销</x:v>
      </x:c>
      <x:c r="D228" s="39" t="str">
        <x:v>报销编号</x:v>
      </x:c>
      <x:c r="E228" s="39" t="str">
        <x:v>自动编号</x:v>
      </x:c>
      <x:c r="F228" s="39" t="str">
        <x:v>是</x:v>
      </x:c>
      <x:c r="G228" s="39" t="str">
        <x:v>记录标识</x:v>
      </x:c>
      <x:c r="H228" s="39" t="str">
        <x:v>原型/材料已定义</x:v>
      </x:c>
      <x:c r="I228" s="39" t="str">
        <x:v>当前原型或原有需求材料</x:v>
      </x:c>
    </x:row>
    <x:row r="229" ht="34" customHeight="1">
      <x:c r="A229" s="39" t="str">
        <x:v>原需求补充与上线约束</x:v>
      </x:c>
      <x:c r="B229" s="39" t="str">
        <x:v>简版报销关联</x:v>
      </x:c>
      <x:c r="C229" s="39" t="str">
        <x:v>人员</x:v>
      </x:c>
      <x:c r="D229" s="39" t="str">
        <x:v>报销人</x:v>
      </x:c>
      <x:c r="E229" s="39" t="str">
        <x:v>人员</x:v>
      </x:c>
      <x:c r="F229" s="39" t="str">
        <x:v>是</x:v>
      </x:c>
      <x:c r="G229" s="39" t="str">
        <x:v>当前用户</x:v>
      </x:c>
      <x:c r="H229" s="39" t="str">
        <x:v>原型/材料已定义</x:v>
      </x:c>
      <x:c r="I229" s="39" t="str">
        <x:v>当前原型或原有需求材料</x:v>
      </x:c>
    </x:row>
    <x:row r="230" ht="34" customHeight="1">
      <x:c r="A230" s="39" t="str">
        <x:v>原需求补充与上线约束</x:v>
      </x:c>
      <x:c r="B230" s="39" t="str">
        <x:v>简版报销关联</x:v>
      </x:c>
      <x:c r="C230" s="39" t="str">
        <x:v>关联</x:v>
      </x:c>
      <x:c r="D230" s="39" t="str">
        <x:v>已完成CALL</x:v>
      </x:c>
      <x:c r="E230" s="39" t="str">
        <x:v>多选关联</x:v>
      </x:c>
      <x:c r="F230" s="39" t="str">
        <x:v>是</x:v>
      </x:c>
      <x:c r="G230" s="39" t="str">
        <x:v>可多张</x:v>
      </x:c>
      <x:c r="H230" s="39" t="str">
        <x:v>原型/材料已定义</x:v>
      </x:c>
      <x:c r="I230" s="39" t="str">
        <x:v>当前原型或原有需求材料</x:v>
      </x:c>
    </x:row>
    <x:row r="231" ht="34" customHeight="1">
      <x:c r="A231" s="39" t="str">
        <x:v>原需求补充与上线约束</x:v>
      </x:c>
      <x:c r="B231" s="39" t="str">
        <x:v>简版报销关联</x:v>
      </x:c>
      <x:c r="C231" s="39" t="str">
        <x:v>费用</x:v>
      </x:c>
      <x:c r="D231" s="39" t="str">
        <x:v>费用类型/金额</x:v>
      </x:c>
      <x:c r="E231" s="39" t="str">
        <x:v>枚举/数字</x:v>
      </x:c>
      <x:c r="F231" s="39" t="str">
        <x:v>是</x:v>
      </x:c>
      <x:c r="G231" s="39" t="str">
        <x:v>金额合计</x:v>
      </x:c>
      <x:c r="H231" s="39" t="str">
        <x:v>原型/材料已定义</x:v>
      </x:c>
      <x:c r="I231" s="39" t="str">
        <x:v>当前原型或原有需求材料</x:v>
      </x:c>
    </x:row>
    <x:row r="232" ht="34" customHeight="1">
      <x:c r="A232" s="39" t="str">
        <x:v>原需求补充与上线约束</x:v>
      </x:c>
      <x:c r="B232" s="39" t="str">
        <x:v>简版报销关联</x:v>
      </x:c>
      <x:c r="C232" s="39" t="str">
        <x:v>附件</x:v>
      </x:c>
      <x:c r="D232" s="39" t="str">
        <x:v>票据附件</x:v>
      </x:c>
      <x:c r="E232" s="39" t="str">
        <x:v>附件</x:v>
      </x:c>
      <x:c r="F232" s="39" t="str">
        <x:v>是</x:v>
      </x:c>
      <x:c r="G232" s="39" t="str">
        <x:v>不含OCR</x:v>
      </x:c>
      <x:c r="H232" s="39" t="str">
        <x:v>原型/材料已定义</x:v>
      </x:c>
      <x:c r="I232" s="39" t="str">
        <x:v>当前原型或原有需求材料</x:v>
      </x:c>
    </x:row>
    <x:row r="233" ht="34" customHeight="1">
      <x:c r="A233" s="39" t="str">
        <x:v>原需求补充与上线约束</x:v>
      </x:c>
      <x:c r="B233" s="39" t="str">
        <x:v>简版报销关联</x:v>
      </x:c>
      <x:c r="C233" s="39" t="str">
        <x:v>备注</x:v>
      </x:c>
      <x:c r="D233" s="39" t="str">
        <x:v>说明</x:v>
      </x:c>
      <x:c r="E233" s="39" t="str">
        <x:v>多行文本</x:v>
      </x:c>
      <x:c r="F233" s="39" t="str">
        <x:v>否</x:v>
      </x:c>
      <x:c r="G233" s="39" t="str">
        <x:v>补充说明</x:v>
      </x:c>
      <x:c r="H233" s="39" t="str">
        <x:v>原型/材料已定义</x:v>
      </x:c>
      <x:c r="I233" s="39" t="str">
        <x:v>当前原型或原有需求材料</x:v>
      </x:c>
    </x:row>
    <x:row r="234" ht="34" customHeight="1">
      <x:c r="A234" s="39" t="str">
        <x:v>原需求补充与上线约束</x:v>
      </x:c>
      <x:c r="B234" s="39" t="str">
        <x:v>PM/CM分类映射</x:v>
      </x:c>
      <x:c r="C234" s="39" t="str">
        <x:v>原分类</x:v>
      </x:c>
      <x:c r="D234" s="39" t="str">
        <x:v>PM/CM分类</x:v>
      </x:c>
      <x:c r="E234" s="39" t="str">
        <x:v>枚举</x:v>
      </x:c>
      <x:c r="F234" s="39" t="str">
        <x:v>是</x:v>
      </x:c>
      <x:c r="G234" s="39" t="str">
        <x:v>历史口径</x:v>
      </x:c>
      <x:c r="H234" s="39" t="str">
        <x:v>原型/材料已定义</x:v>
      </x:c>
      <x:c r="I234" s="39" t="str">
        <x:v>当前原型或原有需求材料</x:v>
      </x:c>
    </x:row>
    <x:row r="235" ht="34" customHeight="1">
      <x:c r="A235" s="39" t="str">
        <x:v>原需求补充与上线约束</x:v>
      </x:c>
      <x:c r="B235" s="39" t="str">
        <x:v>PM/CM分类映射</x:v>
      </x:c>
      <x:c r="C235" s="39" t="str">
        <x:v>新分类</x:v>
      </x:c>
      <x:c r="D235" s="39" t="str">
        <x:v>CALL类型</x:v>
      </x:c>
      <x:c r="E235" s="39" t="str">
        <x:v>字典</x:v>
      </x:c>
      <x:c r="F235" s="39" t="str">
        <x:v>是</x:v>
      </x:c>
      <x:c r="G235" s="39" t="str">
        <x:v>当前五类</x:v>
      </x:c>
      <x:c r="H235" s="39" t="str">
        <x:v>原型/材料已定义</x:v>
      </x:c>
      <x:c r="I235" s="39" t="str">
        <x:v>当前原型或原有需求材料</x:v>
      </x:c>
    </x:row>
    <x:row r="236" ht="34" customHeight="1">
      <x:c r="A236" s="39" t="str">
        <x:v>原需求补充与上线约束</x:v>
      </x:c>
      <x:c r="B236" s="39" t="str">
        <x:v>PM/CM分类映射</x:v>
      </x:c>
      <x:c r="C236" s="39" t="str">
        <x:v>规则</x:v>
      </x:c>
      <x:c r="D236" s="39" t="str">
        <x:v>映射说明</x:v>
      </x:c>
      <x:c r="E236" s="39" t="str">
        <x:v>多行文本</x:v>
      </x:c>
      <x:c r="F236" s="39" t="str">
        <x:v>是</x:v>
      </x:c>
      <x:c r="G236" s="39" t="str">
        <x:v>边界与示例</x:v>
      </x:c>
      <x:c r="H236" s="39" t="str">
        <x:v>原型/材料已定义</x:v>
      </x:c>
      <x:c r="I236" s="39" t="str">
        <x:v>当前原型或原有需求材料</x:v>
      </x:c>
    </x:row>
    <x:row r="237" ht="34" customHeight="1">
      <x:c r="A237" s="39" t="str">
        <x:v>原需求补充与上线约束</x:v>
      </x:c>
      <x:c r="B237" s="39" t="str">
        <x:v>PM/CM分类映射</x:v>
      </x:c>
      <x:c r="C237" s="39" t="str">
        <x:v>规则</x:v>
      </x:c>
      <x:c r="D237" s="39" t="str">
        <x:v>启用日期</x:v>
      </x:c>
      <x:c r="E237" s="39" t="str">
        <x:v>日期</x:v>
      </x:c>
      <x:c r="F237" s="39" t="str">
        <x:v>是</x:v>
      </x:c>
      <x:c r="G237" s="39" t="str">
        <x:v>版本生效</x:v>
      </x:c>
      <x:c r="H237" s="39" t="str">
        <x:v>原型/材料已定义</x:v>
      </x:c>
      <x:c r="I237" s="39" t="str">
        <x:v>当前原型或原有需求材料</x:v>
      </x:c>
    </x:row>
    <x:row r="238" ht="34" customHeight="1">
      <x:c r="A238" s="39" t="str">
        <x:v>原需求补充与上线约束</x:v>
      </x:c>
      <x:c r="B238" s="39" t="str">
        <x:v>PM/CM分类映射</x:v>
      </x:c>
      <x:c r="C238" s="39" t="str">
        <x:v>状态</x:v>
      </x:c>
      <x:c r="D238" s="39" t="str">
        <x:v>启用状态</x:v>
      </x:c>
      <x:c r="E238" s="39" t="str">
        <x:v>布尔</x:v>
      </x:c>
      <x:c r="F238" s="39" t="str">
        <x:v>是</x:v>
      </x:c>
      <x:c r="G238" s="39" t="str">
        <x:v>保留历史</x:v>
      </x:c>
      <x:c r="H238" s="39" t="str">
        <x:v>原型/材料已定义</x:v>
      </x:c>
      <x:c r="I238" s="39" t="str">
        <x:v>当前原型或原有需求材料</x:v>
      </x:c>
    </x:row>
    <x:row r="239" ht="34" customHeight="1">
      <x:c r="A239" s="39" t="str">
        <x:v>原需求补充与上线约束</x:v>
      </x:c>
      <x:c r="B239" s="39" t="str">
        <x:v>编号关联查询</x:v>
      </x:c>
      <x:c r="C239" s="39" t="str">
        <x:v>编号</x:v>
      </x:c>
      <x:c r="D239" s="39" t="str">
        <x:v>项目编号</x:v>
      </x:c>
      <x:c r="E239" s="39" t="str">
        <x:v>文本</x:v>
      </x:c>
      <x:c r="F239" s="39" t="str">
        <x:v>否</x:v>
      </x:c>
      <x:c r="G239" s="39" t="str">
        <x:v>项目维度</x:v>
      </x:c>
      <x:c r="H239" s="39" t="str">
        <x:v>原型/材料已定义</x:v>
      </x:c>
      <x:c r="I239" s="39" t="str">
        <x:v>当前原型或原有需求材料</x:v>
      </x:c>
    </x:row>
    <x:row r="240" ht="34" customHeight="1">
      <x:c r="A240" s="39" t="str">
        <x:v>原需求补充与上线约束</x:v>
      </x:c>
      <x:c r="B240" s="39" t="str">
        <x:v>编号关联查询</x:v>
      </x:c>
      <x:c r="C240" s="39" t="str">
        <x:v>编号</x:v>
      </x:c>
      <x:c r="D240" s="39" t="str">
        <x:v>CALL编号</x:v>
      </x:c>
      <x:c r="E240" s="39" t="str">
        <x:v>文本</x:v>
      </x:c>
      <x:c r="F240" s="39" t="str">
        <x:v>是</x:v>
      </x:c>
      <x:c r="G240" s="39" t="str">
        <x:v>主业务编号</x:v>
      </x:c>
      <x:c r="H240" s="39" t="str">
        <x:v>原型/材料已定义</x:v>
      </x:c>
      <x:c r="I240" s="39" t="str">
        <x:v>当前原型或原有需求材料</x:v>
      </x:c>
    </x:row>
    <x:row r="241" ht="34" customHeight="1">
      <x:c r="A241" s="39" t="str">
        <x:v>原需求补充与上线约束</x:v>
      </x:c>
      <x:c r="B241" s="39" t="str">
        <x:v>编号关联查询</x:v>
      </x:c>
      <x:c r="C241" s="39" t="str">
        <x:v>编号</x:v>
      </x:c>
      <x:c r="D241" s="39" t="str">
        <x:v>任务编号</x:v>
      </x:c>
      <x:c r="E241" s="39" t="str">
        <x:v>文本</x:v>
      </x:c>
      <x:c r="F241" s="39" t="str">
        <x:v>条件</x:v>
      </x:c>
      <x:c r="G241" s="39" t="str">
        <x:v>分派流水</x:v>
      </x:c>
      <x:c r="H241" s="39" t="str">
        <x:v>原型/材料已定义</x:v>
      </x:c>
      <x:c r="I241" s="39" t="str">
        <x:v>当前原型或原有需求材料</x:v>
      </x:c>
    </x:row>
    <x:row r="242" ht="34" customHeight="1">
      <x:c r="A242" s="39" t="str">
        <x:v>原需求补充与上线约束</x:v>
      </x:c>
      <x:c r="B242" s="39" t="str">
        <x:v>编号关联查询</x:v>
      </x:c>
      <x:c r="C242" s="39" t="str">
        <x:v>编号</x:v>
      </x:c>
      <x:c r="D242" s="39" t="str">
        <x:v>外部Reference</x:v>
      </x:c>
      <x:c r="E242" s="39" t="str">
        <x:v>文本</x:v>
      </x:c>
      <x:c r="F242" s="39" t="str">
        <x:v>否</x:v>
      </x:c>
      <x:c r="G242" s="39" t="str">
        <x:v>客户/外部系统编号</x:v>
      </x:c>
      <x:c r="H242" s="39" t="str">
        <x:v>原型/材料已定义</x:v>
      </x:c>
      <x:c r="I242" s="39" t="str">
        <x:v>当前原型或原有需求材料</x:v>
      </x:c>
    </x:row>
    <x:row r="243" ht="34" customHeight="1">
      <x:c r="A243" s="39" t="str">
        <x:v>原需求补充与上线约束</x:v>
      </x:c>
      <x:c r="B243" s="39" t="str">
        <x:v>编号关联查询</x:v>
      </x:c>
      <x:c r="C243" s="39" t="str">
        <x:v>关系</x:v>
      </x:c>
      <x:c r="D243" s="39" t="str">
        <x:v>关联类型</x:v>
      </x:c>
      <x:c r="E243" s="39" t="str">
        <x:v>枚举</x:v>
      </x:c>
      <x:c r="F243" s="39" t="str">
        <x:v>是</x:v>
      </x:c>
      <x:c r="G243" s="39" t="str">
        <x:v>一对一/一对多</x:v>
      </x:c>
      <x:c r="H243" s="39" t="str">
        <x:v>原型/材料已定义</x:v>
      </x:c>
      <x:c r="I243" s="39" t="str">
        <x:v>当前原型或原有需求材料</x:v>
      </x:c>
    </x:row>
    <x:row r="244" ht="34" customHeight="1">
      <x:c r="A244" s="39" t="str">
        <x:v>原需求补充与上线约束</x:v>
      </x:c>
      <x:c r="B244" s="39" t="str">
        <x:v>归档与恢复规则</x:v>
      </x:c>
      <x:c r="C244" s="39" t="str">
        <x:v>范围</x:v>
      </x:c>
      <x:c r="D244" s="39" t="str">
        <x:v>归档对象</x:v>
      </x:c>
      <x:c r="E244" s="39" t="str">
        <x:v>多选</x:v>
      </x:c>
      <x:c r="F244" s="39" t="str">
        <x:v>是</x:v>
      </x:c>
      <x:c r="G244" s="39" t="str">
        <x:v>CALL/报告/附件</x:v>
      </x:c>
      <x:c r="H244" s="39" t="str">
        <x:v>原型/材料已定义</x:v>
      </x:c>
      <x:c r="I244" s="39" t="str">
        <x:v>当前原型或原有需求材料</x:v>
      </x:c>
    </x:row>
    <x:row r="245" ht="34" customHeight="1">
      <x:c r="A245" s="39" t="str">
        <x:v>原需求补充与上线约束</x:v>
      </x:c>
      <x:c r="B245" s="39" t="str">
        <x:v>归档与恢复规则</x:v>
      </x:c>
      <x:c r="C245" s="39" t="str">
        <x:v>条件</x:v>
      </x:c>
      <x:c r="D245" s="39" t="str">
        <x:v>状态/时间条件</x:v>
      </x:c>
      <x:c r="E245" s="39" t="str">
        <x:v>规则</x:v>
      </x:c>
      <x:c r="F245" s="39" t="str">
        <x:v>是</x:v>
      </x:c>
      <x:c r="G245" s="39" t="str">
        <x:v>完成/取消后N天</x:v>
      </x:c>
      <x:c r="H245" s="39" t="str">
        <x:v>原型/材料已定义</x:v>
      </x:c>
      <x:c r="I245" s="39" t="str">
        <x:v>当前原型或原有需求材料</x:v>
      </x:c>
    </x:row>
    <x:row r="246" ht="34" customHeight="1">
      <x:c r="A246" s="39" t="str">
        <x:v>原需求补充与上线约束</x:v>
      </x:c>
      <x:c r="B246" s="39" t="str">
        <x:v>归档与恢复规则</x:v>
      </x:c>
      <x:c r="C246" s="39" t="str">
        <x:v>保留</x:v>
      </x:c>
      <x:c r="D246" s="39" t="str">
        <x:v>在线/归档保留期</x:v>
      </x:c>
      <x:c r="E246" s="39" t="str">
        <x:v>数字+单位</x:v>
      </x:c>
      <x:c r="F246" s="39" t="str">
        <x:v>是</x:v>
      </x:c>
      <x:c r="G246" s="39" t="str">
        <x:v>需合规确认</x:v>
      </x:c>
      <x:c r="H246" s="39" t="str">
        <x:v>原型/材料已定义</x:v>
      </x:c>
      <x:c r="I246" s="39" t="str">
        <x:v>当前原型或原有需求材料</x:v>
      </x:c>
    </x:row>
    <x:row r="247" ht="34" customHeight="1">
      <x:c r="A247" s="39" t="str">
        <x:v>原需求补充与上线约束</x:v>
      </x:c>
      <x:c r="B247" s="39" t="str">
        <x:v>归档与恢复规则</x:v>
      </x:c>
      <x:c r="C247" s="39" t="str">
        <x:v>备份</x:v>
      </x:c>
      <x:c r="D247" s="39" t="str">
        <x:v>备份位置/周期</x:v>
      </x:c>
      <x:c r="E247" s="39" t="str">
        <x:v>配置</x:v>
      </x:c>
      <x:c r="F247" s="39" t="str">
        <x:v>是</x:v>
      </x:c>
      <x:c r="G247" s="39" t="str">
        <x:v>灾备要求</x:v>
      </x:c>
      <x:c r="H247" s="39" t="str">
        <x:v>原型/材料已定义</x:v>
      </x:c>
      <x:c r="I247" s="39" t="str">
        <x:v>当前原型或原有需求材料</x:v>
      </x:c>
    </x:row>
    <x:row r="248" ht="34" customHeight="1">
      <x:c r="A248" s="39" t="str">
        <x:v>原需求补充与上线约束</x:v>
      </x:c>
      <x:c r="B248" s="39" t="str">
        <x:v>归档与恢复规则</x:v>
      </x:c>
      <x:c r="C248" s="39" t="str">
        <x:v>恢复</x:v>
      </x:c>
      <x:c r="D248" s="39" t="str">
        <x:v>恢复申请/结果</x:v>
      </x:c>
      <x:c r="E248" s="39" t="str">
        <x:v>记录</x:v>
      </x:c>
      <x:c r="F248" s="39" t="str">
        <x:v>否</x:v>
      </x:c>
      <x:c r="G248" s="39" t="str">
        <x:v>审计日志</x:v>
      </x:c>
      <x:c r="H248" s="39" t="str">
        <x:v>原型/材料已定义</x:v>
      </x:c>
      <x:c r="I248" s="39" t="str">
        <x:v>当前原型或原有需求材料</x:v>
      </x:c>
    </x:row>
  </x:sheetData>
  <x:conditionalFormatting sqref="F5:F248">
    <x:cfRule type="containsText" dxfId="11" priority="1" operator="containsText" text="是"/>
  </x:conditionalFormatting>
  <x:pageMargins left="0.7" right="0.7" top="0.75" bottom="0.75" header="0.3" footer="0.3"/>
  <x:tableParts count="1">
    <x:tablePart xmlns:r="http://schemas.openxmlformats.org/officeDocument/2006/relationships" r:id="R132df122512c451a"/>
  </x:tableParts>
</x:worksheet>
</file>

<file path=xl/worksheets/sheet6.xml><?xml version="1.0" encoding="utf-8"?>
<x:worksheet xmlns:x="http://schemas.openxmlformats.org/spreadsheetml/2006/main">
  <x:sheetPr>
    <x:tabColor rgb="FFC28A2C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9" hidden="0" customWidth="1"/>
    <x:col min="2" max="2" width="18" hidden="0" customWidth="1"/>
    <x:col min="3" max="3" width="42" hidden="0" customWidth="1"/>
    <x:col min="4" max="4" width="28" hidden="0" customWidth="1"/>
    <x:col min="5" max="5" width="24" hidden="0" customWidth="1"/>
    <x:col min="6" max="6" width="15" hidden="0" customWidth="1"/>
    <x:col min="7" max="7" width="12" hidden="0" customWidth="1"/>
    <x:col min="8" max="8" width="35" hidden="0" customWidth="1"/>
    <x:col min="9" max="9" width="15" hidden="0" customWidth="1"/>
    <x:col min="10" max="10" width="30" hidden="0" customWidth="1"/>
  </x:cols>
  <x:sheetData>
    <x:row r="2">
      <x:c r="A2" s="80" t="str">
        <x:v>客户待确认事项</x:v>
      </x:c>
      <x:c r="B2" s="81"/>
      <x:c r="C2" s="81"/>
      <x:c r="D2" s="81"/>
      <x:c r="E2" s="81"/>
      <x:c r="F2" s="81"/>
      <x:c r="G2" s="81"/>
      <x:c r="H2" s="81"/>
      <x:c r="I2" s="81"/>
      <x:c r="J2" s="81"/>
    </x:row>
    <x:row r="3">
      <x:c r="A3" s="82" t="str">
        <x:v>确认结果会影响一期范围、预算、排期、权限、数据准备和验收。</x:v>
      </x:c>
      <x:c r="B3" s="83"/>
      <x:c r="C3" s="83"/>
      <x:c r="D3" s="83"/>
      <x:c r="E3" s="83"/>
      <x:c r="F3" s="83"/>
      <x:c r="G3" s="83"/>
      <x:c r="H3" s="83"/>
      <x:c r="I3" s="83"/>
      <x:c r="J3" s="83"/>
    </x:row>
    <x:row r="4">
      <x:c r="A4" s="16" t="str">
        <x:v>编号</x:v>
      </x:c>
      <x:c r="B4" s="17" t="str">
        <x:v>确认主题</x:v>
      </x:c>
      <x:c r="C4" s="17" t="str">
        <x:v>需要客户确认</x:v>
      </x:c>
      <x:c r="D4" s="17" t="str">
        <x:v>影响范围</x:v>
      </x:c>
      <x:c r="E4" s="17" t="str">
        <x:v>建议参与人</x:v>
      </x:c>
      <x:c r="F4" s="17" t="str">
        <x:v>计划确认日期</x:v>
      </x:c>
      <x:c r="G4" s="17" t="str">
        <x:v>状态</x:v>
      </x:c>
      <x:c r="H4" s="17" t="str">
        <x:v>确认结论</x:v>
      </x:c>
      <x:c r="I4" s="17" t="str">
        <x:v>责任人</x:v>
      </x:c>
      <x:c r="J4" s="18" t="str">
        <x:v>备注</x:v>
      </x:c>
    </x:row>
    <x:row r="5" ht="54" customHeight="1">
      <x:c r="A5" s="38" t="str">
        <x:v>C01</x:v>
      </x:c>
      <x:c r="B5" s="38" t="str">
        <x:v>阶段范围</x:v>
      </x:c>
      <x:c r="C5" s="38" t="str">
        <x:v>一期是否包含报价、标书、备货和会计模块</x:v>
      </x:c>
      <x:c r="D5" s="38" t="str">
        <x:v>范围、预算、排期</x:v>
      </x:c>
      <x:c r="E5" s="38" t="str">
        <x:v>客户负责人、项目经理</x:v>
      </x:c>
      <x:c r="F5" s="95"/>
      <x:c r="G5" s="96" t="str">
        <x:v>待确认</x:v>
      </x:c>
      <x:c r="H5" s="96" t="str"/>
      <x:c r="I5" s="96" t="str"/>
      <x:c r="J5" s="96" t="str"/>
    </x:row>
    <x:row r="6" ht="54" customHeight="1">
      <x:c r="A6" s="39" t="str">
        <x:v>C02</x:v>
      </x:c>
      <x:c r="B6" s="39" t="str">
        <x:v>状态口径</x:v>
      </x:c>
      <x:c r="C6" s="39" t="str">
        <x:v>7个CALL主状态与原有状态、报价/采购/标书状态如何映射</x:v>
      </x:c>
      <x:c r="D6" s="39" t="str">
        <x:v>流程、报表、验收</x:v>
      </x:c>
      <x:c r="E6" s="39" t="str">
        <x:v>业务负责人、主管</x:v>
      </x:c>
      <x:c r="F6" s="97"/>
      <x:c r="G6" s="98" t="str">
        <x:v>待确认</x:v>
      </x:c>
      <x:c r="H6" s="98" t="str"/>
      <x:c r="I6" s="98" t="str"/>
      <x:c r="J6" s="98" t="str"/>
    </x:row>
    <x:row r="7" ht="54" customHeight="1">
      <x:c r="A7" s="39" t="str">
        <x:v>C03</x:v>
      </x:c>
      <x:c r="B7" s="39" t="str">
        <x:v>编号规则</x:v>
      </x:c>
      <x:c r="C7" s="39" t="str">
        <x:v>CALL、任务、项目、采购和外部Reference编号规则</x:v>
      </x:c>
      <x:c r="D7" s="39" t="str">
        <x:v>查询、迁移、唯一性</x:v>
      </x:c>
      <x:c r="E7" s="39" t="str">
        <x:v>业务负责人、IT</x:v>
      </x:c>
      <x:c r="F7" s="97"/>
      <x:c r="G7" s="98" t="str">
        <x:v>待确认</x:v>
      </x:c>
      <x:c r="H7" s="98" t="str"/>
      <x:c r="I7" s="98" t="str"/>
      <x:c r="J7" s="98" t="str"/>
    </x:row>
    <x:row r="8" ht="54" customHeight="1">
      <x:c r="A8" s="39" t="str">
        <x:v>C04</x:v>
      </x:c>
      <x:c r="B8" s="39" t="str">
        <x:v>分派权限</x:v>
      </x:c>
      <x:c r="C8" s="39" t="str">
        <x:v>各区域TL、CR与管理员的数据范围和操作权限</x:v>
      </x:c>
      <x:c r="D8" s="39" t="str">
        <x:v>权限矩阵、责任边界</x:v>
      </x:c>
      <x:c r="E8" s="39" t="str">
        <x:v>业务负责人、区域主管</x:v>
      </x:c>
      <x:c r="F8" s="97"/>
      <x:c r="G8" s="98" t="str">
        <x:v>待确认</x:v>
      </x:c>
      <x:c r="H8" s="98" t="str"/>
      <x:c r="I8" s="98" t="str"/>
      <x:c r="J8" s="98" t="str"/>
    </x:row>
    <x:row r="9" ht="54" customHeight="1">
      <x:c r="A9" s="39" t="str">
        <x:v>C05</x:v>
      </x:c>
      <x:c r="B9" s="39" t="str">
        <x:v>分派推荐</x:v>
      </x:c>
      <x:c r="C9" s="39" t="str">
        <x:v>师傅技能、请假、负载阈值和推荐优先级</x:v>
      </x:c>
      <x:c r="D9" s="39" t="str">
        <x:v>分派POC</x:v>
      </x:c>
      <x:c r="E9" s="39" t="str">
        <x:v>区域主管、HR</x:v>
      </x:c>
      <x:c r="F9" s="97"/>
      <x:c r="G9" s="98" t="str">
        <x:v>待确认</x:v>
      </x:c>
      <x:c r="H9" s="98" t="str"/>
      <x:c r="I9" s="98" t="str"/>
      <x:c r="J9" s="98" t="str"/>
    </x:row>
    <x:row r="10" ht="54" customHeight="1">
      <x:c r="A10" s="39" t="str">
        <x:v>C06</x:v>
      </x:c>
      <x:c r="B10" s="39" t="str">
        <x:v>单据判定</x:v>
      </x:c>
      <x:c r="C10" s="39" t="str">
        <x:v>何时生成服务报告或完工单，是否允许人工调整</x:v>
      </x:c>
      <x:c r="D10" s="39" t="str">
        <x:v>移动端、报告模板</x:v>
      </x:c>
      <x:c r="E10" s="39" t="str">
        <x:v>业务负责人、师傅代表</x:v>
      </x:c>
      <x:c r="F10" s="97"/>
      <x:c r="G10" s="98" t="str">
        <x:v>待确认</x:v>
      </x:c>
      <x:c r="H10" s="98" t="str"/>
      <x:c r="I10" s="98" t="str"/>
      <x:c r="J10" s="98" t="str"/>
    </x:row>
    <x:row r="11" ht="54" customHeight="1">
      <x:c r="A11" s="39" t="str">
        <x:v>C07</x:v>
      </x:c>
      <x:c r="B11" s="39" t="str">
        <x:v>现场规则</x:v>
      </x:c>
      <x:c r="C11" s="39" t="str">
        <x:v>照片、签名、不可拍照、离线和附件保留规则</x:v>
      </x:c>
      <x:c r="D11" s="39" t="str">
        <x:v>移动端、存储、合规</x:v>
      </x:c>
      <x:c r="E11" s="39" t="str">
        <x:v>客户负责人、IT</x:v>
      </x:c>
      <x:c r="F11" s="97"/>
      <x:c r="G11" s="98" t="str">
        <x:v>待确认</x:v>
      </x:c>
      <x:c r="H11" s="98" t="str"/>
      <x:c r="I11" s="98" t="str"/>
      <x:c r="J11" s="98" t="str"/>
    </x:row>
    <x:row r="12" ht="54" customHeight="1">
      <x:c r="A12" s="39" t="str">
        <x:v>C08</x:v>
      </x:c>
      <x:c r="B12" s="39" t="str">
        <x:v>发送渠道</x:v>
      </x:c>
      <x:c r="C12" s="39" t="str">
        <x:v>报告采用系统内、钉钉、Email或WhatsApp发送</x:v>
      </x:c>
      <x:c r="D12" s="39" t="str">
        <x:v>消息接口、客户沟通</x:v>
      </x:c>
      <x:c r="E12" s="39" t="str">
        <x:v>客户负责人、IT</x:v>
      </x:c>
      <x:c r="F12" s="97"/>
      <x:c r="G12" s="98" t="str">
        <x:v>待确认</x:v>
      </x:c>
      <x:c r="H12" s="98" t="str"/>
      <x:c r="I12" s="98" t="str"/>
      <x:c r="J12" s="98" t="str"/>
    </x:row>
    <x:row r="13" ht="54" customHeight="1">
      <x:c r="A13" s="39" t="str">
        <x:v>C09</x:v>
      </x:c>
      <x:c r="B13" s="39" t="str">
        <x:v>主数据</x:v>
      </x:c>
      <x:c r="C13" s="39" t="str">
        <x:v>真实客户、人员、区域、地点及历史数据导入范围</x:v>
      </x:c>
      <x:c r="D13" s="39" t="str">
        <x:v>数据准备、UAT</x:v>
      </x:c>
      <x:c r="E13" s="39" t="str">
        <x:v>数据负责人、项目经理</x:v>
      </x:c>
      <x:c r="F13" s="97"/>
      <x:c r="G13" s="98" t="str">
        <x:v>待确认</x:v>
      </x:c>
      <x:c r="H13" s="98" t="str"/>
      <x:c r="I13" s="98" t="str"/>
      <x:c r="J13" s="98" t="str"/>
    </x:row>
    <x:row r="14" ht="54" customHeight="1">
      <x:c r="A14" s="39" t="str">
        <x:v>C10</x:v>
      </x:c>
      <x:c r="B14" s="39" t="str">
        <x:v>外部接口</x:v>
      </x:c>
      <x:c r="C14" s="39" t="str">
        <x:v>Peachtree/仓库通等接口版本、方向和验收标准</x:v>
      </x:c>
      <x:c r="D14" s="39" t="str">
        <x:v>接口POC、二期排期</x:v>
      </x:c>
      <x:c r="E14" s="39" t="str">
        <x:v>IT、财务、采购</x:v>
      </x:c>
      <x:c r="F14" s="97"/>
      <x:c r="G14" s="98" t="str">
        <x:v>待确认</x:v>
      </x:c>
      <x:c r="H14" s="98" t="str"/>
      <x:c r="I14" s="98" t="str"/>
      <x:c r="J14" s="98" t="str"/>
    </x:row>
  </x:sheetData>
  <x:conditionalFormatting sqref="G5:G14">
    <x:cfRule type="containsText" dxfId="12" priority="1" operator="containsText" text="已确认"/>
  </x:conditionalFormatting>
  <x:dataValidations count="1">
    <x:dataValidation type="list" sqref="G5:G14">
      <x:formula1>"待确认,确认中,已确认,暂缓"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e79efa917fc423f"/>
  </x:tableParts>
</x:worksheet>
</file>

<file path=xl/worksheets/sheet7.xml><?xml version="1.0" encoding="utf-8"?>
<x:worksheet xmlns:x="http://schemas.openxmlformats.org/spreadsheetml/2006/main">
  <x:sheetPr>
    <x:tabColor rgb="FF81909A"/>
  </x:sheetPr>
  <x:sheetViews>
    <x:sheetView showGridLines="0" workbookViewId="0"/>
  </x:sheetViews>
  <x:sheetFormatPr defaultRowHeight="15"/>
  <x:cols>
    <x:col min="1" max="1" width="26" hidden="0" customWidth="1"/>
    <x:col min="2" max="2" width="18" hidden="0" customWidth="1"/>
    <x:col min="3" max="3" width="36" hidden="0" customWidth="1"/>
    <x:col min="4" max="4" width="30" hidden="0" customWidth="1"/>
    <x:col min="5" max="5" width="55" hidden="0" customWidth="1"/>
    <x:col min="6" max="6" width="12" hidden="0" customWidth="1"/>
    <x:col min="7" max="7" width="12" hidden="0" customWidth="1"/>
    <x:col min="8" max="8" width="12" hidden="0" customWidth="1"/>
  </x:cols>
  <x:sheetData>
    <x:row r="2">
      <x:c r="A2" s="80" t="str">
        <x:v>说明与依据</x:v>
      </x:c>
      <x:c r="B2" s="81"/>
      <x:c r="C2" s="81"/>
      <x:c r="D2" s="81"/>
      <x:c r="E2" s="81"/>
      <x:c r="F2" s="81"/>
      <x:c r="G2" s="81"/>
      <x:c r="H2" s="81"/>
    </x:row>
    <x:row r="3">
      <x:c r="A3" s="82" t="str">
        <x:v>本表用于客户范围评审和项目跟踪。原型能力、生产开发和客户验收分开记录。</x:v>
      </x:c>
      <x:c r="B3" s="83"/>
      <x:c r="C3" s="83"/>
      <x:c r="D3" s="83"/>
      <x:c r="E3" s="83"/>
      <x:c r="F3" s="83"/>
      <x:c r="G3" s="83"/>
      <x:c r="H3" s="83"/>
    </x:row>
    <x:row r="4">
      <x:c r="A4" s="81"/>
      <x:c r="B4" s="81"/>
      <x:c r="C4" s="81"/>
      <x:c r="D4" s="81"/>
      <x:c r="E4" s="81"/>
      <x:c r="F4" s="81"/>
      <x:c r="G4" s="81"/>
      <x:c r="H4" s="81"/>
    </x:row>
    <x:row r="5">
      <x:c r="A5" s="16" t="str">
        <x:v>资料</x:v>
      </x:c>
      <x:c r="B5" s="17" t="str">
        <x:v>版本/日期</x:v>
      </x:c>
      <x:c r="C5" s="17" t="str">
        <x:v>用途</x:v>
      </x:c>
      <x:c r="D5" s="17" t="str">
        <x:v>采用方式</x:v>
      </x:c>
      <x:c r="E5" s="17" t="str">
        <x:v>重要边界</x:v>
      </x:c>
      <x:c r="F5" s="17" t="str"/>
      <x:c r="G5" s="17" t="str"/>
      <x:c r="H5" s="18" t="str"/>
    </x:row>
    <x:row r="6" ht="54" customHeight="1">
      <x:c r="A6" s="38" t="str">
        <x:v>当前UI原型（ui-prototype2.0）</x:v>
      </x:c>
      <x:c r="B6" s="38" t="str">
        <x:v>2026-09-19</x:v>
      </x:c>
      <x:c r="C6" s="38" t="str">
        <x:v>确认页面、角色、操作入口和可演示交互</x:v>
      </x:c>
      <x:c r="D6" s="38" t="str">
        <x:v>作为页面与交互基线</x:v>
      </x:c>
      <x:c r="E6" s="38" t="str">
        <x:v>静态原型使用模拟数据，不代表后台、接口或生产权限已完成</x:v>
      </x:c>
      <x:c r="F6" s="81"/>
      <x:c r="G6" s="81"/>
      <x:c r="H6" s="81"/>
    </x:row>
    <x:row r="7" ht="54" customHeight="1">
      <x:c r="A7" s="39" t="str">
        <x:v>最新原型需求清单</x:v>
      </x:c>
      <x:c r="B7" s="39" t="str">
        <x:v>2026-09-19 v1.1</x:v>
      </x:c>
      <x:c r="C7" s="39" t="str">
        <x:v>提供F001-F080功能、角色、范围建议和差异说明</x:v>
      </x:c>
      <x:c r="D7" s="39" t="str">
        <x:v>作为需求编号及范围主线</x:v>
      </x:c>
      <x:c r="E7" s="39" t="str">
        <x:v>P0/P1/P2为评审建议，不等于客户已确认</x:v>
      </x:c>
      <x:c r="F7" s="81"/>
      <x:c r="G7" s="81"/>
      <x:c r="H7" s="81"/>
    </x:row>
    <x:row r="8" ht="54" customHeight="1">
      <x:c r="A8" s="39" t="str">
        <x:v>完整需求规格与MVP范围</x:v>
      </x:c>
      <x:c r="B8" s="39" t="str">
        <x:v>历史基线</x:v>
      </x:c>
      <x:c r="C8" s="39" t="str">
        <x:v>补足自动编号、不可拍照、工单池、报销、分类及归档</x:v>
      </x:c>
      <x:c r="D8" s="39" t="str">
        <x:v>以补充需求方式保留</x:v>
      </x:c>
      <x:c r="E8" s="39" t="str">
        <x:v>与当前原型冲突时进入待确认，不直接覆盖</x:v>
      </x:c>
      <x:c r="F8" s="81"/>
      <x:c r="G8" s="81"/>
      <x:c r="H8" s="81"/>
    </x:row>
    <x:row r="9" ht="54" customHeight="1">
      <x:c r="A9" s="39" t="str">
        <x:v>功能字段一览表</x:v>
      </x:c>
      <x:c r="B9" s="39" t="str">
        <x:v>原材料</x:v>
      </x:c>
      <x:c r="C9" s="39" t="str">
        <x:v>补足工单、客户、用户、报价和报表字段</x:v>
      </x:c>
      <x:c r="D9" s="39" t="str">
        <x:v>用于字段字典校核</x:v>
      </x:c>
      <x:c r="E9" s="39" t="str">
        <x:v>字段必填与权限仍需真实样例确认</x:v>
      </x:c>
      <x:c r="F9" s="81"/>
      <x:c r="G9" s="81"/>
      <x:c r="H9" s="81"/>
    </x:row>
    <x:row r="10" ht="54" customHeight="1">
      <x:c r="A10" s="39" t="str">
        <x:v>客户确认范围文件</x:v>
      </x:c>
      <x:c r="B10" s="39" t="str">
        <x:v>原材料</x:v>
      </x:c>
      <x:c r="C10" s="39" t="str">
        <x:v>提供一期边界、客户资料和POC成功标准</x:v>
      </x:c>
      <x:c r="D10" s="39" t="str">
        <x:v>用于待确认事项</x:v>
      </x:c>
      <x:c r="E10" s="39" t="str">
        <x:v>完整报价、采购、财务和外部接口原先不在一期默认范围</x:v>
      </x:c>
      <x:c r="F10" s="81"/>
      <x:c r="G10" s="81"/>
      <x:c r="H10" s="81"/>
    </x:row>
    <x:row r="11" ht="54" customHeight="1">
      <x:c r="A11" s="39" t="str">
        <x:v>完整流程文档</x:v>
      </x:c>
      <x:c r="B11" s="39" t="str">
        <x:v>2026-06-29</x:v>
      </x:c>
      <x:c r="C11" s="39" t="str">
        <x:v>补足角色泳道、主状态和业务联动</x:v>
      </x:c>
      <x:c r="D11" s="39" t="str">
        <x:v>用于交互与流程说明</x:v>
      </x:c>
      <x:c r="E11" s="39" t="str">
        <x:v>历史状态命名与当前7状态需映射确认</x:v>
      </x:c>
      <x:c r="F11" s="81"/>
      <x:c r="G11" s="81"/>
      <x:c r="H11" s="81"/>
    </x:row>
    <x:row r="12">
      <x:c r="A12" s="81"/>
      <x:c r="B12" s="81"/>
      <x:c r="C12" s="81"/>
      <x:c r="D12" s="81"/>
      <x:c r="E12" s="81"/>
      <x:c r="F12" s="81"/>
      <x:c r="G12" s="81"/>
      <x:c r="H12" s="81"/>
    </x:row>
    <x:row r="13">
      <x:c r="A13" s="81"/>
      <x:c r="B13" s="81"/>
      <x:c r="C13" s="81"/>
      <x:c r="D13" s="81"/>
      <x:c r="E13" s="81"/>
      <x:c r="F13" s="81"/>
      <x:c r="G13" s="81"/>
      <x:c r="H13" s="81"/>
    </x:row>
    <x:row r="14">
      <x:c r="A14" s="16" t="str">
        <x:v>跟踪字段</x:v>
      </x:c>
      <x:c r="B14" s="17" t="str">
        <x:v>维护规则</x:v>
      </x:c>
      <x:c r="C14" s="17" t="str">
        <x:v>说明</x:v>
      </x:c>
      <x:c r="D14" s="17" t="str"/>
      <x:c r="E14" s="18" t="str"/>
      <x:c r="F14" s="81"/>
      <x:c r="G14" s="81"/>
      <x:c r="H14" s="81"/>
    </x:row>
    <x:row r="15" ht="38" customHeight="1">
      <x:c r="A15" s="38" t="str">
        <x:v>原型覆盖</x:v>
      </x:c>
      <x:c r="B15" s="38" t="str">
        <x:v>由需求梳理人员维护</x:v>
      </x:c>
      <x:c r="C15" s="38" t="str">
        <x:v>可演示、流程演示、部分覆盖、未覆盖</x:v>
      </x:c>
      <x:c r="D15" s="38" t="str"/>
      <x:c r="E15" s="38" t="str"/>
      <x:c r="F15" s="81"/>
      <x:c r="G15" s="81"/>
      <x:c r="H15" s="81"/>
    </x:row>
    <x:row r="16" ht="38" customHeight="1">
      <x:c r="A16" s="39" t="str">
        <x:v>客户确认</x:v>
      </x:c>
      <x:c r="B16" s="39" t="str">
        <x:v>由客户与项目经理确认</x:v>
      </x:c>
      <x:c r="C16" s="39" t="str">
        <x:v>待客户确认、已确认、有条件确认、不纳入</x:v>
      </x:c>
      <x:c r="D16" s="39" t="str"/>
      <x:c r="E16" s="39" t="str"/>
      <x:c r="F16" s="81"/>
      <x:c r="G16" s="81"/>
      <x:c r="H16" s="81"/>
    </x:row>
    <x:row r="17" ht="38" customHeight="1">
      <x:c r="A17" s="39" t="str">
        <x:v>开发状态</x:v>
      </x:c>
      <x:c r="B17" s="39" t="str">
        <x:v>由交付团队维护</x:v>
      </x:c>
      <x:c r="C17" s="39" t="str">
        <x:v>未开始、设计中、开发中、已完成、暂缓</x:v>
      </x:c>
      <x:c r="D17" s="39" t="str"/>
      <x:c r="E17" s="39" t="str"/>
      <x:c r="F17" s="81"/>
      <x:c r="G17" s="81"/>
      <x:c r="H17" s="81"/>
    </x:row>
    <x:row r="18" ht="38" customHeight="1">
      <x:c r="A18" s="39" t="str">
        <x:v>测试状态</x:v>
      </x:c>
      <x:c r="B18" s="39" t="str">
        <x:v>由测试/业务代表维护</x:v>
      </x:c>
      <x:c r="C18" s="39" t="str">
        <x:v>未开始、测试中、已通过、未通过、不适用</x:v>
      </x:c>
      <x:c r="D18" s="39" t="str"/>
      <x:c r="E18" s="39" t="str"/>
      <x:c r="F18" s="81"/>
      <x:c r="G18" s="81"/>
      <x:c r="H18" s="81"/>
    </x:row>
    <x:row r="19" ht="38" customHeight="1">
      <x:c r="A19" s="39" t="str">
        <x:v>验收状态</x:v>
      </x:c>
      <x:c r="B19" s="39" t="str">
        <x:v>由客户验收代表维护</x:v>
      </x:c>
      <x:c r="C19" s="39" t="str">
        <x:v>未开始、验收中、已验收、未通过、不适用</x:v>
      </x:c>
      <x:c r="D19" s="39" t="str"/>
      <x:c r="E19" s="39" t="str"/>
      <x:c r="F19" s="81"/>
      <x:c r="G19" s="81"/>
      <x:c r="H19" s="81"/>
    </x:row>
    <x:row r="20" ht="38" customHeight="1">
      <x:c r="A20" s="39" t="str">
        <x:v>完成率</x:v>
      </x:c>
      <x:c r="B20" s="39" t="str">
        <x:v>表格自动计算</x:v>
      </x:c>
      <x:c r="C20" s="39" t="str">
        <x:v>设计中10%、开发中35%、开发完成60%、测试中70%、测试通过85%、验收中90%、已验收100%</x:v>
      </x:c>
      <x:c r="D20" s="39" t="str"/>
      <x:c r="E20" s="39" t="str"/>
      <x:c r="F20" s="81"/>
      <x:c r="G20" s="81"/>
      <x:c r="H20" s="81"/>
    </x:row>
    <x:row r="21">
      <x:c r="A21" s="81"/>
      <x:c r="B21" s="81"/>
      <x:c r="C21" s="81"/>
      <x:c r="D21" s="81"/>
      <x:c r="E21" s="81"/>
      <x:c r="F21" s="81"/>
      <x:c r="G21" s="81"/>
      <x:c r="H21" s="81"/>
    </x:row>
    <x:row r="22">
      <x:c r="A22" s="81"/>
      <x:c r="B22" s="81"/>
      <x:c r="C22" s="81"/>
      <x:c r="D22" s="81"/>
      <x:c r="E22" s="81"/>
      <x:c r="F22" s="81"/>
      <x:c r="G22" s="81"/>
      <x:c r="H22" s="81"/>
    </x:row>
    <x:row r="23">
      <x:c r="A23" s="16" t="str">
        <x:v>范围边界</x:v>
      </x:c>
      <x:c r="B23" s="17" t="str">
        <x:v>说明</x:v>
      </x:c>
      <x:c r="C23" s="17" t="str"/>
      <x:c r="D23" s="17" t="str"/>
      <x:c r="E23" s="18" t="str"/>
      <x:c r="F23" s="81"/>
      <x:c r="G23" s="81"/>
      <x:c r="H23" s="81"/>
    </x:row>
    <x:row r="24" ht="44" customHeight="1">
      <x:c r="A24" s="38" t="str">
        <x:v>原型不是生产系统</x:v>
      </x:c>
      <x:c r="B24" s="38" t="str">
        <x:v>模拟按钮、提示和静态列表不能作为接口、数据库、消息渠道或安全权限已完成的证据</x:v>
      </x:c>
      <x:c r="C24" s="38" t="str"/>
      <x:c r="D24" s="38" t="str"/>
      <x:c r="E24" s="38" t="str"/>
      <x:c r="F24" s="81"/>
      <x:c r="G24" s="81"/>
      <x:c r="H24" s="81"/>
    </x:row>
    <x:row r="25" ht="44" customHeight="1">
      <x:c r="A25" s="39" t="str">
        <x:v>一期建议聚焦闭环</x:v>
      </x:c>
      <x:c r="B25" s="39" t="str">
        <x:v>首页、CALL建单与查询、分派/改派、师傅移动处理、报告、基础主数据和必要统计</x:v>
      </x:c>
      <x:c r="C25" s="39" t="str"/>
      <x:c r="D25" s="39" t="str"/>
      <x:c r="E25" s="39" t="str"/>
      <x:c r="F25" s="81"/>
      <x:c r="G25" s="81"/>
      <x:c r="H25" s="81"/>
    </x:row>
    <x:row r="26" ht="44" customHeight="1">
      <x:c r="A26" s="39" t="str">
        <x:v>扩展模块单独确认</x:v>
      </x:c>
      <x:c r="B26" s="39" t="str">
        <x:v>报价、标书、备货、会计和Peachtree接口不因原型可演示自动进入一期</x:v>
      </x:c>
      <x:c r="C26" s="39" t="str"/>
      <x:c r="D26" s="39" t="str"/>
      <x:c r="E26" s="39" t="str"/>
      <x:c r="F26" s="81"/>
      <x:c r="G26" s="81"/>
      <x:c r="H26" s="81"/>
    </x:row>
    <x:row r="27" ht="44" customHeight="1">
      <x:c r="A27" s="39" t="str">
        <x:v>真实数据和权限必须验收</x:v>
      </x:c>
      <x:c r="B27" s="39" t="str">
        <x:v>生产验收需覆盖真实角色、权限、样例数据、状态流转、附件、通知和操作日志</x:v>
      </x:c>
      <x:c r="C27" s="39" t="str"/>
      <x:c r="D27" s="39" t="str"/>
      <x:c r="E27" s="39" t="str"/>
      <x:c r="F27" s="81"/>
      <x:c r="G27" s="81"/>
      <x:c r="H27" s="81"/>
    </x:row>
    <x:row r="28" ht="44" customHeight="1">
      <x:c r="A28" s="39" t="str">
        <x:v>外部能力先做POC</x:v>
      </x:c>
      <x:c r="B28" s="39" t="str">
        <x:v>OCR、离线、电子签名、WhatsApp、Email、Peachtree和存储恢复需单独验证</x:v>
      </x:c>
      <x:c r="C28" s="39" t="str"/>
      <x:c r="D28" s="39" t="str"/>
      <x:c r="E28" s="39" t="str"/>
      <x:c r="F28" s="81"/>
      <x:c r="G28" s="81"/>
      <x:c r="H28" s="81"/>
    </x:row>
  </x:sheetData>
  <x:mergeCells>
    <x:mergeCell ref="B23:E23"/>
    <x:mergeCell ref="B24:E24"/>
    <x:mergeCell ref="B25:E25"/>
    <x:mergeCell ref="B26:E26"/>
    <x:mergeCell ref="B27:E27"/>
    <x:mergeCell ref="B28:E28"/>
  </x:mergeCells>
  <x:pageMargins left="0.7" right="0.7" top="0.75" bottom="0.75" header="0.3" footer="0.3"/>
</x:worksheet>
</file>
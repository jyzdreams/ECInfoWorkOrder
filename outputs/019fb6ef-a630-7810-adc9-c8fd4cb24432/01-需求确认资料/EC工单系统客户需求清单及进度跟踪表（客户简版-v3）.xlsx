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78a8767c04c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項目總覽" sheetId="1" r:id="R3e362baf2b664513"/>
    <x:sheet xmlns:r="http://schemas.openxmlformats.org/officeDocument/2006/relationships" name="需求清單" sheetId="2" r:id="R6af312af391d457a"/>
    <x:sheet xmlns:r="http://schemas.openxmlformats.org/officeDocument/2006/relationships" name="進度跟蹤" sheetId="3" r:id="R63d94f91f43e4a38"/>
    <x:sheet xmlns:r="http://schemas.openxmlformats.org/officeDocument/2006/relationships" name="待確認事項" sheetId="4" r:id="R02780194ed744f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10">
    <x:font>
      <x:sz val="11"/>
      <x:name val="Carlito"/>
    </x:font>
    <x:font>
      <x:b/>
      <x:sz val="15"/>
      <x:color rgb="FFFFFFFF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b/>
      <x:sz val="16"/>
      <x:color rgb="FF173B57"/>
      <x:name val="Arial"/>
    </x:font>
    <x:font>
      <x:b/>
      <x:sz val="10"/>
      <x:color rgb="FF9A4B00"/>
      <x:name val="Arial"/>
    </x:font>
    <x:font>
      <x:b/>
      <x:sz val="10"/>
      <x:color rgb="FF1F2937"/>
      <x:name val="Arial"/>
    </x:font>
    <x:font>
      <x:b/>
      <x:sz val="11"/>
      <x:color rgb="FFFFFFFF"/>
      <x:name val="Arial"/>
    </x:font>
    <x:font>
      <x:sz val="10"/>
      <x:color rgb="FF1F2937"/>
      <x:name val="Arial"/>
    </x:font>
    <x:font>
      <x:sz val="11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EAF2F8"/>
      </x:patternFill>
    </x:fill>
    <x:fill>
      <x:patternFill patternType="solid">
        <x:fgColor rgb="FF2F6B8A"/>
      </x:patternFill>
    </x:fill>
    <x:fill>
      <x:patternFill patternType="solid">
        <x:fgColor rgb="FFF3F5F7"/>
      </x:patternFill>
    </x:fill>
    <x:fill>
      <x:patternFill patternType="solid">
        <x:fgColor rgb="FFFDE8D0"/>
      </x:patternFill>
    </x:fill>
    <x:fill>
      <x:patternFill patternType="solid">
        <x:fgColor rgb="FFFFF8ED"/>
      </x:patternFill>
    </x:fill>
    <x:fill>
      <x:patternFill patternType="solid">
        <x:fgColor rgb="FFFFF4CC"/>
      </x:patternFill>
    </x:fill>
    <x:fill>
      <x:patternFill patternType="solid">
        <x:fgColor rgb="FF0F766E"/>
      </x:patternFill>
    </x:fill>
    <x:fill>
      <x:patternFill patternType="solid">
        <x:fgColor rgb="FFE6F4F1"/>
      </x:patternFill>
    </x:fill>
  </x:fills>
  <x:borders count="7">
    <x:border/>
    <x:border>
      <x:left style="thin">
        <x:color rgb="FFD8E0E7"/>
      </x:left>
      <x:top style="thin">
        <x:color rgb="FFD8E0E7"/>
      </x:top>
      <x:bottom style="thin">
        <x:color rgb="FFD8E0E7"/>
      </x:bottom>
    </x:border>
    <x:border>
      <x:right style="thin">
        <x:color rgb="FFD8E0E7"/>
      </x:right>
      <x:top style="thin">
        <x:color rgb="FFD8E0E7"/>
      </x:top>
      <x:bottom style="thin">
        <x:color rgb="FFD8E0E7"/>
      </x:bottom>
    </x:border>
    <x:border>
      <x:left style="thin">
        <x:color rgb="FFD8E0E7"/>
      </x:left>
      <x:right style="thin">
        <x:color rgb="FFD8E0E7"/>
      </x:right>
      <x:top style="thin">
        <x:color rgb="FFD8E0E7"/>
      </x:top>
      <x:bottom style="thin">
        <x:color rgb="FFD8E0E7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8E0E7"/>
      </x:bottom>
    </x:border>
    <x:border>
      <x:top style="thin">
        <x:color rgb="FFD8E0E7"/>
      </x:top>
      <x:bottom style="thin">
        <x:color rgb="FFD8E0E7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0"/>
    </x:xf>
    <x:xf numFmtId="0" fontId="2" fillId="3" borderId="0" xfId="0" applyNumberFormat="1" applyFont="1" applyFill="1" applyBorder="1" applyAlignment="1">
      <x:alignment horizontal="left" wrapText="0"/>
    </x:xf>
    <x:xf numFmtId="0" fontId="2" fillId="3" borderId="0" xfId="0" applyNumberFormat="1" applyFont="1" applyFill="1" applyBorder="1" applyAlignment="1">
      <x:alignment horizontal="left" vertical="center" wrapText="0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2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4" fillId="7" borderId="2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 vertical="center"/>
    </x:xf>
    <x:xf numFmtId="0" fontId="4" fillId="7" borderId="2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3" xfId="0" applyNumberFormat="1" applyFont="1" applyFill="1" applyBorder="1"/>
    <x:xf numFmtId="0" fontId="6" fillId="0" borderId="3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 applyAlignment="1">
      <x:alignment horizontal="center" vertical="center"/>
    </x:xf>
    <x:xf numFmtId="0" fontId="6" fillId="3" borderId="3" xfId="0" applyNumberFormat="1" applyFont="1" applyFill="1" applyBorder="1" applyAlignment="1">
      <x:alignment horizontal="center" vertical="center"/>
    </x:xf>
    <x:xf numFmtId="0" fontId="6" fillId="8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3" xfId="0" applyNumberFormat="1" applyFont="1" applyFill="1" applyBorder="1"/>
    <x:xf numFmtId="0" fontId="6" fillId="10" borderId="3" xfId="0" applyNumberFormat="1" applyFont="1" applyFill="1" applyBorder="1" applyAlignment="1">
      <x:alignment wrapText="1"/>
    </x:xf>
    <x:xf numFmtId="0" fontId="6" fillId="10" borderId="3" xfId="0" applyNumberFormat="1" applyFont="1" applyFill="1" applyBorder="1" applyAlignment="1">
      <x:alignment horizontal="center" wrapText="1"/>
    </x:xf>
    <x:xf numFmtId="0" fontId="6" fillId="10" borderId="3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5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horizontal="left" wrapText="1"/>
    </x:xf>
    <x:xf numFmtId="0" fontId="8" fillId="0" borderId="6" xfId="0" applyNumberFormat="1" applyFont="1" applyFill="1" applyBorder="1" applyAlignment="1">
      <x:alignment horizontal="left" wrapText="1"/>
    </x:xf>
    <x:xf numFmtId="0" fontId="8" fillId="0" borderId="5" xfId="0" applyNumberFormat="1" applyFont="1" applyFill="1" applyBorder="1" applyAlignment="1">
      <x:alignment horizontal="left" vertical="top" wrapText="1"/>
    </x:xf>
    <x:xf numFmtId="0" fontId="8" fillId="0" borderId="6" xfId="0" applyNumberFormat="1" applyFont="1" applyFill="1" applyBorder="1" applyAlignment="1">
      <x:alignment horizontal="left" vertical="top" wrapText="1"/>
    </x:xf>
    <x:xf numFmtId="0" fontId="8" fillId="8" borderId="5" xfId="0" applyNumberFormat="1" applyFont="1" applyFill="1" applyBorder="1" applyAlignment="1">
      <x:alignment horizontal="left" vertical="top" wrapText="1"/>
    </x:xf>
    <x:xf numFmtId="0" fontId="8" fillId="8" borderId="6" xfId="0" applyNumberFormat="1" applyFont="1" applyFill="1" applyBorder="1" applyAlignment="1">
      <x:alignment horizontal="left" vertical="top" wrapText="1"/>
    </x:xf>
    <x:xf numFmtId="0" fontId="6" fillId="0" borderId="5" xfId="0" applyNumberFormat="1" applyFont="1" applyFill="1" applyBorder="1" applyAlignment="1">
      <x:alignment horizontal="left" vertical="top" wrapText="1"/>
    </x:xf>
    <x:xf numFmtId="0" fontId="6" fillId="0" borderId="6" xfId="0" applyNumberFormat="1" applyFont="1" applyFill="1" applyBorder="1" applyAlignment="1">
      <x:alignment horizontal="left" vertical="top" wrapText="1"/>
    </x:xf>
    <x:xf numFmtId="0" fontId="8" fillId="7" borderId="5" xfId="0" applyNumberFormat="1" applyFont="1" applyFill="1" applyBorder="1" applyAlignment="1">
      <x:alignment horizontal="left" vertical="top" wrapText="1"/>
    </x:xf>
    <x:xf numFmtId="0" fontId="8" fillId="7" borderId="6" xfId="0" applyNumberFormat="1" applyFont="1" applyFill="1" applyBorder="1" applyAlignment="1">
      <x:alignment horizontal="left" vertical="top" wrapText="1"/>
    </x:xf>
    <x:xf numFmtId="0" fontId="9" fillId="0" borderId="0" xfId="0" applyNumberFormat="1" applyFont="1" applyFill="1" applyBorder="1"/>
    <x:xf numFmtId="0" fontId="8" fillId="5" borderId="5" xfId="0" applyNumberFormat="1" applyFont="1" applyFill="1" applyBorder="1" applyAlignment="1">
      <x:alignment horizontal="left" vertical="top" wrapText="1"/>
    </x:xf>
    <x:xf numFmtId="0" fontId="8" fillId="5" borderId="6" xfId="0" applyNumberFormat="1" applyFont="1" applyFill="1" applyBorder="1" applyAlignment="1">
      <x:alignment horizontal="left" vertical="top" wrapText="1"/>
    </x:xf>
    <x:xf numFmtId="0" fontId="8" fillId="0" borderId="5" xfId="0" applyNumberFormat="1" applyFont="1" applyFill="1" applyBorder="1" applyAlignment="1">
      <x:alignment horizontal="center" vertical="top" wrapText="1"/>
    </x:xf>
    <x:xf numFmtId="0" fontId="8" fillId="0" borderId="6" xfId="0" applyNumberFormat="1" applyFont="1" applyFill="1" applyBorder="1" applyAlignment="1">
      <x:alignment horizontal="center" vertical="top" wrapText="1"/>
    </x:xf>
    <x:xf numFmtId="0" fontId="8" fillId="5" borderId="5" xfId="0" applyNumberFormat="1" applyFont="1" applyFill="1" applyBorder="1" applyAlignment="1">
      <x:alignment horizontal="center" vertical="top" wrapText="1"/>
    </x:xf>
    <x:xf numFmtId="0" fontId="8" fillId="8" borderId="5" xfId="0" applyNumberFormat="1" applyFont="1" applyFill="1" applyBorder="1" applyAlignment="1">
      <x:alignment horizontal="center" vertical="top" wrapText="1"/>
    </x:xf>
    <x:xf numFmtId="0" fontId="8" fillId="5" borderId="6" xfId="0" applyNumberFormat="1" applyFont="1" applyFill="1" applyBorder="1" applyAlignment="1">
      <x:alignment horizontal="center" vertical="top" wrapText="1"/>
    </x:xf>
    <x:xf numFmtId="0" fontId="8" fillId="8" borderId="6" xfId="0" applyNumberFormat="1" applyFont="1" applyFill="1" applyBorder="1" applyAlignment="1">
      <x:alignment horizontal="center" vertical="top" wrapText="1"/>
    </x:xf>
    <x:xf numFmtId="0" fontId="8" fillId="0" borderId="5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left" vertical="center" wrapText="1"/>
    </x:xf>
    <x:xf numFmtId="0" fontId="6" fillId="0" borderId="5" xfId="0" applyNumberFormat="1" applyFont="1" applyFill="1" applyBorder="1" applyAlignment="1">
      <x:alignment horizontal="left" vertical="center" wrapText="1"/>
    </x:xf>
    <x:xf numFmtId="0" fontId="6" fillId="0" borderId="6" xfId="0" applyNumberFormat="1" applyFont="1" applyFill="1" applyBorder="1" applyAlignment="1">
      <x:alignment horizontal="left" vertical="center" wrapText="1"/>
    </x:xf>
    <x:xf numFmtId="200" fontId="8" fillId="8" borderId="5" xfId="0" applyNumberFormat="1" applyFont="1" applyFill="1" applyBorder="1" applyAlignment="1">
      <x:alignment horizontal="left" vertical="top" wrapText="1"/>
    </x:xf>
    <x:xf numFmtId="200" fontId="8" fillId="8" borderId="6" xfId="0" applyNumberFormat="1" applyFont="1" applyFill="1" applyBorder="1" applyAlignment="1">
      <x:alignment horizontal="left" vertical="top" wrapText="1"/>
    </x:xf>
    <x:xf numFmtId="201" fontId="8" fillId="8" borderId="5" xfId="0" applyNumberFormat="1" applyFont="1" applyFill="1" applyBorder="1" applyAlignment="1">
      <x:alignment horizontal="left" vertical="top" wrapText="1"/>
    </x:xf>
    <x:xf numFmtId="201" fontId="8" fillId="8" borderId="6" xfId="0" applyNumberFormat="1" applyFont="1" applyFill="1" applyBorder="1" applyAlignment="1">
      <x:alignment horizontal="left" vertical="top" wrapText="1"/>
    </x:xf>
    <x:xf numFmtId="200" fontId="8" fillId="8" borderId="5" xfId="0" applyNumberFormat="1" applyFont="1" applyFill="1" applyBorder="1" applyAlignment="1">
      <x:alignment horizontal="center" vertical="top" wrapText="1"/>
    </x:xf>
    <x:xf numFmtId="200" fontId="8" fillId="8" borderId="6" xfId="0" applyNumberFormat="1" applyFont="1" applyFill="1" applyBorder="1" applyAlignment="1">
      <x:alignment horizontal="center" vertical="top" wrapText="1"/>
    </x:xf>
    <x:xf numFmtId="201" fontId="8" fillId="8" borderId="5" xfId="0" applyNumberFormat="1" applyFont="1" applyFill="1" applyBorder="1" applyAlignment="1">
      <x:alignment horizontal="center" vertical="top" wrapText="1"/>
    </x:xf>
    <x:xf numFmtId="201" fontId="8" fillId="8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9">
    <x:dxf>
      <x:font>
        <x:b/>
        <x:color rgb="FF176B3A"/>
      </x:font>
      <x:fill>
        <x:patternFill patternType="solid">
          <x:bgColor rgb="FFE7F4EC"/>
        </x:patternFill>
      </x:fill>
    </x:dxf>
    <x:dxf>
      <x:font>
        <x:b/>
        <x:color rgb="FF9A4B00"/>
      </x:font>
      <x:fill>
        <x:patternFill patternType="solid">
          <x:bgColor rgb="FFFFF4CC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76B3A"/>
      </x:font>
      <x:fill>
        <x:patternFill patternType="solid">
          <x:bgColor rgb="FFE7F4EC"/>
        </x:patternFill>
      </x:fill>
    </x:dxf>
    <x:dxf>
      <x:font>
        <x:b/>
        <x:color rgb="FF176B3A"/>
      </x:font>
      <x:fill>
        <x:patternFill patternType="solid">
          <x:bgColor rgb="FFE7F4EC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9A4B00"/>
      </x:font>
      <x:fill>
        <x:patternFill patternType="solid">
          <x:bgColor rgb="FFFDE8D0"/>
        </x:patternFill>
      </x:fill>
    </x:dxf>
    <x:dxf>
      <x:font>
        <x:b/>
        <x:color rgb="FF176B3A"/>
      </x:font>
      <x:fill>
        <x:patternFill patternType="solid">
          <x:bgColor rgb="FFE7F4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55d7ae1e744eee" /><Relationship Type="http://schemas.openxmlformats.org/officeDocument/2006/relationships/theme" Target="/xl/theme/theme1.xml" Id="Re03d04ceea2e4e09" /><Relationship Type="http://schemas.openxmlformats.org/officeDocument/2006/relationships/sharedStrings" Target="/xl/sharedStrings.xml" Id="R3c5af6687ea443c5" /><Relationship Type="http://schemas.openxmlformats.org/officeDocument/2006/relationships/worksheet" Target="/xl/worksheets/sheet1.xml" Id="R3e362baf2b664513" /><Relationship Type="http://schemas.openxmlformats.org/officeDocument/2006/relationships/worksheet" Target="/xl/worksheets/sheet2.xml" Id="R6af312af391d457a" /><Relationship Type="http://schemas.openxmlformats.org/officeDocument/2006/relationships/worksheet" Target="/xl/worksheets/sheet3.xml" Id="R63d94f91f43e4a38" /><Relationship Type="http://schemas.openxmlformats.org/officeDocument/2006/relationships/worksheet" Target="/xl/worksheets/sheet4.xml" Id="R02780194ed744f6d" /></Relationships>
</file>

<file path=xl/tables/table1.xml><?xml version="1.0" encoding="utf-8"?>
<x:table xmlns:x="http://schemas.openxmlformats.org/spreadsheetml/2006/main" id="1" name="ModuleProgressTable" displayName="ModuleProgressTable" ref="A4:I15" headerRowCount="1" totalsRowCount="0" totalsRowShown="0">
  <x:autoFilter ref="A4:I15"/>
  <x:tableColumns count="9">
    <x:tableColumn id="1" name="模組編號"/>
    <x:tableColumn id="2" name="模組"/>
    <x:tableColumn id="3" name="範圍階段"/>
    <x:tableColumn id="4" name="業務目標"/>
    <x:tableColumn id="5" name="當前階段"/>
    <x:tableColumn id="6" name="完成率"/>
    <x:tableColumn id="7" name="責任人"/>
    <x:tableColumn id="8" name="目標日期"/>
    <x:tableColumn id="9" name="風險/備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ndingItemsTable" displayName="PendingItemsTable" ref="A4:J25" headerRowCount="1" totalsRowCount="0" totalsRowShown="0">
  <x:autoFilter ref="A4:J25"/>
  <x:tableColumns count="10">
    <x:tableColumn id="1" name="編號"/>
    <x:tableColumn id="2" name="優先級"/>
    <x:tableColumn id="3" name="確認主題"/>
    <x:tableColumn id="4" name="需要客戶確認"/>
    <x:tableColumn id="5" name="影響範圍"/>
    <x:tableColumn id="6" name="責任人"/>
    <x:tableColumn id="7" name="期望確認日期"/>
    <x:tableColumn id="8" name="狀態"/>
    <x:tableColumn id="9" name="客戶結論"/>
    <x:tableColumn id="10" name="關聯流程/需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85a2a4c570244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c23a863bc6c4958" /></Relationships>
</file>

<file path=xl/worksheets/sheet1.xml><?xml version="1.0" encoding="utf-8"?>
<x:worksheet xmlns:x="http://schemas.openxmlformats.org/spreadsheetml/2006/main">
  <x:sheetPr>
    <x:tabColor rgb="FF173B57"/>
  </x:sheetPr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14" hidden="0" customWidth="1"/>
    <x:col min="4" max="4" width="15" hidden="0" customWidth="1"/>
    <x:col min="5" max="5" width="28" hidden="0" customWidth="1"/>
    <x:col min="6" max="6" width="18" hidden="0" customWidth="1"/>
    <x:col min="7" max="7" width="8" hidden="0" customWidth="1"/>
    <x:col min="8" max="8" width="20" hidden="0" customWidth="1"/>
    <x:col min="9" max="9" width="28" hidden="0" customWidth="1"/>
    <x:col min="10" max="10" width="28" hidden="0" customWidth="1"/>
  </x:cols>
  <x:sheetData>
    <x:row r="1" ht="34" customHeight="1">
      <x:c r="A1" s="4" t="str">
        <x:v>EC工單系統 客戶需求與進度總覽 v3</x:v>
      </x:c>
      <x:c r="B1" s="4" t="str">
        <x:v>EC工單系統 客戶需求與進度總覽 v3</x:v>
      </x:c>
      <x:c r="C1" s="4" t="str">
        <x:v>EC工單系統 客戶需求與進度總覽 v3</x:v>
      </x:c>
      <x:c r="D1" s="4" t="str">
        <x:v>EC工單系統 客戶需求與進度總覽 v3</x:v>
      </x:c>
      <x:c r="E1" s="4" t="str">
        <x:v>EC工單系統 客戶需求與進度總覽 v3</x:v>
      </x:c>
      <x:c r="F1" s="4" t="str">
        <x:v>EC工單系統 客戶需求與進度總覽 v3</x:v>
      </x:c>
      <x:c r="G1" s="4" t="str">
        <x:v>EC工單系統 客戶需求與進度總覽 v3</x:v>
      </x:c>
      <x:c r="H1" s="4" t="str">
        <x:v>EC工單系統 客戶需求與進度總覽 v3</x:v>
      </x:c>
      <x:c r="I1" s="4" t="str">
        <x:v>EC工單系統 客戶需求與進度總覽 v3</x:v>
      </x:c>
      <x:c r="J1" s="4" t="str">
        <x:v>EC工單系統 客戶需求與進度總覽 v3</x:v>
      </x:c>
    </x:row>
    <x:row r="2" ht="24" customHeight="1">
      <x:c r="A2" s="9" t="str">
        <x:v>簡版用於日常客戶對齊。完整表單欄位、角色權限及變更記錄保留在 v2。黃色儲存格需要人工維護。</x:v>
      </x:c>
      <x:c r="B2" s="9" t="str">
        <x:v>簡版用於日常客戶對齊。完整表單欄位、角色權限及變更記錄保留在 v2。黃色儲存格需要人工維護。</x:v>
      </x:c>
      <x:c r="C2" s="9" t="str">
        <x:v>簡版用於日常客戶對齊。完整表單欄位、角色權限及變更記錄保留在 v2。黃色儲存格需要人工維護。</x:v>
      </x:c>
      <x:c r="D2" s="9" t="str">
        <x:v>簡版用於日常客戶對齊。完整表單欄位、角色權限及變更記錄保留在 v2。黃色儲存格需要人工維護。</x:v>
      </x:c>
      <x:c r="E2" s="9" t="str">
        <x:v>簡版用於日常客戶對齊。完整表單欄位、角色權限及變更記錄保留在 v2。黃色儲存格需要人工維護。</x:v>
      </x:c>
      <x:c r="F2" s="9" t="str">
        <x:v>簡版用於日常客戶對齊。完整表單欄位、角色權限及變更記錄保留在 v2。黃色儲存格需要人工維護。</x:v>
      </x:c>
      <x:c r="G2" s="9" t="str">
        <x:v>簡版用於日常客戶對齊。完整表單欄位、角色權限及變更記錄保留在 v2。黃色儲存格需要人工維護。</x:v>
      </x:c>
      <x:c r="H2" s="9" t="str">
        <x:v>簡版用於日常客戶對齊。完整表單欄位、角色權限及變更記錄保留在 v2。黃色儲存格需要人工維護。</x:v>
      </x:c>
      <x:c r="I2" s="9" t="str">
        <x:v>簡版用於日常客戶對齊。完整表單欄位、角色權限及變更記錄保留在 v2。黃色儲存格需要人工維護。</x:v>
      </x:c>
      <x:c r="J2" s="9" t="str">
        <x:v>簡版用於日常客戶對齊。完整表單欄位、角色權限及變更記錄保留在 v2。黃色儲存格需要人工維護。</x:v>
      </x:c>
    </x:row>
    <x:row r="3">
      <x:c r="A3" s="76"/>
      <x:c r="B3" s="76"/>
      <x:c r="C3" s="76"/>
      <x:c r="D3" s="76"/>
      <x:c r="E3" s="76"/>
      <x:c r="F3" s="76"/>
      <x:c r="G3" s="76"/>
      <x:c r="H3" s="76"/>
      <x:c r="I3" s="76"/>
      <x:c r="J3" s="76"/>
    </x:row>
    <x:row r="4">
      <x:c r="A4" s="13" t="str">
        <x:v>需求總數</x:v>
      </x:c>
      <x:c r="B4" s="13" t="str">
        <x:v>需求總數</x:v>
      </x:c>
      <x:c r="C4" s="13" t="str">
        <x:v>已批准需求</x:v>
      </x:c>
      <x:c r="D4" s="13" t="str">
        <x:v>已批准需求</x:v>
      </x:c>
      <x:c r="E4" s="13" t="str">
        <x:v>需求確認率</x:v>
      </x:c>
      <x:c r="F4" s="13" t="str">
        <x:v>需求確認率</x:v>
      </x:c>
      <x:c r="G4" s="13" t="str">
        <x:v>項目完成率</x:v>
      </x:c>
      <x:c r="H4" s="13" t="str">
        <x:v>項目完成率</x:v>
      </x:c>
      <x:c r="I4" s="25" t="str">
        <x:v>P0待確認</x:v>
      </x:c>
      <x:c r="J4" s="25" t="str">
        <x:v>P0待確認</x:v>
      </x:c>
    </x:row>
    <x:row r="5" ht="34" customHeight="1">
      <x:c r="A5" s="20" t="n">
        <x:f>COUNTA('需求清單'!$A$5:$A$84)</x:f>
        <x:v>80</x:v>
      </x:c>
      <x:c r="B5" s="21"/>
      <x:c r="C5" s="20" t="n">
        <x:f>COUNTIF('需求清單'!$H$5:$H$84,"已批准")</x:f>
        <x:v>0</x:v>
      </x:c>
      <x:c r="D5" s="21"/>
      <x:c r="E5" s="34" t="n">
        <x:f>IF(A5=0,0,C5/A5)</x:f>
        <x:v>0</x:v>
      </x:c>
      <x:c r="F5" s="35"/>
      <x:c r="G5" s="34" t="n">
        <x:f>AVERAGE('進度跟蹤'!$F$5:$F$15)</x:f>
        <x:v>0</x:v>
      </x:c>
      <x:c r="H5" s="35"/>
      <x:c r="I5" s="32" t="n">
        <x:f>COUNTIF('待確認事項'!$B$5:$B$25,"P0")-COUNTIFS('待確認事項'!$B$5:$B$25,"P0",'待確認事項'!$H$5:$H$25,"已批准")</x:f>
        <x:v>17</x:v>
      </x:c>
      <x:c r="J5" s="33"/>
    </x:row>
    <x:row r="6">
      <x:c r="A6" s="76"/>
      <x:c r="B6" s="76"/>
      <x:c r="C6" s="76"/>
      <x:c r="D6" s="76"/>
      <x:c r="E6" s="76"/>
      <x:c r="F6" s="76"/>
      <x:c r="G6" s="76"/>
      <x:c r="H6" s="76"/>
      <x:c r="I6" s="76"/>
      <x:c r="J6" s="76"/>
    </x:row>
    <x:row r="7">
      <x:c r="A7" s="40" t="str">
        <x:v>當前階段</x:v>
      </x:c>
      <x:c r="B7" s="40" t="str">
        <x:v>當前階段</x:v>
      </x:c>
      <x:c r="C7" s="41" t="str">
        <x:v>需求評審中</x:v>
      </x:c>
      <x:c r="D7" s="41" t="str">
        <x:v>需求評審中</x:v>
      </x:c>
      <x:c r="E7" s="40" t="str">
        <x:v>目標交付日期</x:v>
      </x:c>
      <x:c r="F7" s="40" t="str">
        <x:v>目標交付日期</x:v>
      </x:c>
      <x:c r="G7" s="41" t="str">
        <x:v>待確認</x:v>
      </x:c>
      <x:c r="H7" s="41" t="str">
        <x:v>待確認</x:v>
      </x:c>
      <x:c r="I7" s="40" t="str">
        <x:v>主鏈路已納入需求清單</x:v>
      </x:c>
      <x:c r="J7" s="40" t="str">
        <x:v>主鏈路已納入需求清單</x:v>
      </x:c>
    </x:row>
    <x:row r="8">
      <x:c r="A8" s="76"/>
      <x:c r="B8" s="76"/>
      <x:c r="C8" s="76"/>
      <x:c r="D8" s="76"/>
      <x:c r="E8" s="76"/>
      <x:c r="F8" s="76"/>
      <x:c r="G8" s="76"/>
      <x:c r="H8" s="76"/>
      <x:c r="I8" s="76"/>
      <x:c r="J8" s="76"/>
    </x:row>
    <x:row r="9">
      <x:c r="A9" s="45" t="str">
        <x:v>核心主鏈路</x:v>
      </x:c>
      <x:c r="B9" s="45" t="str">
        <x:v>核心主鏈路</x:v>
      </x:c>
      <x:c r="C9" s="45" t="str">
        <x:v>核心主鏈路</x:v>
      </x:c>
      <x:c r="D9" s="45" t="str">
        <x:v>核心主鏈路</x:v>
      </x:c>
      <x:c r="E9" s="45" t="str">
        <x:v>核心主鏈路</x:v>
      </x:c>
      <x:c r="F9" s="45" t="str">
        <x:v>核心主鏈路</x:v>
      </x:c>
      <x:c r="G9" s="45" t="str">
        <x:v>核心主鏈路</x:v>
      </x:c>
      <x:c r="H9" s="45" t="str">
        <x:v>核心主鏈路</x:v>
      </x:c>
      <x:c r="I9" s="45" t="str">
        <x:v>核心主鏈路</x:v>
      </x:c>
      <x:c r="J9" s="45" t="str">
        <x:v>核心主鏈路</x:v>
      </x:c>
    </x:row>
    <x:row r="10" ht="38" customHeight="1">
      <x:c r="A10" s="51" t="str">
        <x:v>1 報價、修訂與中單</x:v>
      </x:c>
      <x:c r="B10" s="51" t="str">
        <x:v>1 報價、修訂與中單</x:v>
      </x:c>
      <x:c r="C10" s="56" t="str">
        <x:v>2 倉庫通備貨</x:v>
      </x:c>
      <x:c r="D10" s="56" t="str">
        <x:v>2 倉庫通備貨</x:v>
      </x:c>
      <x:c r="E10" s="51" t="str">
        <x:v>3 確認後正式派工</x:v>
      </x:c>
      <x:c r="F10" s="51" t="str">
        <x:v>3 確認後正式派工</x:v>
      </x:c>
      <x:c r="G10" s="56" t="str">
        <x:v>4 現場執行</x:v>
      </x:c>
      <x:c r="H10" s="56" t="str">
        <x:v>4 現場執行</x:v>
      </x:c>
      <x:c r="I10" s="51" t="str">
        <x:v>5 完工確認與歸檔</x:v>
      </x:c>
      <x:c r="J10" s="51" t="str">
        <x:v>5 完工確認與歸檔</x:v>
      </x:c>
    </x:row>
    <x:row r="11">
      <x:c r="A11" s="76"/>
      <x:c r="B11" s="76"/>
      <x:c r="C11" s="76"/>
      <x:c r="D11" s="76"/>
      <x:c r="E11" s="76"/>
      <x:c r="F11" s="76"/>
      <x:c r="G11" s="76"/>
      <x:c r="H11" s="76"/>
      <x:c r="I11" s="76"/>
      <x:c r="J11" s="76"/>
    </x:row>
    <x:row r="12" ht="30" customHeight="1">
      <x:c r="A12" s="60" t="str">
        <x:v>里程碑</x:v>
      </x:c>
      <x:c r="B12" s="60" t="str">
        <x:v>交付物</x:v>
      </x:c>
      <x:c r="C12" s="60" t="str">
        <x:v>目標日期</x:v>
      </x:c>
      <x:c r="D12" s="60" t="str">
        <x:v>當前狀態</x:v>
      </x:c>
      <x:c r="E12" s="60" t="str">
        <x:v>備註</x:v>
      </x:c>
      <x:c r="F12" s="76"/>
      <x:c r="G12" s="60" t="str">
        <x:v>本輪優先確認</x:v>
      </x:c>
      <x:c r="H12" s="60" t="str">
        <x:v>本輪優先確認</x:v>
      </x:c>
      <x:c r="I12" s="60" t="str">
        <x:v>本輪優先確認</x:v>
      </x:c>
      <x:c r="J12" s="60" t="str">
        <x:v>本輪優先確認</x:v>
      </x:c>
    </x:row>
    <x:row r="13" ht="36" customHeight="1">
      <x:c r="A13" s="68" t="str">
        <x:v>M1</x:v>
      </x:c>
      <x:c r="B13" s="68" t="str">
        <x:v>客戶需求與流程定稿</x:v>
      </x:c>
      <x:c r="C13" s="70" t="str">
        <x:v>待確認</x:v>
      </x:c>
      <x:c r="D13" s="70" t="str">
        <x:v>進行中</x:v>
      </x:c>
      <x:c r="E13" s="68" t="str">
        <x:v>以本工作簿為確認底稿</x:v>
      </x:c>
      <x:c r="F13" s="76"/>
      <x:c r="G13" s="72" t="str">
        <x:v>1</x:v>
      </x:c>
      <x:c r="H13" s="72" t="str">
        <x:v>倉庫通接口邊界</x:v>
      </x:c>
      <x:c r="I13" s="74" t="str">
        <x:v>數據主責、狀態字典、同步方向及異常重試</x:v>
      </x:c>
      <x:c r="J13" s="74" t="str">
        <x:v>數據主責、狀態字典、同步方向及異常重試</x:v>
      </x:c>
    </x:row>
    <x:row r="14" ht="36" customHeight="1">
      <x:c r="A14" s="69" t="str">
        <x:v>M2</x:v>
      </x:c>
      <x:c r="B14" s="69" t="str">
        <x:v>原型對齊與評審</x:v>
      </x:c>
      <x:c r="C14" s="71" t="str">
        <x:v>待確認</x:v>
      </x:c>
      <x:c r="D14" s="71" t="str">
        <x:v>進行中</x:v>
      </x:c>
      <x:c r="E14" s="69" t="str">
        <x:v>當前使用prototype/（2.0）</x:v>
      </x:c>
      <x:c r="F14" s="76"/>
      <x:c r="G14" s="73" t="str">
        <x:v>2</x:v>
      </x:c>
      <x:c r="H14" s="73" t="str">
        <x:v>可派工門檻</x:v>
      </x:c>
      <x:c r="I14" s="75" t="str">
        <x:v>明確何種備貨狀態與客戶時間確認後可以派工</x:v>
      </x:c>
      <x:c r="J14" s="75" t="str">
        <x:v>明確何種備貨狀態與客戶時間確認後可以派工</x:v>
      </x:c>
    </x:row>
    <x:row r="15" ht="36" customHeight="1">
      <x:c r="A15" s="69" t="str">
        <x:v>M3</x:v>
      </x:c>
      <x:c r="B15" s="69" t="str">
        <x:v>開發實施</x:v>
      </x:c>
      <x:c r="C15" s="71" t="str">
        <x:v>待確認</x:v>
      </x:c>
      <x:c r="D15" s="71" t="str">
        <x:v>未開始</x:v>
      </x:c>
      <x:c r="E15" s="69" t="str">
        <x:v>僅統計已批准且本期擬納入需求</x:v>
      </x:c>
      <x:c r="F15" s="76"/>
      <x:c r="G15" s="73" t="str">
        <x:v>3</x:v>
      </x:c>
      <x:c r="H15" s="73" t="str">
        <x:v>後續工單關係</x:v>
      </x:c>
      <x:c r="I15" s="75" t="str">
        <x:v>確認複用原CALL或建立關聯CALL</x:v>
      </x:c>
      <x:c r="J15" s="75" t="str">
        <x:v>確認複用原CALL或建立關聯CALL</x:v>
      </x:c>
    </x:row>
    <x:row r="16" ht="36" customHeight="1">
      <x:c r="A16" s="69" t="str">
        <x:v>M4</x:v>
      </x:c>
      <x:c r="B16" s="69" t="str">
        <x:v>集成與業務測試</x:v>
      </x:c>
      <x:c r="C16" s="71" t="str">
        <x:v>待確認</x:v>
      </x:c>
      <x:c r="D16" s="71" t="str">
        <x:v>未開始</x:v>
      </x:c>
      <x:c r="E16" s="69" t="str">
        <x:v>倉庫通需單獨接口POC</x:v>
      </x:c>
      <x:c r="F16" s="76"/>
      <x:c r="G16" s="73" t="str">
        <x:v>4</x:v>
      </x:c>
      <x:c r="H16" s="73" t="str">
        <x:v>完工確認</x:v>
      </x:c>
      <x:c r="I16" s="75" t="str">
        <x:v>確認SR/CP、退回、返工及正式完工口徑</x:v>
      </x:c>
      <x:c r="J16" s="75" t="str">
        <x:v>確認SR/CP、退回、返工及正式完工口徑</x:v>
      </x:c>
    </x:row>
    <x:row r="17" ht="36" customHeight="1">
      <x:c r="A17" s="69" t="str">
        <x:v>M5</x:v>
      </x:c>
      <x:c r="B17" s="69" t="str">
        <x:v>客戶UAT與驗收</x:v>
      </x:c>
      <x:c r="C17" s="71" t="str">
        <x:v>待確認</x:v>
      </x:c>
      <x:c r="D17" s="71" t="str">
        <x:v>未開始</x:v>
      </x:c>
      <x:c r="E17" s="69" t="str">
        <x:v>驗收與需求編號關聯</x:v>
      </x:c>
      <x:c r="F17" s="76"/>
      <x:c r="G17" s="73" t="str">
        <x:v>5</x:v>
      </x:c>
      <x:c r="H17" s="73" t="str">
        <x:v>角色權限</x:v>
      </x:c>
      <x:c r="I17" s="75" t="str">
        <x:v>確認角色、頁面、動作和數據範圍</x:v>
      </x:c>
      <x:c r="J17" s="75" t="str">
        <x:v>確認角色、頁面、動作和數據範圍</x:v>
      </x:c>
    </x:row>
    <x:row r="18" ht="36" customHeight="1">
      <x:c r="A18" s="69" t="str">
        <x:v>M6</x:v>
      </x:c>
      <x:c r="B18" s="69" t="str">
        <x:v>上線與移交</x:v>
      </x:c>
      <x:c r="C18" s="71" t="str">
        <x:v>待確認</x:v>
      </x:c>
      <x:c r="D18" s="71" t="str">
        <x:v>未開始</x:v>
      </x:c>
      <x:c r="E18" s="69" t="str">
        <x:v>上線日期不在需求未定時預估</x:v>
      </x:c>
      <x:c r="F18" s="76"/>
      <x:c r="G18" s="73" t="str">
        <x:v>6</x:v>
      </x:c>
      <x:c r="H18" s="73" t="str">
        <x:v>報價與中單</x:v>
      </x:c>
      <x:c r="I18" s="75" t="str">
        <x:v>確認接受證據、版本鎖定及M/P/M+P分支</x:v>
      </x:c>
      <x:c r="J18" s="75" t="str">
        <x:v>確認接受證據、版本鎖定及M/P/M+P分支</x:v>
      </x:c>
    </x:row>
  </x:sheetData>
  <x:mergeCells>
    <x:mergeCell ref="A1:J1"/>
    <x:mergeCell ref="A2:J2"/>
    <x:mergeCell ref="A4:B4"/>
    <x:mergeCell ref="A5:B5"/>
    <x:mergeCell ref="C4:D4"/>
    <x:mergeCell ref="C5:D5"/>
    <x:mergeCell ref="E4:F4"/>
    <x:mergeCell ref="E5:F5"/>
    <x:mergeCell ref="G4:H4"/>
    <x:mergeCell ref="G5:H5"/>
    <x:mergeCell ref="I4:J4"/>
    <x:mergeCell ref="I5:J5"/>
    <x:mergeCell ref="A7:B7"/>
    <x:mergeCell ref="C7:D7"/>
    <x:mergeCell ref="E7:F7"/>
    <x:mergeCell ref="G7:H7"/>
    <x:mergeCell ref="I7:J7"/>
    <x:mergeCell ref="A9:J9"/>
    <x:mergeCell ref="A10:B10"/>
    <x:mergeCell ref="C10:D10"/>
    <x:mergeCell ref="E10:F10"/>
    <x:mergeCell ref="G10:H10"/>
    <x:mergeCell ref="I10:J10"/>
    <x:mergeCell ref="G12:J12"/>
    <x:mergeCell ref="I13:J13"/>
    <x:mergeCell ref="I14:J14"/>
    <x:mergeCell ref="I15:J15"/>
    <x:mergeCell ref="I16:J16"/>
    <x:mergeCell ref="I17:J17"/>
    <x:mergeCell ref="I18:J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6B8A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24" hidden="0" customWidth="1"/>
    <x:col min="4" max="4" width="30" hidden="0" customWidth="1"/>
    <x:col min="5" max="5" width="46" hidden="0" customWidth="1"/>
    <x:col min="6" max="6" width="34" hidden="0" customWidth="1"/>
    <x:col min="7" max="7" width="14" hidden="0" customWidth="1"/>
    <x:col min="8" max="8" width="14" hidden="0" customWidth="1"/>
    <x:col min="9" max="9" width="15" hidden="0" customWidth="1"/>
    <x:col min="10" max="10" width="24" hidden="0" customWidth="1"/>
    <x:col min="11" max="11" width="38" hidden="0" customWidth="1"/>
  </x:cols>
  <x:sheetData>
    <x:row r="1" ht="34" customHeight="1">
      <x:c r="A1" s="4" t="str">
        <x:v>EC工單系統 客戶需求清單 v3</x:v>
      </x:c>
      <x:c r="B1" s="4" t="str">
        <x:v>EC工單系統 客戶需求清單 v3</x:v>
      </x:c>
      <x:c r="C1" s="4" t="str">
        <x:v>EC工單系統 客戶需求清單 v3</x:v>
      </x:c>
      <x:c r="D1" s="4" t="str">
        <x:v>EC工單系統 客戶需求清單 v3</x:v>
      </x:c>
      <x:c r="E1" s="4" t="str">
        <x:v>EC工單系統 客戶需求清單 v3</x:v>
      </x:c>
      <x:c r="F1" s="4" t="str">
        <x:v>EC工單系統 客戶需求清單 v3</x:v>
      </x:c>
      <x:c r="G1" s="4" t="str">
        <x:v>EC工單系統 客戶需求清單 v3</x:v>
      </x:c>
      <x:c r="H1" s="4" t="str">
        <x:v>EC工單系統 客戶需求清單 v3</x:v>
      </x:c>
      <x:c r="I1" s="4" t="str">
        <x:v>EC工單系統 客戶需求清單 v3</x:v>
      </x:c>
      <x:c r="J1" s="4" t="str">
        <x:v>EC工單系統 客戶需求清單 v3</x:v>
      </x:c>
      <x:c r="K1" s="4" t="str">
        <x:v>EC工單系統 客戶需求清單 v3</x:v>
      </x:c>
    </x:row>
    <x:row r="2" ht="24" customHeight="1">
      <x:c r="A2" s="9" t="str">
        <x:v>按需求編號逐條確認。黃色欄位由客戶或項目組維護；流程與模組相同的連續資料已合併顯示。</x:v>
      </x:c>
      <x:c r="B2" s="9" t="str">
        <x:v>按需求編號逐條確認。黃色欄位由客戶或項目組維護；流程與模組相同的連續資料已合併顯示。</x:v>
      </x:c>
      <x:c r="C2" s="9" t="str">
        <x:v>按需求編號逐條確認。黃色欄位由客戶或項目組維護；流程與模組相同的連續資料已合併顯示。</x:v>
      </x:c>
      <x:c r="D2" s="9" t="str">
        <x:v>按需求編號逐條確認。黃色欄位由客戶或項目組維護；流程與模組相同的連續資料已合併顯示。</x:v>
      </x:c>
      <x:c r="E2" s="9" t="str">
        <x:v>按需求編號逐條確認。黃色欄位由客戶或項目組維護；流程與模組相同的連續資料已合併顯示。</x:v>
      </x:c>
      <x:c r="F2" s="9" t="str">
        <x:v>按需求編號逐條確認。黃色欄位由客戶或項目組維護；流程與模組相同的連續資料已合併顯示。</x:v>
      </x:c>
      <x:c r="G2" s="9" t="str">
        <x:v>按需求編號逐條確認。黃色欄位由客戶或項目組維護；流程與模組相同的連續資料已合併顯示。</x:v>
      </x:c>
      <x:c r="H2" s="9" t="str">
        <x:v>按需求編號逐條確認。黃色欄位由客戶或項目組維護；流程與模組相同的連續資料已合併顯示。</x:v>
      </x:c>
      <x:c r="I2" s="9" t="str">
        <x:v>按需求編號逐條確認。黃色欄位由客戶或項目組維護；流程與模組相同的連續資料已合併顯示。</x:v>
      </x:c>
      <x:c r="J2" s="9" t="str">
        <x:v>按需求編號逐條確認。黃色欄位由客戶或項目組維護；流程與模組相同的連續資料已合併顯示。</x:v>
      </x:c>
      <x:c r="K2" s="9" t="str">
        <x:v>按需求編號逐條確認。黃色欄位由客戶或項目組維護；流程與模組相同的連續資料已合併顯示。</x:v>
      </x:c>
    </x:row>
    <x:row r="4" ht="30" customHeight="1">
      <x:c r="A4" s="60" t="str">
        <x:v>需求編號</x:v>
      </x:c>
      <x:c r="B4" s="60" t="str">
        <x:v>業務流程</x:v>
      </x:c>
      <x:c r="C4" s="60" t="str">
        <x:v>模組</x:v>
      </x:c>
      <x:c r="D4" s="60" t="str">
        <x:v>功能/需求</x:v>
      </x:c>
      <x:c r="E4" s="60" t="str">
        <x:v>業務說明</x:v>
      </x:c>
      <x:c r="F4" s="60" t="str">
        <x:v>原型/表單</x:v>
      </x:c>
      <x:c r="G4" s="60" t="str">
        <x:v>範圍階段</x:v>
      </x:c>
      <x:c r="H4" s="60" t="str">
        <x:v>需求狀態</x:v>
      </x:c>
      <x:c r="I4" s="60" t="str">
        <x:v>客戶決策</x:v>
      </x:c>
      <x:c r="J4" s="60" t="str">
        <x:v>客戶意見</x:v>
      </x:c>
      <x:c r="K4" s="60" t="str">
        <x:v>驗收重點</x:v>
      </x:c>
    </x:row>
    <x:row r="5" ht="52" customHeight="1">
      <x:c r="A5" s="79" t="str">
        <x:v>F001</x:v>
      </x:c>
      <x:c r="B5" s="87" t="str">
        <x:v>FLOW-012</x:v>
      </x:c>
      <x:c r="C5" s="87" t="str">
        <x:v>首頁與通知</x:v>
      </x:c>
      <x:c r="D5" s="68" t="str">
        <x:v>查看 7 個工單狀態的數量和分佈</x:v>
      </x:c>
      <x:c r="E5" s="68" t="str">
        <x:v>面向全部角色，支持查看 7 個工單狀態的數量和分佈；正式交付需結合真實數據、權限和驗收規則確認。</x:v>
      </x:c>
      <x:c r="F5" s="77" t="str">
        <x:v>首頁看板；可演示</x:v>
      </x:c>
      <x:c r="G5" s="81" t="str">
        <x:v>本期擬納入</x:v>
      </x:c>
      <x:c r="H5" s="82" t="str">
        <x:v>待確認</x:v>
      </x:c>
      <x:c r="I5" s="82" t="str">
        <x:v>未決定</x:v>
      </x:c>
      <x:c r="J5" s="70"/>
      <x:c r="K5" s="68" t="str">
        <x:v>全部角色可在“首頁看板”完成“查看 7 個工單狀態的數量和分佈”，可按權限查看或查詢，結果與關聯明細一致；狀態變化和業務限制符合關鍵規則。</x:v>
      </x:c>
    </x:row>
    <x:row r="6" ht="52" customHeight="1">
      <x:c r="A6" s="80" t="str">
        <x:v>F002</x:v>
      </x:c>
      <x:c r="B6" s="88" t="str">
        <x:v>FLOW-012</x:v>
      </x:c>
      <x:c r="C6" s="88" t="str">
        <x:v>首頁與通知</x:v>
      </x:c>
      <x:c r="D6" s="69" t="str">
        <x:v>查看本人、團隊或管理範圍內的今日待辦</x:v>
      </x:c>
      <x:c r="E6" s="69" t="str">
        <x:v>面向CS、CR、TL、ADMIN、BOSS，支持查看本人、團隊或管理範圍內的今日待辦；正式交付需結合真實數據、權限和驗收規則確認。</x:v>
      </x:c>
      <x:c r="F6" s="78" t="str">
        <x:v>首頁看板；可演示</x:v>
      </x:c>
      <x:c r="G6" s="83" t="str">
        <x:v>本期擬納入</x:v>
      </x:c>
      <x:c r="H6" s="84" t="str">
        <x:v>待確認</x:v>
      </x:c>
      <x:c r="I6" s="84" t="str">
        <x:v>未決定</x:v>
      </x:c>
      <x:c r="J6" s="71"/>
      <x:c r="K6" s="69" t="str">
        <x:v>CS、CR、TL、ADMIN、BOSS可在“首頁看板”完成“查看本人、團隊或管理範圍內的今日待辦”，可按權限查看或查詢，結果與關聯明細一致；狀態變化和業務限制符合關鍵規則。</x:v>
      </x:c>
    </x:row>
    <x:row r="7" ht="52" customHeight="1">
      <x:c r="A7" s="80" t="str">
        <x:v>F003</x:v>
      </x:c>
      <x:c r="B7" s="88" t="str">
        <x:v>FLOW-012</x:v>
      </x:c>
      <x:c r="C7" s="88" t="str">
        <x:v>首頁與通知</x:v>
      </x:c>
      <x:c r="D7" s="69" t="str">
        <x:v>查看異常 CALL、緊急事項、拒單和需關注事項</x:v>
      </x:c>
      <x:c r="E7" s="69" t="str">
        <x:v>面向CS、CR、TL、BOSS，支持查看異常 CALL、緊急事項、拒單和需關注事項；正式交付需結合真實數據、權限和驗收規則確認。</x:v>
      </x:c>
      <x:c r="F7" s="78" t="str">
        <x:v>首頁看板；可演示</x:v>
      </x:c>
      <x:c r="G7" s="83" t="str">
        <x:v>本期擬納入</x:v>
      </x:c>
      <x:c r="H7" s="84" t="str">
        <x:v>待確認</x:v>
      </x:c>
      <x:c r="I7" s="84" t="str">
        <x:v>未決定</x:v>
      </x:c>
      <x:c r="J7" s="71"/>
      <x:c r="K7" s="69" t="str">
        <x:v>CS、CR、TL、BOSS可在“首頁看板”完成“查看異常 CALL、緊急事項、拒單和需關注事項”，可按權限查看或查詢，結果與關聯明細一致；狀態變化和業務限制符合關鍵規則。</x:v>
      </x:c>
    </x:row>
    <x:row r="8" ht="52" customHeight="1">
      <x:c r="A8" s="80" t="str">
        <x:v>F004</x:v>
      </x:c>
      <x:c r="B8" s="88" t="str">
        <x:v>FLOW-012</x:v>
      </x:c>
      <x:c r="C8" s="88" t="str">
        <x:v>首頁與通知</x:v>
      </x:c>
      <x:c r="D8" s="69" t="str">
        <x:v>查看最近業務動態、狀態時間線和最近來電</x:v>
      </x:c>
      <x:c r="E8" s="69" t="str">
        <x:v>面向全部角色，支持查看最近業務動態、狀態時間線和最近來電；正式交付需結合真實數據、權限和驗收規則確認。</x:v>
      </x:c>
      <x:c r="F8" s="78" t="str">
        <x:v>首頁看板；可演示</x:v>
      </x:c>
      <x:c r="G8" s="83" t="str">
        <x:v>本期擬納入</x:v>
      </x:c>
      <x:c r="H8" s="84" t="str">
        <x:v>待確認</x:v>
      </x:c>
      <x:c r="I8" s="84" t="str">
        <x:v>未決定</x:v>
      </x:c>
      <x:c r="J8" s="71"/>
      <x:c r="K8" s="69" t="str">
        <x:v>全部角色可在“首頁看板”完成“查看最近業務動態、狀態時間線和最近來電”，可按權限查看或查詢，結果與關聯明細一致；狀態變化和業務限制符合關鍵規則。</x:v>
      </x:c>
    </x:row>
    <x:row r="9" ht="52" customHeight="1">
      <x:c r="A9" s="80" t="str">
        <x:v>F005</x:v>
      </x:c>
      <x:c r="B9" s="88" t="str">
        <x:v>FLOW-012</x:v>
      </x:c>
      <x:c r="C9" s="88" t="str">
        <x:v>首頁與通知</x:v>
      </x:c>
      <x:c r="D9" s="69" t="str">
        <x:v>接收派單、拒單、完成、報價等業務通知</x:v>
      </x:c>
      <x:c r="E9" s="69" t="str">
        <x:v>面向相關角色，支持接收派單、拒單、完成、報價等業務通知；正式交付需結合真實數據、權限和驗收規則確認。</x:v>
      </x:c>
      <x:c r="F9" s="78" t="str">
        <x:v>通知中心；流程演示</x:v>
      </x:c>
      <x:c r="G9" s="83" t="str">
        <x:v>本期擬納入</x:v>
      </x:c>
      <x:c r="H9" s="84" t="str">
        <x:v>待確認</x:v>
      </x:c>
      <x:c r="I9" s="84" t="str">
        <x:v>未決定</x:v>
      </x:c>
      <x:c r="J9" s="71"/>
      <x:c r="K9" s="69" t="str">
        <x:v>相關角色可在“通知中心”完成“接收派單、拒單、完成、報價等業務通知”，可完成操作並形成可追溯記錄；狀態變化和業務限制符合關鍵規則。</x:v>
      </x:c>
    </x:row>
    <x:row r="10" ht="52" customHeight="1">
      <x:c r="A10" s="80" t="str">
        <x:v>F006</x:v>
      </x:c>
      <x:c r="B10" s="88" t="str">
        <x:v>FLOW-002</x:v>
      </x:c>
      <x:c r="C10" s="88" t="str">
        <x:v>CALL 受理與工單管理</x:v>
      </x:c>
      <x:c r="D10" s="69" t="str">
        <x:v>記錄來電並判斷“僅答疑”或“創建工單”</x:v>
      </x:c>
      <x:c r="E10" s="69" t="str">
        <x:v>面向CS，支持記錄來電並判斷“僅答疑”或“創建工單”；正式交付需結合真實數據、權限和驗收規則確認。</x:v>
      </x:c>
      <x:c r="F10" s="78" t="str">
        <x:v>CALL受理記錄；可演示</x:v>
      </x:c>
      <x:c r="G10" s="83" t="str">
        <x:v>本期擬納入</x:v>
      </x:c>
      <x:c r="H10" s="84" t="str">
        <x:v>待確認</x:v>
      </x:c>
      <x:c r="I10" s="84" t="str">
        <x:v>未決定</x:v>
      </x:c>
      <x:c r="J10" s="71"/>
      <x:c r="K10" s="69" t="str">
        <x:v>CS可在“CALL受理記錄”完成“記錄來電並判斷“僅答疑”或“創建工單””，可完成操作並形成可追溯記錄；狀態變化和業務限制符合關鍵規則。</x:v>
      </x:c>
    </x:row>
    <x:row r="11" ht="52" customHeight="1">
      <x:c r="A11" s="80" t="str">
        <x:v>F007</x:v>
      </x:c>
      <x:c r="B11" s="88" t="str">
        <x:v>FLOW-002</x:v>
      </x:c>
      <x:c r="C11" s="88" t="str">
        <x:v>CALL 受理與工單管理</x:v>
      </x:c>
      <x:c r="D11" s="69" t="str">
        <x:v>新建工單、保存草稿、提交和取消</x:v>
      </x:c>
      <x:c r="E11" s="69" t="str">
        <x:v>面向CS、CR、ADMIN，支持新建工單、保存草稿、提交和取消；正式交付需結合真實數據、權限和驗收規則確認。</x:v>
      </x:c>
      <x:c r="F11" s="78" t="str">
        <x:v>新建/編輯CALL；可演示</x:v>
      </x:c>
      <x:c r="G11" s="83" t="str">
        <x:v>本期擬納入</x:v>
      </x:c>
      <x:c r="H11" s="84" t="str">
        <x:v>待確認</x:v>
      </x:c>
      <x:c r="I11" s="84" t="str">
        <x:v>未決定</x:v>
      </x:c>
      <x:c r="J11" s="71"/>
      <x:c r="K11" s="69" t="str">
        <x:v>CS、CR、ADMIN可在“新建/編輯CALL”完成“新建工單、保存草稿、提交和取消”，可完成操作並形成可追溯記錄；狀態變化和業務限制符合關鍵規則。</x:v>
      </x:c>
    </x:row>
    <x:row r="12" ht="52" customHeight="1">
      <x:c r="A12" s="80" t="str">
        <x:v>F008</x:v>
      </x:c>
      <x:c r="B12" s="88" t="str">
        <x:v>FLOW-002</x:v>
      </x:c>
      <x:c r="C12" s="88" t="str">
        <x:v>CALL 受理與工單管理</x:v>
      </x:c>
      <x:c r="D12" s="69" t="str">
        <x:v>選擇客戶、聯繫人並帶入客戶資料</x:v>
      </x:c>
      <x:c r="E12" s="69" t="str">
        <x:v>面向CS、CR，支持選擇客戶、聯繫人並帶入客戶資料；正式交付需結合真實數據、權限和驗收規則確認。</x:v>
      </x:c>
      <x:c r="F12" s="78" t="str">
        <x:v>新建/編輯CALL；可演示</x:v>
      </x:c>
      <x:c r="G12" s="83" t="str">
        <x:v>本期擬納入</x:v>
      </x:c>
      <x:c r="H12" s="84" t="str">
        <x:v>待確認</x:v>
      </x:c>
      <x:c r="I12" s="84" t="str">
        <x:v>未決定</x:v>
      </x:c>
      <x:c r="J12" s="71"/>
      <x:c r="K12" s="69" t="str">
        <x:v>CS、CR可在“新建/編輯CALL”完成“選擇客戶、聯繫人並帶入客戶資料”，可完成操作並形成可追溯記錄；狀態變化和業務限制符合關鍵規則。</x:v>
      </x:c>
    </x:row>
    <x:row r="13" ht="52" customHeight="1">
      <x:c r="A13" s="80" t="str">
        <x:v>F009</x:v>
      </x:c>
      <x:c r="B13" s="88" t="str">
        <x:v>FLOW-002</x:v>
      </x:c>
      <x:c r="C13" s="88" t="str">
        <x:v>CALL 受理與工單管理</x:v>
      </x:c>
      <x:c r="D13" s="69" t="str">
        <x:v>填寫 CALL 代碼、類型、區域、標準地點、問題描述和附件</x:v>
      </x:c>
      <x:c r="E13" s="69" t="str">
        <x:v>面向CS、CR、TL，支持填寫 CALL 代碼、類型、區域、標準地點、問題描述和附件；正式交付需結合真實數據、權限和驗收規則確認。</x:v>
      </x:c>
      <x:c r="F13" s="78" t="str">
        <x:v>新建/編輯CALL；可演示</x:v>
      </x:c>
      <x:c r="G13" s="83" t="str">
        <x:v>本期擬納入</x:v>
      </x:c>
      <x:c r="H13" s="84" t="str">
        <x:v>待確認</x:v>
      </x:c>
      <x:c r="I13" s="84" t="str">
        <x:v>未決定</x:v>
      </x:c>
      <x:c r="J13" s="71"/>
      <x:c r="K13" s="69" t="str">
        <x:v>CS、CR、TL可在“新建/編輯CALL”完成“填寫 CALL 代碼、類型、區域、標準地點、問題描述和附件”，可完成操作並形成可追溯記錄；狀態變化和業務限制符合關鍵規則。</x:v>
      </x:c>
    </x:row>
    <x:row r="14" ht="52" customHeight="1">
      <x:c r="A14" s="80" t="str">
        <x:v>F010</x:v>
      </x:c>
      <x:c r="B14" s="88" t="str">
        <x:v>FLOW-002</x:v>
      </x:c>
      <x:c r="C14" s="88" t="str">
        <x:v>CALL 受理與工單管理</x:v>
      </x:c>
      <x:c r="D14" s="69" t="str">
        <x:v>按狀態、類型、區域、負責人、師傅、客戶和關鍵詞篩選</x:v>
      </x:c>
      <x:c r="E14" s="69" t="str">
        <x:v>面向CS、CR、TL、ADMIN，支持按狀態、類型、區域、負責人、師傅、客戶和關鍵詞篩選；正式交付需結合真實數據、權限和驗收規則確認。</x:v>
      </x:c>
      <x:c r="F14" s="78" t="str">
        <x:v>CALL列表與篩選；可演示</x:v>
      </x:c>
      <x:c r="G14" s="83" t="str">
        <x:v>本期擬納入</x:v>
      </x:c>
      <x:c r="H14" s="84" t="str">
        <x:v>待確認</x:v>
      </x:c>
      <x:c r="I14" s="84" t="str">
        <x:v>未決定</x:v>
      </x:c>
      <x:c r="J14" s="71"/>
      <x:c r="K14" s="69" t="str">
        <x:v>CS、CR、TL、ADMIN可在“CALL列表與篩選”完成“按狀態、類型、區域、負責人、師傅、客戶和關鍵詞篩選”，可按權限查看或查詢，結果與關聯明細一致；狀態變化和業務限制符合關鍵規則。</x:v>
      </x:c>
    </x:row>
    <x:row r="15" ht="52" customHeight="1">
      <x:c r="A15" s="80" t="str">
        <x:v>F011</x:v>
      </x:c>
      <x:c r="B15" s="88" t="str">
        <x:v>FLOW-002</x:v>
      </x:c>
      <x:c r="C15" s="88" t="str">
        <x:v>CALL 受理與工單管理</x:v>
      </x:c>
      <x:c r="D15" s="69" t="str">
        <x:v>查看 CALL 詳情、處理記錄、催單記錄和狀態時間線</x:v>
      </x:c>
      <x:c r="E15" s="69" t="str">
        <x:v>面向相關業務角色，支持查看 CALL 詳情、處理記錄、催單記錄和狀態時間線；正式交付需結合真實數據、權限和驗收規則確認。</x:v>
      </x:c>
      <x:c r="F15" s="78" t="str">
        <x:v>CALL詳情與操作；可演示</x:v>
      </x:c>
      <x:c r="G15" s="83" t="str">
        <x:v>本期擬納入</x:v>
      </x:c>
      <x:c r="H15" s="84" t="str">
        <x:v>待確認</x:v>
      </x:c>
      <x:c r="I15" s="84" t="str">
        <x:v>未決定</x:v>
      </x:c>
      <x:c r="J15" s="71"/>
      <x:c r="K15" s="69" t="str">
        <x:v>相關業務角色可在“CALL詳情與操作”完成“查看 CALL 詳情、處理記錄、催單記錄和狀態時間線”，可按權限查看或查詢，結果與關聯明細一致；狀態變化和業務限制符合關鍵規則。</x:v>
      </x:c>
    </x:row>
    <x:row r="16" ht="52" customHeight="1">
      <x:c r="A16" s="80" t="str">
        <x:v>F012</x:v>
      </x:c>
      <x:c r="B16" s="88" t="str">
        <x:v>FLOW-002</x:v>
      </x:c>
      <x:c r="C16" s="88" t="str">
        <x:v>CALL 受理與工單管理</x:v>
      </x:c>
      <x:c r="D16" s="69" t="str">
        <x:v>直接完成、取消、補充資料、催單、編輯和關聯報價</x:v>
      </x:c>
      <x:c r="E16" s="69" t="str">
        <x:v>面向CS、CR、TL、ADMIN，支持直接完成、取消、補充資料、催單、編輯和關聯報價；正式交付需結合真實數據、權限和驗收規則確認。</x:v>
      </x:c>
      <x:c r="F16" s="78" t="str">
        <x:v>CALL詳情與操作；可演示</x:v>
      </x:c>
      <x:c r="G16" s="83" t="str">
        <x:v>本期擬納入</x:v>
      </x:c>
      <x:c r="H16" s="84" t="str">
        <x:v>待確認</x:v>
      </x:c>
      <x:c r="I16" s="84" t="str">
        <x:v>未決定</x:v>
      </x:c>
      <x:c r="J16" s="71"/>
      <x:c r="K16" s="69" t="str">
        <x:v>CS、CR、TL、ADMIN可在“CALL詳情與操作”完成“直接完成、取消、補充資料、催單、編輯和關聯報價”，可完成操作並形成可追溯記錄；狀態變化和業務限制符合關鍵規則。</x:v>
      </x:c>
    </x:row>
    <x:row r="17" ht="52" customHeight="1">
      <x:c r="A17" s="80" t="str">
        <x:v>F013</x:v>
      </x:c>
      <x:c r="B17" s="88" t="str">
        <x:v>FLOW-002 / FLOW-003</x:v>
      </x:c>
      <x:c r="C17" s="88" t="str">
        <x:v>CALL 受理與工單管理</x:v>
      </x:c>
      <x:c r="D17" s="69" t="str">
        <x:v>使用“任務編號”作為分派中心獨立流水號，與 CALL 編號分離</x:v>
      </x:c>
      <x:c r="E17" s="69" t="str">
        <x:v>分派任務使用獨立任務編號，不能覆蓋CALL編號；兩個編號均需支持關聯查詢。</x:v>
      </x:c>
      <x:c r="F17" s="78" t="str">
        <x:v>分派中心/分派彈窗；可演示</x:v>
      </x:c>
      <x:c r="G17" s="83" t="str">
        <x:v>本期擬納入</x:v>
      </x:c>
      <x:c r="H17" s="84" t="str">
        <x:v>待確認</x:v>
      </x:c>
      <x:c r="I17" s="84" t="str">
        <x:v>未決定</x:v>
      </x:c>
      <x:c r="J17" s="71"/>
      <x:c r="K17" s="69" t="str">
        <x:v>TL、CR、ADMIN可在“分派中心/分派彈窗”完成“使用“任務編號”作為分派中心獨立流水號，與 CALL 編號分離”，可完成操作並形成可追溯記錄；狀態變化和業務限制符合關鍵規則。</x:v>
      </x:c>
    </x:row>
    <x:row r="18" ht="52" customHeight="1">
      <x:c r="A18" s="80" t="str">
        <x:v>F014</x:v>
      </x:c>
      <x:c r="B18" s="88" t="str">
        <x:v>FLOW-001 / FLOW-003</x:v>
      </x:c>
      <x:c r="C18" s="88" t="str">
        <x:v>分派與調度</x:v>
      </x:c>
      <x:c r="D18" s="69" t="str">
        <x:v>查看待分派、已分派、申請審批和可接單師傅指標</x:v>
      </x:c>
      <x:c r="E18" s="69" t="str">
        <x:v>面向TL、CR、ADMIN，支持查看待分派、已分派、申請審批和可接單師傅指標；正式交付需結合真實數據、權限和驗收規則確認。</x:v>
      </x:c>
      <x:c r="F18" s="78" t="str">
        <x:v>分派中心/分派彈窗；可演示</x:v>
      </x:c>
      <x:c r="G18" s="83" t="str">
        <x:v>本期擬納入</x:v>
      </x:c>
      <x:c r="H18" s="84" t="str">
        <x:v>待確認</x:v>
      </x:c>
      <x:c r="I18" s="84" t="str">
        <x:v>未決定</x:v>
      </x:c>
      <x:c r="J18" s="71"/>
      <x:c r="K18" s="69" t="str">
        <x:v>TL、CR、ADMIN可在“分派中心/分派彈窗”完成“查看待分派、已分派、申請審批和可接單師傅指標”，可按權限查看或查詢，結果與關聯明細一致；狀態變化和業務限制符合關鍵規則。</x:v>
      </x:c>
    </x:row>
    <x:row r="19" ht="52" customHeight="1">
      <x:c r="A19" s="80" t="str">
        <x:v>F015</x:v>
      </x:c>
      <x:c r="B19" s="88" t="str">
        <x:v>FLOW-001 / FLOW-003</x:v>
      </x:c>
      <x:c r="C19" s="88" t="str">
        <x:v>分派與調度</x:v>
      </x:c>
      <x:c r="D19" s="69" t="str">
        <x:v>按任務編號、CALL、客戶、區域、狀態和類型搜索</x:v>
      </x:c>
      <x:c r="E19" s="69" t="str">
        <x:v>面向TL、CR，支持按任務編號、CALL、客戶、區域、狀態和類型搜索；正式交付需結合真實數據、權限和驗收規則確認。</x:v>
      </x:c>
      <x:c r="F19" s="78" t="str">
        <x:v>分派中心/分派彈窗；可演示</x:v>
      </x:c>
      <x:c r="G19" s="83" t="str">
        <x:v>本期擬納入</x:v>
      </x:c>
      <x:c r="H19" s="84" t="str">
        <x:v>待確認</x:v>
      </x:c>
      <x:c r="I19" s="84" t="str">
        <x:v>未決定</x:v>
      </x:c>
      <x:c r="J19" s="71"/>
      <x:c r="K19" s="69" t="str">
        <x:v>TL、CR可在“分派中心/分派彈窗”完成“按任務編號、CALL、客戶、區域、狀態和類型搜索”，可按權限查看或查詢，結果與關聯明細一致；狀態變化和業務限制符合關鍵規則。</x:v>
      </x:c>
    </x:row>
    <x:row r="20" ht="52" customHeight="1">
      <x:c r="A20" s="80" t="str">
        <x:v>F016</x:v>
      </x:c>
      <x:c r="B20" s="88" t="str">
        <x:v>FLOW-001 / FLOW-003</x:v>
      </x:c>
      <x:c r="C20" s="88" t="str">
        <x:v>分派與調度</x:v>
      </x:c>
      <x:c r="D20" s="69" t="str">
        <x:v>在同區域的可接單師傅中推薦負載最低者；無候選人時不跨區推薦、不自動派單</x:v>
      </x:c>
      <x:c r="E20" s="69" t="str">
        <x:v>系統僅在同區域、啟用且可接單的師傅中推薦當前負載最低者，不自動執行派單。</x:v>
      </x:c>
      <x:c r="F20" s="78" t="str">
        <x:v>分派中心/分派彈窗；可演示</x:v>
      </x:c>
      <x:c r="G20" s="83" t="str">
        <x:v>本期擬納入</x:v>
      </x:c>
      <x:c r="H20" s="84" t="str">
        <x:v>待確認</x:v>
      </x:c>
      <x:c r="I20" s="84" t="str">
        <x:v>未決定</x:v>
      </x:c>
      <x:c r="J20" s="71"/>
      <x:c r="K20" s="69" t="str">
        <x:v>TL、CR可在“分派中心/分派彈窗”完成“在同區域的可接單師傅中推薦負載最低者；無候選人時不跨區推薦、不自動派單”，可完成操作並形成可追溯記錄；狀態變化和業務限制符合關鍵規則。</x:v>
      </x:c>
    </x:row>
    <x:row r="21" ht="52" customHeight="1">
      <x:c r="A21" s="80" t="str">
        <x:v>F017</x:v>
      </x:c>
      <x:c r="B21" s="88" t="str">
        <x:v>FLOW-001 / FLOW-003</x:v>
      </x:c>
      <x:c r="C21" s="88" t="str">
        <x:v>分派與調度</x:v>
      </x:c>
      <x:c r="D21" s="69" t="str">
        <x:v>人工按師傅技能篩選候選人；技能不參與自動推薦</x:v>
      </x:c>
      <x:c r="E21" s="69" t="str">
        <x:v>技能僅供人工篩選，不參與自動推薦優先級。</x:v>
      </x:c>
      <x:c r="F21" s="78" t="str">
        <x:v>分派中心/分派彈窗；可演示</x:v>
      </x:c>
      <x:c r="G21" s="83" t="str">
        <x:v>本期擬納入</x:v>
      </x:c>
      <x:c r="H21" s="84" t="str">
        <x:v>待確認</x:v>
      </x:c>
      <x:c r="I21" s="84" t="str">
        <x:v>未決定</x:v>
      </x:c>
      <x:c r="J21" s="71"/>
      <x:c r="K21" s="69" t="str">
        <x:v>TL、CR可在“分派中心/分派彈窗”完成“人工按師傅技能篩選候選人；技能不參與自動推薦”，可按權限查看或查詢，結果與關聯明細一致；狀態變化和業務限制符合關鍵規則。</x:v>
      </x:c>
    </x:row>
    <x:row r="22" ht="52" customHeight="1">
      <x:c r="A22" s="80" t="str">
        <x:v>F018</x:v>
      </x:c>
      <x:c r="B22" s="88" t="str">
        <x:v>FLOW-001 / FLOW-003</x:v>
      </x:c>
      <x:c r="C22" s="88" t="str">
        <x:v>分派與調度</x:v>
      </x:c>
      <x:c r="D22" s="69" t="str">
        <x:v>請假師傅置灰且不可分派；負載過高師傅標記為忙碌</x:v>
      </x:c>
      <x:c r="E22" s="69" t="str">
        <x:v>請假師傅不可分派；高負載閾值和請假數據來源需在POC確認。</x:v>
      </x:c>
      <x:c r="F22" s="78" t="str">
        <x:v>分派中心/分派彈窗；可演示</x:v>
      </x:c>
      <x:c r="G22" s="83" t="str">
        <x:v>本期擬納入</x:v>
      </x:c>
      <x:c r="H22" s="84" t="str">
        <x:v>待確認</x:v>
      </x:c>
      <x:c r="I22" s="84" t="str">
        <x:v>未決定</x:v>
      </x:c>
      <x:c r="J22" s="71"/>
      <x:c r="K22" s="69" t="str">
        <x:v>TL、CR、ADMIN可在“分派中心/分派彈窗”完成“請假師傅置灰且不可分派；負載過高師傅標記為忙碌”，可完成操作並形成可追溯記錄；狀態變化和業務限制符合關鍵規則。</x:v>
      </x:c>
    </x:row>
    <x:row r="23" ht="52" customHeight="1">
      <x:c r="A23" s="80" t="str">
        <x:v>F019</x:v>
      </x:c>
      <x:c r="B23" s="88" t="str">
        <x:v>FLOW-001 / FLOW-003</x:v>
      </x:c>
      <x:c r="C23" s="88" t="str">
        <x:v>分派與調度</x:v>
      </x:c>
      <x:c r="D23" s="69" t="str">
        <x:v>首次分派、改派、派工備註和分派日誌</x:v>
      </x:c>
      <x:c r="E23" s="69" t="str">
        <x:v>面向TL、CR，支持首次分派、改派、派工備註和分派日誌；正式交付需結合真實數據、權限和驗收規則確認。</x:v>
      </x:c>
      <x:c r="F23" s="78" t="str">
        <x:v>分派中心/分派彈窗；可演示</x:v>
      </x:c>
      <x:c r="G23" s="83" t="str">
        <x:v>本期擬納入</x:v>
      </x:c>
      <x:c r="H23" s="84" t="str">
        <x:v>待確認</x:v>
      </x:c>
      <x:c r="I23" s="84" t="str">
        <x:v>未決定</x:v>
      </x:c>
      <x:c r="J23" s="71"/>
      <x:c r="K23" s="69" t="str">
        <x:v>TL、CR可在“分派中心/分派彈窗”完成“首次分派、改派、派工備註和分派日誌”，可完成操作並形成可追溯記錄；狀態變化和業務限制符合關鍵規則。</x:v>
      </x:c>
    </x:row>
    <x:row r="24" ht="52" customHeight="1">
      <x:c r="A24" s="80" t="str">
        <x:v>F020</x:v>
      </x:c>
      <x:c r="B24" s="88" t="str">
        <x:v>FLOW-001 / FLOW-003</x:v>
      </x:c>
      <x:c r="C24" s="88" t="str">
        <x:v>分派與調度</x:v>
      </x:c>
      <x:c r="D24" s="69" t="str">
        <x:v>分派權限按“區域主管”及“對應區域 CR”限制</x:v>
      </x:c>
      <x:c r="E24" s="69" t="str">
        <x:v>TL、區域CR與管理員的可見和可操作範圍需形成正式權限矩陣。</x:v>
      </x:c>
      <x:c r="F24" s="78" t="str">
        <x:v>分派中心/分派彈窗；可演示</x:v>
      </x:c>
      <x:c r="G24" s="83" t="str">
        <x:v>本期擬納入</x:v>
      </x:c>
      <x:c r="H24" s="84" t="str">
        <x:v>待確認</x:v>
      </x:c>
      <x:c r="I24" s="84" t="str">
        <x:v>未決定</x:v>
      </x:c>
      <x:c r="J24" s="71"/>
      <x:c r="K24" s="69" t="str">
        <x:v>TL、CR、ADMIN可在“分派中心/分派彈窗”完成“分派權限按“區域主管”及“對應區域 CR”限制”，可完成操作並形成可追溯記錄；狀態變化和業務限制符合關鍵規則。</x:v>
      </x:c>
    </x:row>
    <x:row r="25" ht="52" customHeight="1">
      <x:c r="A25" s="80" t="str">
        <x:v>F021</x:v>
      </x:c>
      <x:c r="B25" s="88" t="str">
        <x:v>FLOW-001 / FLOW-003</x:v>
      </x:c>
      <x:c r="C25" s="88" t="str">
        <x:v>分派與調度</x:v>
      </x:c>
      <x:c r="D25" s="69" t="str">
        <x:v>分派時由系統自動判定領取完工單或服務報告</x:v>
      </x:c>
      <x:c r="E25" s="69" t="str">
        <x:v>系統依據物料、採購或報價關聯自動判斷領取SR或完工單。</x:v>
      </x:c>
      <x:c r="F25" s="78" t="str">
        <x:v>分派中心/分派彈窗；可演示</x:v>
      </x:c>
      <x:c r="G25" s="83" t="str">
        <x:v>本期擬納入</x:v>
      </x:c>
      <x:c r="H25" s="84" t="str">
        <x:v>待確認</x:v>
      </x:c>
      <x:c r="I25" s="84" t="str">
        <x:v>未決定</x:v>
      </x:c>
      <x:c r="J25" s="71"/>
      <x:c r="K25" s="69" t="str">
        <x:v>TL、CR可在“分派中心/分派彈窗”完成“分派時由系統自動判定領取完工單或服務報告”，可完成操作並形成可追溯記錄；狀態變化和業務限制符合關鍵規則。</x:v>
      </x:c>
    </x:row>
    <x:row r="26" ht="52" customHeight="1">
      <x:c r="A26" s="80" t="str">
        <x:v>F022</x:v>
      </x:c>
      <x:c r="B26" s="88" t="str">
        <x:v>FLOW-001 / FLOW-003</x:v>
      </x:c>
      <x:c r="C26" s="88" t="str">
        <x:v>分派與調度</x:v>
      </x:c>
      <x:c r="D26" s="69" t="str">
        <x:v>師傅接單、拒單並填寫拒單原因</x:v>
      </x:c>
      <x:c r="E26" s="69" t="str">
        <x:v>面向MASTER，支持師傅接單、拒單並填寫拒單原因；正式交付需結合真實數據、權限和驗收規則確認。</x:v>
      </x:c>
      <x:c r="F26" s="78" t="str">
        <x:v>師傅首頁/CALL列表/詳情；可演示</x:v>
      </x:c>
      <x:c r="G26" s="83" t="str">
        <x:v>本期擬納入</x:v>
      </x:c>
      <x:c r="H26" s="84" t="str">
        <x:v>待確認</x:v>
      </x:c>
      <x:c r="I26" s="84" t="str">
        <x:v>未決定</x:v>
      </x:c>
      <x:c r="J26" s="71"/>
      <x:c r="K26" s="69" t="str">
        <x:v>MASTER可在“師傅首頁/CALL列表/詳情”完成“師傅接單、拒單並填寫拒單原因”，可完成操作並形成可追溯記錄；狀態變化和業務限制符合關鍵規則。</x:v>
      </x:c>
    </x:row>
    <x:row r="27" ht="52" customHeight="1">
      <x:c r="A27" s="80" t="str">
        <x:v>F023</x:v>
      </x:c>
      <x:c r="B27" s="88" t="str">
        <x:v>FLOW-001 / FLOW-003</x:v>
      </x:c>
      <x:c r="C27" s="88" t="str">
        <x:v>分派與調度</x:v>
      </x:c>
      <x:c r="D27" s="69" t="str">
        <x:v>主管通過或不通過分派申請</x:v>
      </x:c>
      <x:c r="E27" s="69" t="str">
        <x:v>面向TL，支持主管通過或不通過分派申請；正式交付需結合真實數據、權限和驗收規則確認。</x:v>
      </x:c>
      <x:c r="F27" s="78" t="str">
        <x:v>分派申請審批；可演示</x:v>
      </x:c>
      <x:c r="G27" s="83" t="str">
        <x:v>後續階段</x:v>
      </x:c>
      <x:c r="H27" s="84" t="str">
        <x:v>待確認</x:v>
      </x:c>
      <x:c r="I27" s="84" t="str">
        <x:v>未決定</x:v>
      </x:c>
      <x:c r="J27" s="71"/>
      <x:c r="K27" s="69" t="str">
        <x:v>TL可在“分派申請審批”完成“主管通過或不通過分派申請”，可完成操作並形成可追溯記錄；狀態變化和業務限制符合關鍵規則。</x:v>
      </x:c>
    </x:row>
    <x:row r="28" ht="52" customHeight="1">
      <x:c r="A28" s="80" t="str">
        <x:v>F024</x:v>
      </x:c>
      <x:c r="B28" s="88" t="str">
        <x:v>FLOW-001 / FLOW-004</x:v>
      </x:c>
      <x:c r="C28" s="88" t="str">
        <x:v>移動端現場執行</x:v>
      </x:c>
      <x:c r="D28" s="69" t="str">
        <x:v>師傅首頁查看今日工作、待確認、待處理和處理中 CALL</x:v>
      </x:c>
      <x:c r="E28" s="69" t="str">
        <x:v>面向MASTER，支持師傅首頁查看今日工作、待確認、待處理和處理中 CALL；正式交付需結合真實數據、權限和驗收規則確認。</x:v>
      </x:c>
      <x:c r="F28" s="78" t="str">
        <x:v>師傅首頁/CALL列表/詳情；可演示</x:v>
      </x:c>
      <x:c r="G28" s="83" t="str">
        <x:v>本期擬納入</x:v>
      </x:c>
      <x:c r="H28" s="84" t="str">
        <x:v>待確認</x:v>
      </x:c>
      <x:c r="I28" s="84" t="str">
        <x:v>未決定</x:v>
      </x:c>
      <x:c r="J28" s="71"/>
      <x:c r="K28" s="69" t="str">
        <x:v>MASTER可在“師傅首頁/CALL列表/詳情”完成“師傅首頁查看今日工作、待確認、待處理和處理中 CALL”，可按權限查看或查詢，結果與關聯明細一致；狀態變化和業務限制符合關鍵規則。</x:v>
      </x:c>
    </x:row>
    <x:row r="29" ht="52" customHeight="1">
      <x:c r="A29" s="80" t="str">
        <x:v>F025</x:v>
      </x:c>
      <x:c r="B29" s="88" t="str">
        <x:v>FLOW-001 / FLOW-004</x:v>
      </x:c>
      <x:c r="C29" s="88" t="str">
        <x:v>移動端現場執行</x:v>
      </x:c>
      <x:c r="D29" s="69" t="str">
        <x:v>查看本人任務列表、優先處理事項和工單詳情</x:v>
      </x:c>
      <x:c r="E29" s="69" t="str">
        <x:v>面向MASTER，支持查看本人任務列表、優先處理事項和工單詳情；正式交付需結合真實數據、權限和驗收規則確認。</x:v>
      </x:c>
      <x:c r="F29" s="78" t="str">
        <x:v>師傅首頁/CALL列表/詳情；可演示</x:v>
      </x:c>
      <x:c r="G29" s="83" t="str">
        <x:v>本期擬納入</x:v>
      </x:c>
      <x:c r="H29" s="84" t="str">
        <x:v>待確認</x:v>
      </x:c>
      <x:c r="I29" s="84" t="str">
        <x:v>未決定</x:v>
      </x:c>
      <x:c r="J29" s="71"/>
      <x:c r="K29" s="69" t="str">
        <x:v>MASTER可在“師傅首頁/CALL列表/詳情”完成“查看本人任務列表、優先處理事項和工單詳情”，可按權限查看或查詢，結果與關聯明細一致；狀態變化和業務限制符合關鍵規則。</x:v>
      </x:c>
    </x:row>
    <x:row r="30" ht="52" customHeight="1">
      <x:c r="A30" s="80" t="str">
        <x:v>F026</x:v>
      </x:c>
      <x:c r="B30" s="88" t="str">
        <x:v>FLOW-001 / FLOW-004</x:v>
      </x:c>
      <x:c r="C30" s="88" t="str">
        <x:v>移動端現場執行</x:v>
      </x:c>
      <x:c r="D30" s="69" t="str">
        <x:v>接單、拒單、開始處理、記錄到場時間</x:v>
      </x:c>
      <x:c r="E30" s="69" t="str">
        <x:v>面向MASTER，支持接單、拒單、開始處理、記錄到場時間；正式交付需結合真實數據、權限和驗收規則確認。</x:v>
      </x:c>
      <x:c r="F30" s="78" t="str">
        <x:v>師傅首頁/CALL列表/詳情；可演示</x:v>
      </x:c>
      <x:c r="G30" s="83" t="str">
        <x:v>本期擬納入</x:v>
      </x:c>
      <x:c r="H30" s="84" t="str">
        <x:v>待確認</x:v>
      </x:c>
      <x:c r="I30" s="84" t="str">
        <x:v>未決定</x:v>
      </x:c>
      <x:c r="J30" s="71"/>
      <x:c r="K30" s="69" t="str">
        <x:v>MASTER可在“師傅首頁/CALL列表/詳情”完成“接單、拒單、開始處理、記錄到場時間”，可完成操作並形成可追溯記錄；狀態變化和業務限制符合關鍵規則。</x:v>
      </x:c>
    </x:row>
    <x:row r="31" ht="52" customHeight="1">
      <x:c r="A31" s="80" t="str">
        <x:v>F027</x:v>
      </x:c>
      <x:c r="B31" s="88" t="str">
        <x:v>FLOW-001 / FLOW-004</x:v>
      </x:c>
      <x:c r="C31" s="88" t="str">
        <x:v>移動端現場執行</x:v>
      </x:c>
      <x:c r="D31" s="69" t="str">
        <x:v>填寫服務報告編號、系統、目的、完成工作和跟進事項</x:v>
      </x:c>
      <x:c r="E31" s="69" t="str">
        <x:v>面向MASTER，支持填寫服務報告編號、系統、目的、完成工作和跟進事項；正式交付需結合真實數據、權限和驗收規則確認。</x:v>
      </x:c>
      <x:c r="F31" s="78" t="str">
        <x:v>現場處理/服務報告；可演示</x:v>
      </x:c>
      <x:c r="G31" s="83" t="str">
        <x:v>本期擬納入</x:v>
      </x:c>
      <x:c r="H31" s="84" t="str">
        <x:v>待確認</x:v>
      </x:c>
      <x:c r="I31" s="84" t="str">
        <x:v>未決定</x:v>
      </x:c>
      <x:c r="J31" s="71"/>
      <x:c r="K31" s="69" t="str">
        <x:v>MASTER可在“現場處理/服務報告”完成“填寫服務報告編號、系統、目的、完成工作和跟進事項”，可完成操作並形成可追溯記錄；狀態變化和業務限制符合關鍵規則。</x:v>
      </x:c>
    </x:row>
    <x:row r="32" ht="52" customHeight="1">
      <x:c r="A32" s="80" t="str">
        <x:v>F028</x:v>
      </x:c>
      <x:c r="B32" s="88" t="str">
        <x:v>FLOW-001 / FLOW-004</x:v>
      </x:c>
      <x:c r="C32" s="88" t="str">
        <x:v>移動端現場執行</x:v>
      </x:c>
      <x:c r="D32" s="69" t="str">
        <x:v>上傳服務報告圖片並模擬帶入報告數據</x:v>
      </x:c>
      <x:c r="E32" s="69" t="str">
        <x:v>當前僅演示圖片帶入流程，真實OCR識別能力需另行POC。</x:v>
      </x:c>
      <x:c r="F32" s="78" t="str">
        <x:v>現場處理/服務報告；流程演示</x:v>
      </x:c>
      <x:c r="G32" s="83" t="str">
        <x:v>後續階段</x:v>
      </x:c>
      <x:c r="H32" s="84" t="str">
        <x:v>待確認</x:v>
      </x:c>
      <x:c r="I32" s="84" t="str">
        <x:v>未決定</x:v>
      </x:c>
      <x:c r="J32" s="71"/>
      <x:c r="K32" s="69" t="str">
        <x:v>MASTER可在“現場處理/服務報告”完成“上傳服務報告圖片並模擬帶入報告數據”，可完成操作並形成可追溯記錄；狀態變化和業務限制符合關鍵規則。</x:v>
      </x:c>
    </x:row>
    <x:row r="33" ht="52" customHeight="1">
      <x:c r="A33" s="80" t="str">
        <x:v>F029</x:v>
      </x:c>
      <x:c r="B33" s="88" t="str">
        <x:v>FLOW-001 / FLOW-004</x:v>
      </x:c>
      <x:c r="C33" s="88" t="str">
        <x:v>移動端現場執行</x:v>
      </x:c>
      <x:c r="D33" s="69" t="str">
        <x:v>上傳現場照片、材料照片、附件和車資記錄</x:v>
      </x:c>
      <x:c r="E33" s="69" t="str">
        <x:v>面向MASTER，支持上傳現場照片、材料照片、附件和車資記錄；正式交付需結合真實數據、權限和驗收規則確認。</x:v>
      </x:c>
      <x:c r="F33" s="78" t="str">
        <x:v>現場處理/服務報告；可演示</x:v>
      </x:c>
      <x:c r="G33" s="83" t="str">
        <x:v>本期擬納入</x:v>
      </x:c>
      <x:c r="H33" s="84" t="str">
        <x:v>待確認</x:v>
      </x:c>
      <x:c r="I33" s="84" t="str">
        <x:v>未決定</x:v>
      </x:c>
      <x:c r="J33" s="71"/>
      <x:c r="K33" s="69" t="str">
        <x:v>MASTER可在“現場處理/服務報告”完成“上傳現場照片、材料照片、附件和車資記錄”，可完成操作並形成可追溯記錄；狀態變化和業務限制符合關鍵規則。</x:v>
      </x:c>
    </x:row>
    <x:row r="34" ht="52" customHeight="1">
      <x:c r="A34" s="80" t="str">
        <x:v>F030</x:v>
      </x:c>
      <x:c r="B34" s="88" t="str">
        <x:v>FLOW-001 / FLOW-004</x:v>
      </x:c>
      <x:c r="C34" s="88" t="str">
        <x:v>移動端現場執行</x:v>
      </x:c>
      <x:c r="D34" s="69" t="str">
        <x:v>標記是否需要後補報價、材料或客戶確認</x:v>
      </x:c>
      <x:c r="E34" s="69" t="str">
        <x:v>面向MASTER、QUO、PUR，支持標記是否需要後補報價、材料或客戶確認；正式交付需結合真實數據、權限和驗收規則確認。</x:v>
      </x:c>
      <x:c r="F34" s="78" t="str">
        <x:v>現場處理/服務報告；可演示</x:v>
      </x:c>
      <x:c r="G34" s="83" t="str">
        <x:v>本期擬納入</x:v>
      </x:c>
      <x:c r="H34" s="84" t="str">
        <x:v>待確認</x:v>
      </x:c>
      <x:c r="I34" s="84" t="str">
        <x:v>未決定</x:v>
      </x:c>
      <x:c r="J34" s="71"/>
      <x:c r="K34" s="69" t="str">
        <x:v>MASTER、QUO、PUR可在“現場處理/服務報告”完成“標記是否需要後補報價、材料或客戶確認”，可完成操作並形成可追溯記錄；狀態變化和業務限制符合關鍵規則。</x:v>
      </x:c>
    </x:row>
    <x:row r="35" ht="52" customHeight="1">
      <x:c r="A35" s="80" t="str">
        <x:v>F031</x:v>
      </x:c>
      <x:c r="B35" s="88" t="str">
        <x:v>FLOW-001 / FLOW-005</x:v>
      </x:c>
      <x:c r="C35" s="88" t="str">
        <x:v>移動端現場執行</x:v>
      </x:c>
      <x:c r="D35" s="69" t="str">
        <x:v>記錄滿意度、電子簽名或客戶不在場</x:v>
      </x:c>
      <x:c r="E35" s="69" t="str">
        <x:v>面向MASTER、客戶，支持記錄滿意度、電子簽名或客戶不在場；正式交付需結合真實數據、權限和驗收規則確認。</x:v>
      </x:c>
      <x:c r="F35" s="78" t="str">
        <x:v>完工單與客戶確認；可演示</x:v>
      </x:c>
      <x:c r="G35" s="83" t="str">
        <x:v>本期擬納入</x:v>
      </x:c>
      <x:c r="H35" s="84" t="str">
        <x:v>待確認</x:v>
      </x:c>
      <x:c r="I35" s="84" t="str">
        <x:v>未決定</x:v>
      </x:c>
      <x:c r="J35" s="71"/>
      <x:c r="K35" s="69" t="str">
        <x:v>MASTER、客戶可在“完工單與客戶確認”完成“記錄滿意度、電子簽名或客戶不在場”，可完成操作並形成可追溯記錄；狀態變化和業務限制符合關鍵規則。</x:v>
      </x:c>
    </x:row>
    <x:row r="36" ht="52" customHeight="1">
      <x:c r="A36" s="80" t="str">
        <x:v>F032</x:v>
      </x:c>
      <x:c r="B36" s="88" t="str">
        <x:v>FLOW-001 / FLOW-005</x:v>
      </x:c>
      <x:c r="C36" s="88" t="str">
        <x:v>移動端現場執行</x:v>
      </x:c>
      <x:c r="D36" s="69" t="str">
        <x:v>填寫完工單編號、材料、照片、簽章和備註</x:v>
      </x:c>
      <x:c r="E36" s="69" t="str">
        <x:v>面向MASTER，支持填寫完工單編號、材料、照片、簽章和備註；正式交付需結合真實數據、權限和驗收規則確認。</x:v>
      </x:c>
      <x:c r="F36" s="78" t="str">
        <x:v>完工單與客戶確認；可演示</x:v>
      </x:c>
      <x:c r="G36" s="83" t="str">
        <x:v>本期擬納入</x:v>
      </x:c>
      <x:c r="H36" s="84" t="str">
        <x:v>待確認</x:v>
      </x:c>
      <x:c r="I36" s="84" t="str">
        <x:v>未決定</x:v>
      </x:c>
      <x:c r="J36" s="71"/>
      <x:c r="K36" s="69" t="str">
        <x:v>MASTER可在“完工單與客戶確認”完成“填寫完工單編號、材料、照片、簽章和備註”，可完成操作並形成可追溯記錄；狀態變化和業務限制符合關鍵規則。</x:v>
      </x:c>
    </x:row>
    <x:row r="37" ht="52" customHeight="1">
      <x:c r="A37" s="80" t="str">
        <x:v>F033</x:v>
      </x:c>
      <x:c r="B37" s="88" t="str">
        <x:v>FLOW-001 / FLOW-005</x:v>
      </x:c>
      <x:c r="C37" s="88" t="str">
        <x:v>移動端現場執行</x:v>
      </x:c>
      <x:c r="D37" s="69" t="str">
        <x:v>提交SR/完工資料並進入主管完工確認</x:v>
      </x:c>
      <x:c r="E37" s="69" t="str">
        <x:v>師傅提交SR或完工資料後，工單進入“待完工確認”；由CR/TL確認後才進入已完成。</x:v>
      </x:c>
      <x:c r="F37" s="78" t="str">
        <x:v>完工單與客戶確認 / CALL詳情；可演示（2026-09-27修訂）</x:v>
      </x:c>
      <x:c r="G37" s="83" t="str">
        <x:v>本期擬納入</x:v>
      </x:c>
      <x:c r="H37" s="84" t="str">
        <x:v>待確認</x:v>
      </x:c>
      <x:c r="I37" s="84" t="str">
        <x:v>未決定</x:v>
      </x:c>
      <x:c r="J37" s="71"/>
      <x:c r="K37" s="69" t="str">
        <x:v>MASTER可在“完工單與客戶確認 / CALL詳情”完成“提交SR/完工資料並進入主管完工確認”，可完成操作並形成可追溯記錄；狀態變化和業務限制符合關鍵規則。</x:v>
      </x:c>
    </x:row>
    <x:row r="38" ht="52" customHeight="1">
      <x:c r="A38" s="80" t="str">
        <x:v>F034</x:v>
      </x:c>
      <x:c r="B38" s="88" t="str">
        <x:v>FLOW-001</x:v>
      </x:c>
      <x:c r="C38" s="88" t="str">
        <x:v>移動端現場執行</x:v>
      </x:c>
      <x:c r="D38" s="69" t="str">
        <x:v>離線保存處理記錄，恢復網絡後上傳</x:v>
      </x:c>
      <x:c r="E38" s="69" t="str">
        <x:v>需要在真機弱網環境驗證離線緩存、衝突處理和恢復上傳。</x:v>
      </x:c>
      <x:c r="F38" s="78" t="str">
        <x:v>完工單與客戶確認；流程演示</x:v>
      </x:c>
      <x:c r="G38" s="83" t="str">
        <x:v>後續階段</x:v>
      </x:c>
      <x:c r="H38" s="84" t="str">
        <x:v>待確認</x:v>
      </x:c>
      <x:c r="I38" s="84" t="str">
        <x:v>未決定</x:v>
      </x:c>
      <x:c r="J38" s="71"/>
      <x:c r="K38" s="69" t="str">
        <x:v>MASTER可在“完工單與客戶確認”完成“離線保存處理記錄，恢復網絡後上傳”，可完成操作並形成可追溯記錄；狀態變化和業務限制符合關鍵規則。</x:v>
      </x:c>
    </x:row>
    <x:row r="39" ht="52" customHeight="1">
      <x:c r="A39" s="80" t="str">
        <x:v>F035</x:v>
      </x:c>
      <x:c r="B39" s="88" t="str">
        <x:v>FLOW-001 / FLOW-008</x:v>
      </x:c>
      <x:c r="C39" s="88" t="str">
        <x:v>報告與文檔</x:v>
      </x:c>
      <x:c r="D39" s="69" t="str">
        <x:v>按服務報告（SR）和完工單（CP）分類查看文件夾</x:v>
      </x:c>
      <x:c r="E39" s="69" t="str">
        <x:v>面向CS、CR、TL、ADMIN，支持按服務報告（SR）和完工單（CP）分類查看文件夾；正式交付需結合真實數據、權限和驗收規則確認。</x:v>
      </x:c>
      <x:c r="F39" s="78" t="str">
        <x:v>報告管理/發送；可演示</x:v>
      </x:c>
      <x:c r="G39" s="83" t="str">
        <x:v>本期擬納入</x:v>
      </x:c>
      <x:c r="H39" s="84" t="str">
        <x:v>待確認</x:v>
      </x:c>
      <x:c r="I39" s="84" t="str">
        <x:v>未決定</x:v>
      </x:c>
      <x:c r="J39" s="71"/>
      <x:c r="K39" s="69" t="str">
        <x:v>CS、CR、TL、ADMIN可在“報告管理/發送”完成“按服務報告（SR）和完工單（CP）分類查看文件夾”，可按權限查看或查詢，結果與關聯明細一致；狀態變化和業務限制符合關鍵規則。</x:v>
      </x:c>
    </x:row>
    <x:row r="40" ht="52" customHeight="1">
      <x:c r="A40" s="80" t="str">
        <x:v>F036</x:v>
      </x:c>
      <x:c r="B40" s="88" t="str">
        <x:v>FLOW-001 / FLOW-008</x:v>
      </x:c>
      <x:c r="C40" s="88" t="str">
        <x:v>報告與文檔</x:v>
      </x:c>
      <x:c r="D40" s="69" t="str">
        <x:v>按區域、狀態、編號、客戶和內容搜索報告</x:v>
      </x:c>
      <x:c r="E40" s="69" t="str">
        <x:v>面向CS、CR、TL、ADMIN，支持按區域、狀態、編號、客戶和內容搜索報告；正式交付需結合真實數據、權限和驗收規則確認。</x:v>
      </x:c>
      <x:c r="F40" s="78" t="str">
        <x:v>報告管理/發送；可演示</x:v>
      </x:c>
      <x:c r="G40" s="83" t="str">
        <x:v>本期擬納入</x:v>
      </x:c>
      <x:c r="H40" s="84" t="str">
        <x:v>待確認</x:v>
      </x:c>
      <x:c r="I40" s="84" t="str">
        <x:v>未決定</x:v>
      </x:c>
      <x:c r="J40" s="71"/>
      <x:c r="K40" s="69" t="str">
        <x:v>CS、CR、TL、ADMIN可在“報告管理/發送”完成“按區域、狀態、編號、客戶和內容搜索報告”，可按權限查看或查詢，結果與關聯明細一致；狀態變化和業務限制符合關鍵規則。</x:v>
      </x:c>
    </x:row>
    <x:row r="41" ht="52" customHeight="1">
      <x:c r="A41" s="80" t="str">
        <x:v>F037</x:v>
      </x:c>
      <x:c r="B41" s="88" t="str">
        <x:v>FLOW-001 / FLOW-008</x:v>
      </x:c>
      <x:c r="C41" s="88" t="str">
        <x:v>報告與文檔</x:v>
      </x:c>
      <x:c r="D41" s="69" t="str">
        <x:v>查看報告詳情並跳轉關聯 CALL</x:v>
      </x:c>
      <x:c r="E41" s="69" t="str">
        <x:v>面向相關業務角色，支持查看報告詳情並跳轉關聯 CALL；正式交付需結合真實數據、權限和驗收規則確認。</x:v>
      </x:c>
      <x:c r="F41" s="78" t="str">
        <x:v>報告管理/發送；可演示</x:v>
      </x:c>
      <x:c r="G41" s="83" t="str">
        <x:v>本期擬納入</x:v>
      </x:c>
      <x:c r="H41" s="84" t="str">
        <x:v>待確認</x:v>
      </x:c>
      <x:c r="I41" s="84" t="str">
        <x:v>未決定</x:v>
      </x:c>
      <x:c r="J41" s="71"/>
      <x:c r="K41" s="69" t="str">
        <x:v>相關業務角色可在“報告管理/發送”完成“查看報告詳情並跳轉關聯 CALL”，可按權限查看或查詢，結果與關聯明細一致；狀態變化和業務限制符合關鍵規則。</x:v>
      </x:c>
    </x:row>
    <x:row r="42" ht="52" customHeight="1">
      <x:c r="A42" s="80" t="str">
        <x:v>F038</x:v>
      </x:c>
      <x:c r="B42" s="88" t="str">
        <x:v>FLOW-001 / FLOW-008</x:v>
      </x:c>
      <x:c r="C42" s="88" t="str">
        <x:v>報告與文檔</x:v>
      </x:c>
      <x:c r="D42" s="69" t="str">
        <x:v>通過 Email 或 WhatsApp 發送報告</x:v>
      </x:c>
      <x:c r="E42" s="69" t="str">
        <x:v>原型可演示發送動作，Email和WhatsApp真實通道未接入。</x:v>
      </x:c>
      <x:c r="F42" s="78" t="str">
        <x:v>報告管理/發送；流程演示</x:v>
      </x:c>
      <x:c r="G42" s="83" t="str">
        <x:v>後續階段</x:v>
      </x:c>
      <x:c r="H42" s="84" t="str">
        <x:v>待確認</x:v>
      </x:c>
      <x:c r="I42" s="84" t="str">
        <x:v>未決定</x:v>
      </x:c>
      <x:c r="J42" s="71"/>
      <x:c r="K42" s="69" t="str">
        <x:v>CS、CR可在“報告管理/發送”完成“通過 Email 或 WhatsApp 發送報告”，可完成操作並形成可追溯記錄；狀態變化和業務限制符合關鍵規則。</x:v>
      </x:c>
    </x:row>
    <x:row r="43" ht="52" customHeight="1">
      <x:c r="A43" s="80" t="str">
        <x:v>F039</x:v>
      </x:c>
      <x:c r="B43" s="88" t="str">
        <x:v>FLOW-001 / FLOW-008</x:v>
      </x:c>
      <x:c r="C43" s="88" t="str">
        <x:v>報告與文檔</x:v>
      </x:c>
      <x:c r="D43" s="69" t="str">
        <x:v>記錄發送對象、方式、時間和發送日誌</x:v>
      </x:c>
      <x:c r="E43" s="69" t="str">
        <x:v>面向CS、CR、ADMIN，支持記錄發送對象、方式、時間和發送日誌；正式交付需結合真實數據、權限和驗收規則確認。</x:v>
      </x:c>
      <x:c r="F43" s="78" t="str">
        <x:v>報告管理/發送；可演示</x:v>
      </x:c>
      <x:c r="G43" s="83" t="str">
        <x:v>後續階段</x:v>
      </x:c>
      <x:c r="H43" s="84" t="str">
        <x:v>待確認</x:v>
      </x:c>
      <x:c r="I43" s="84" t="str">
        <x:v>未決定</x:v>
      </x:c>
      <x:c r="J43" s="71"/>
      <x:c r="K43" s="69" t="str">
        <x:v>CS、CR、ADMIN可在“報告管理/發送”完成“記錄發送對象、方式、時間和發送日誌”，可完成操作並形成可追溯記錄；狀態變化和業務限制符合關鍵規則。</x:v>
      </x:c>
    </x:row>
    <x:row r="44" ht="52" customHeight="1">
      <x:c r="A44" s="80" t="str">
        <x:v>F040</x:v>
      </x:c>
      <x:c r="B44" s="88" t="str">
        <x:v>FLOW-001 / FLOW-006</x:v>
      </x:c>
      <x:c r="C44" s="88" t="str">
        <x:v>報價管理</x:v>
      </x:c>
      <x:c r="D44" s="69" t="str">
        <x:v>新增、編輯、刪除、查看和篩選報價</x:v>
      </x:c>
      <x:c r="E44" s="69" t="str">
        <x:v>面向QUO、CR、ADMIN，支持新增、編輯、刪除、查看和篩選報價；正式交付需結合真實數據、權限和驗收規則確認。</x:v>
      </x:c>
      <x:c r="F44" s="78" t="str">
        <x:v>報價單/報價明細；可演示</x:v>
      </x:c>
      <x:c r="G44" s="83" t="str">
        <x:v>本期擬納入</x:v>
      </x:c>
      <x:c r="H44" s="84" t="str">
        <x:v>待確認</x:v>
      </x:c>
      <x:c r="I44" s="84" t="str">
        <x:v>未決定</x:v>
      </x:c>
      <x:c r="J44" s="71"/>
      <x:c r="K44" s="69" t="str">
        <x:v>QUO、CR、ADMIN可在“報價單/報價明細”完成“新增、編輯、刪除、查看和篩選報價”，可按權限查看或查詢，結果與關聯明細一致；狀態變化和業務限制符合關鍵規則。</x:v>
      </x:c>
    </x:row>
    <x:row r="45" ht="52" customHeight="1">
      <x:c r="A45" s="80" t="str">
        <x:v>F041</x:v>
      </x:c>
      <x:c r="B45" s="88" t="str">
        <x:v>FLOW-001 / FLOW-006</x:v>
      </x:c>
      <x:c r="C45" s="88" t="str">
        <x:v>報價管理</x:v>
      </x:c>
      <x:c r="D45" s="69" t="str">
        <x:v>維護報價類別M/P/M+P、明細、金額和有效期</x:v>
      </x:c>
      <x:c r="E45" s="69" t="str">
        <x:v>報價需明確M、P或M+P類別；M生成維保計劃，P進入MR及倉庫通協同，M+P兩條分支可獨立推進。</x:v>
      </x:c>
      <x:c r="F45" s="78" t="str">
        <x:v>報價單/報價明細；可演示（2026-09-27修訂）</x:v>
      </x:c>
      <x:c r="G45" s="83" t="str">
        <x:v>本期擬納入</x:v>
      </x:c>
      <x:c r="H45" s="84" t="str">
        <x:v>待確認</x:v>
      </x:c>
      <x:c r="I45" s="84" t="str">
        <x:v>未決定</x:v>
      </x:c>
      <x:c r="J45" s="71"/>
      <x:c r="K45" s="69" t="str">
        <x:v>QUO可在“報價單/報價明細”完成“維護報價類別M/P/M+P、明細、金額和有效期”，可完成操作並形成可追溯記錄；狀態變化和業務限制符合關鍵規則。</x:v>
      </x:c>
    </x:row>
    <x:row r="46" ht="52" customHeight="1">
      <x:c r="A46" s="80" t="str">
        <x:v>F042</x:v>
      </x:c>
      <x:c r="B46" s="88" t="str">
        <x:v>FLOW-001 / FLOW-006</x:v>
      </x:c>
      <x:c r="C46" s="88" t="str">
        <x:v>報價管理</x:v>
      </x:c>
      <x:c r="D46" s="69" t="str">
        <x:v>顯示歷史物料成本價和供應商參考，不鎖定庫存</x:v>
      </x:c>
      <x:c r="E46" s="69" t="str">
        <x:v>面向QUO，支持顯示歷史物料成本價和供應商參考，不鎖定庫存；正式交付需結合真實數據、權限和驗收規則確認。</x:v>
      </x:c>
      <x:c r="F46" s="78" t="str">
        <x:v>報價單/報價明細；可演示</x:v>
      </x:c>
      <x:c r="G46" s="83" t="str">
        <x:v>本期擬納入</x:v>
      </x:c>
      <x:c r="H46" s="84" t="str">
        <x:v>待確認</x:v>
      </x:c>
      <x:c r="I46" s="84" t="str">
        <x:v>未決定</x:v>
      </x:c>
      <x:c r="J46" s="71"/>
      <x:c r="K46" s="69" t="str">
        <x:v>QUO可在“報價單/報價明細”完成“顯示歷史物料成本價和供應商參考，不鎖定庫存”，可完成操作並形成可追溯記錄；狀態變化和業務限制符合關鍵規則。</x:v>
      </x:c>
    </x:row>
    <x:row r="47" ht="52" customHeight="1">
      <x:c r="A47" s="80" t="str">
        <x:v>F043</x:v>
      </x:c>
      <x:c r="B47" s="88" t="str">
        <x:v>FLOW-001 / FLOW-006</x:v>
      </x:c>
      <x:c r="C47" s="88" t="str">
        <x:v>報價管理</x:v>
      </x:c>
      <x:c r="D47" s="69" t="str">
        <x:v>從CALL、SR、維保或Tender創建並關聯報價</x:v>
      </x:c>
      <x:c r="E47" s="69" t="str">
        <x:v>報價可由普通CALL、現場SR、維保場景或Tender中標結果觸發，並保留來源關聯。</x:v>
      </x:c>
      <x:c r="F47" s="78" t="str">
        <x:v>報價單/報價明細；可演示（2026-09-27修訂）</x:v>
      </x:c>
      <x:c r="G47" s="83" t="str">
        <x:v>本期擬納入</x:v>
      </x:c>
      <x:c r="H47" s="84" t="str">
        <x:v>待確認</x:v>
      </x:c>
      <x:c r="I47" s="84" t="str">
        <x:v>未決定</x:v>
      </x:c>
      <x:c r="J47" s="71"/>
      <x:c r="K47" s="69" t="str">
        <x:v>QUO、CR、MASTER可在“報價單/報價明細”完成“從CALL、SR、維保或Tender創建並關聯報價”，可完成操作並形成可追溯記錄；狀態變化和業務限制符合關鍵規則。</x:v>
      </x:c>
    </x:row>
    <x:row r="48" ht="52" customHeight="1">
      <x:c r="A48" s="80" t="str">
        <x:v>F044</x:v>
      </x:c>
      <x:c r="B48" s="88" t="str">
        <x:v>FLOW-001 / FLOW-006</x:v>
      </x:c>
      <x:c r="C48" s="88" t="str">
        <x:v>報價管理</x:v>
      </x:c>
      <x:c r="D48" s="69" t="str">
        <x:v>維護報價版本、修訂記錄、客戶接受版本和中單結果</x:v>
      </x:c>
      <x:c r="E48" s="69" t="str">
        <x:v>報價保留R0/R1/R2等修訂歷史；客戶接受最終版本後由QUO確認中單，並鎖定接受版本及物料行。</x:v>
      </x:c>
      <x:c r="F48" s="78" t="str">
        <x:v>報價單/報價明細；可演示（2026-09-27修訂）</x:v>
      </x:c>
      <x:c r="G48" s="83" t="str">
        <x:v>本期擬納入</x:v>
      </x:c>
      <x:c r="H48" s="84" t="str">
        <x:v>待確認</x:v>
      </x:c>
      <x:c r="I48" s="84" t="str">
        <x:v>未決定</x:v>
      </x:c>
      <x:c r="J48" s="71"/>
      <x:c r="K48" s="69" t="str">
        <x:v>QUO、BOSS可在“報價單/報價明細”完成“維護報價版本、修訂記錄、客戶接受版本和中單結果”，可完成操作並形成可追溯記錄；狀態變化和業務限制符合關鍵規則。</x:v>
      </x:c>
    </x:row>
    <x:row r="49" ht="52" customHeight="1">
      <x:c r="A49" s="80" t="str">
        <x:v>F045</x:v>
      </x:c>
      <x:c r="B49" s="88" t="str">
        <x:v>FLOW-001 / FLOW-006</x:v>
      </x:c>
      <x:c r="C49" s="88" t="str">
        <x:v>報價管理</x:v>
      </x:c>
      <x:c r="D49" s="69" t="str">
        <x:v>維護報價組通訊錄和報價負責人</x:v>
      </x:c>
      <x:c r="E49" s="69" t="str">
        <x:v>面向QUO、ADMIN，支持維護報價組通訊錄和報價負責人；正式交付需結合真實數據、權限和驗收規則確認。</x:v>
      </x:c>
      <x:c r="F49" s="78" t="str">
        <x:v>報價單/報價明細；可演示</x:v>
      </x:c>
      <x:c r="G49" s="83" t="str">
        <x:v>本期擬納入</x:v>
      </x:c>
      <x:c r="H49" s="84" t="str">
        <x:v>待確認</x:v>
      </x:c>
      <x:c r="I49" s="84" t="str">
        <x:v>未決定</x:v>
      </x:c>
      <x:c r="J49" s="71"/>
      <x:c r="K49" s="69" t="str">
        <x:v>QUO、ADMIN可在“報價單/報價明細”完成“維護報價組通訊錄和報價負責人”，可完成操作並形成可追溯記錄；狀態變化和業務限制符合關鍵規則。</x:v>
      </x:c>
    </x:row>
    <x:row r="50" ht="52" customHeight="1">
      <x:c r="A50" s="80" t="str">
        <x:v>F046</x:v>
      </x:c>
      <x:c r="B50" s="88" t="str">
        <x:v>FLOW-010</x:v>
      </x:c>
      <x:c r="C50" s="88" t="str">
        <x:v>標書管理</x:v>
      </x:c>
      <x:c r="D50" s="69" t="str">
        <x:v>新建、導入、編輯、刪除和搜索標書</x:v>
      </x:c>
      <x:c r="E50" s="69" t="str">
        <x:v>面向TENDER、ADMIN，支持新建、導入、編輯、刪除和搜索標書；正式交付需結合真實數據、權限和驗收規則確認。</x:v>
      </x:c>
      <x:c r="F50" s="78" t="str">
        <x:v>標書表單；可演示</x:v>
      </x:c>
      <x:c r="G50" s="83" t="str">
        <x:v>後續階段</x:v>
      </x:c>
      <x:c r="H50" s="84" t="str">
        <x:v>待確認</x:v>
      </x:c>
      <x:c r="I50" s="84" t="str">
        <x:v>未決定</x:v>
      </x:c>
      <x:c r="J50" s="71"/>
      <x:c r="K50" s="69" t="str">
        <x:v>TENDER、ADMIN可在“標書表單”完成“新建、導入、編輯、刪除和搜索標書”，可按權限查看或查詢，結果與關聯明細一致；狀態變化和業務限制符合關鍵規則。</x:v>
      </x:c>
    </x:row>
    <x:row r="51" ht="52" customHeight="1">
      <x:c r="A51" s="80" t="str">
        <x:v>F047</x:v>
      </x:c>
      <x:c r="B51" s="88" t="str">
        <x:v>FLOW-010</x:v>
      </x:c>
      <x:c r="C51" s="88" t="str">
        <x:v>標書管理</x:v>
      </x:c>
      <x:c r="D51" s="69" t="str">
        <x:v>維護標書來源、回標方式、截止日期和負責人</x:v>
      </x:c>
      <x:c r="E51" s="69" t="str">
        <x:v>面向TENDER，支持維護標書來源、回標方式、截止日期和負責人；正式交付需結合真實數據、權限和驗收規則確認。</x:v>
      </x:c>
      <x:c r="F51" s="78" t="str">
        <x:v>標書表單；可演示</x:v>
      </x:c>
      <x:c r="G51" s="83" t="str">
        <x:v>後續階段</x:v>
      </x:c>
      <x:c r="H51" s="84" t="str">
        <x:v>待確認</x:v>
      </x:c>
      <x:c r="I51" s="84" t="str">
        <x:v>未決定</x:v>
      </x:c>
      <x:c r="J51" s="71"/>
      <x:c r="K51" s="69" t="str">
        <x:v>TENDER可在“標書表單”完成“維護標書來源、回標方式、截止日期和負責人”，可完成操作並形成可追溯記錄；狀態變化和業務限制符合關鍵規則。</x:v>
      </x:c>
    </x:row>
    <x:row r="52" ht="52" customHeight="1">
      <x:c r="A52" s="80" t="str">
        <x:v>F048</x:v>
      </x:c>
      <x:c r="B52" s="88" t="str">
        <x:v>FLOW-010</x:v>
      </x:c>
      <x:c r="C52" s="88" t="str">
        <x:v>標書管理</x:v>
      </x:c>
      <x:c r="D52" s="69" t="str">
        <x:v>倒計時查看截止日期、投標狀態和中標結果</x:v>
      </x:c>
      <x:c r="E52" s="69" t="str">
        <x:v>面向TENDER、BOSS，支持倒計時查看截止日期、投標狀態和中標結果；正式交付需結合真實數據、權限和驗收規則確認。</x:v>
      </x:c>
      <x:c r="F52" s="78" t="str">
        <x:v>標書表單；可演示</x:v>
      </x:c>
      <x:c r="G52" s="83" t="str">
        <x:v>後續階段</x:v>
      </x:c>
      <x:c r="H52" s="84" t="str">
        <x:v>待確認</x:v>
      </x:c>
      <x:c r="I52" s="84" t="str">
        <x:v>未決定</x:v>
      </x:c>
      <x:c r="J52" s="71"/>
      <x:c r="K52" s="69" t="str">
        <x:v>TENDER、BOSS可在“標書表單”完成“倒計時查看截止日期、投標狀態和中標結果”，可按權限查看或查詢，結果與關聯明細一致；狀態變化和業務限制符合關鍵規則。</x:v>
      </x:c>
    </x:row>
    <x:row r="53" ht="52" customHeight="1">
      <x:c r="A53" s="80" t="str">
        <x:v>F049</x:v>
      </x:c>
      <x:c r="B53" s="88" t="str">
        <x:v>FLOW-010</x:v>
      </x:c>
      <x:c r="C53" s="88" t="str">
        <x:v>標書管理</x:v>
      </x:c>
      <x:c r="D53" s="69" t="str">
        <x:v>管理標書附件、往來資料和內部備註</x:v>
      </x:c>
      <x:c r="E53" s="69" t="str">
        <x:v>面向TENDER，支持管理標書附件、往來資料和內部備註；正式交付需結合真實數據、權限和驗收規則確認。</x:v>
      </x:c>
      <x:c r="F53" s="78" t="str">
        <x:v>標書表單；可演示</x:v>
      </x:c>
      <x:c r="G53" s="83" t="str">
        <x:v>後續階段</x:v>
      </x:c>
      <x:c r="H53" s="84" t="str">
        <x:v>待確認</x:v>
      </x:c>
      <x:c r="I53" s="84" t="str">
        <x:v>未決定</x:v>
      </x:c>
      <x:c r="J53" s="71"/>
      <x:c r="K53" s="69" t="str">
        <x:v>TENDER可在“標書表單”完成“管理標書附件、往來資料和內部備註”，可完成操作並形成可追溯記錄；狀態變化和業務限制符合關鍵規則。</x:v>
      </x:c>
    </x:row>
    <x:row r="54" ht="52" customHeight="1">
      <x:c r="A54" s="80" t="str">
        <x:v>F050</x:v>
      </x:c>
      <x:c r="B54" s="88" t="str">
        <x:v>FLOW-010</x:v>
      </x:c>
      <x:c r="C54" s="88" t="str">
        <x:v>標書管理</x:v>
      </x:c>
      <x:c r="D54" s="69" t="str">
        <x:v>按區域、技能、日期和重複週期安排標書相關師傅</x:v>
      </x:c>
      <x:c r="E54" s="69" t="str">
        <x:v>面向TENDER、TL，支持按區域、技能、日期和重複週期安排標書相關師傅；正式交付需結合真實數據、權限和驗收規則確認。</x:v>
      </x:c>
      <x:c r="F54" s="78" t="str">
        <x:v>標書師傅排程；可演示</x:v>
      </x:c>
      <x:c r="G54" s="83" t="str">
        <x:v>後續階段</x:v>
      </x:c>
      <x:c r="H54" s="84" t="str">
        <x:v>待確認</x:v>
      </x:c>
      <x:c r="I54" s="84" t="str">
        <x:v>未決定</x:v>
      </x:c>
      <x:c r="J54" s="71"/>
      <x:c r="K54" s="69" t="str">
        <x:v>TENDER、TL可在“標書師傅排程”完成“按區域、技能、日期和重複週期安排標書相關師傅”，可完成操作並形成可追溯記錄；狀態變化和業務限制符合關鍵規則。</x:v>
      </x:c>
    </x:row>
    <x:row r="55" ht="52" customHeight="1">
      <x:c r="A55" s="80" t="str">
        <x:v>F051</x:v>
      </x:c>
      <x:c r="B55" s="88" t="str">
        <x:v>FLOW-001 / FLOW-007</x:v>
      </x:c>
      <x:c r="C55" s="88" t="str">
        <x:v>MR與倉庫通狀態協同</x:v>
      </x:c>
      <x:c r="D55" s="69" t="str">
        <x:v>報價中單後按客戶接受版本生成關聯MR</x:v>
      </x:c>
      <x:c r="E55" s="69" t="str">
        <x:v>QUO確認中單後，系統按客戶最終接受版本中的P類物料行生成MR，並保留報價、CALL和物料關聯。</x:v>
      </x:c>
      <x:c r="F55" s="78" t="str">
        <x:v>報價詳情 / MR狀態；流程演示；接口未接入</x:v>
      </x:c>
      <x:c r="G55" s="83" t="str">
        <x:v>本期擬納入</x:v>
      </x:c>
      <x:c r="H55" s="84" t="str">
        <x:v>待確認</x:v>
      </x:c>
      <x:c r="I55" s="84" t="str">
        <x:v>未決定</x:v>
      </x:c>
      <x:c r="J55" s="71"/>
      <x:c r="K55" s="69" t="str">
        <x:v>QUO、CR、TL、系統可在“報價詳情 / MR狀態”完成“報價中單後按客戶接受版本生成關聯MR”，可完成操作並形成可追溯記錄；狀態變化和業務限制符合關鍵規則。</x:v>
      </x:c>
    </x:row>
    <x:row r="56" ht="52" customHeight="1">
      <x:c r="A56" s="80" t="str">
        <x:v>F052</x:v>
      </x:c>
      <x:c r="B56" s="88" t="str">
        <x:v>FLOW-001 / FLOW-007</x:v>
      </x:c>
      <x:c r="C56" s="88" t="str">
        <x:v>MR與倉庫通狀態協同</x:v>
      </x:c>
      <x:c r="D56" s="69" t="str">
        <x:v>向倉庫通發送MR並同步備貨狀態</x:v>
      </x:c>
      <x:c r="E56" s="69" t="str">
        <x:v>EC將MR協同信息發送至外部倉庫通，並接收備貨狀態；EC不承擔採購、入庫和揀貨的人工執行。</x:v>
      </x:c>
      <x:c r="F56" s="78" t="str">
        <x:v>MR狀態 / 外部接口監控；原型暫行；倉庫通未接入</x:v>
      </x:c>
      <x:c r="G56" s="83" t="str">
        <x:v>本期擬納入</x:v>
      </x:c>
      <x:c r="H56" s="84" t="str">
        <x:v>待確認</x:v>
      </x:c>
      <x:c r="I56" s="84" t="str">
        <x:v>未決定</x:v>
      </x:c>
      <x:c r="J56" s="71"/>
      <x:c r="K56" s="69" t="str">
        <x:v>系統、倉庫通、CR、TL可在“MR狀態 / 外部接口監控”完成“向倉庫通發送MR並同步備貨狀態”，可完成操作並形成可追溯記錄；狀態變化和業務限制符合關鍵規則。</x:v>
      </x:c>
    </x:row>
    <x:row r="57" ht="52" customHeight="1">
      <x:c r="A57" s="80" t="str">
        <x:v>F053</x:v>
      </x:c>
      <x:c r="B57" s="88" t="str">
        <x:v>FLOW-001 / FLOW-007</x:v>
      </x:c>
      <x:c r="C57" s="88" t="str">
        <x:v>MR與倉庫通狀態協同</x:v>
      </x:c>
      <x:c r="D57" s="69" t="str">
        <x:v>查看倉庫通返回的物料、庫存或供應信息</x:v>
      </x:c>
      <x:c r="E57" s="69" t="str">
        <x:v>EC按確認的接口範圍展示倉庫通返回的物料準備信息；供應商和庫存主數據是否回傳仍待確認。</x:v>
      </x:c>
      <x:c r="F57" s="78" t="str">
        <x:v>MR狀態 / 物料準備詳情；部分覆蓋；接口邊界待確認</x:v>
      </x:c>
      <x:c r="G57" s="83" t="str">
        <x:v>本期擬納入</x:v>
      </x:c>
      <x:c r="H57" s="84" t="str">
        <x:v>待確認</x:v>
      </x:c>
      <x:c r="I57" s="84" t="str">
        <x:v>未決定</x:v>
      </x:c>
      <x:c r="J57" s="71"/>
      <x:c r="K57" s="69" t="str">
        <x:v>CR、TL、QUO、系統可在“MR狀態 / 物料準備詳情”完成“查看倉庫通返回的物料、庫存或供應信息”，可按權限查看或查詢，結果與關聯明細一致；狀態變化和業務限制符合關鍵規則。</x:v>
      </x:c>
    </x:row>
    <x:row r="58" ht="52" customHeight="1">
      <x:c r="A58" s="80" t="str">
        <x:v>F054</x:v>
      </x:c>
      <x:c r="B58" s="88" t="str">
        <x:v>FLOW-001 / FLOW-007</x:v>
      </x:c>
      <x:c r="C58" s="88" t="str">
        <x:v>MR與倉庫通狀態協同</x:v>
      </x:c>
      <x:c r="D58" s="69" t="str">
        <x:v>關聯報價、CALL、MR、外部單號和倉庫狀態</x:v>
      </x:c>
      <x:c r="E58" s="69" t="str">
        <x:v>通過穩定編號追溯報價中單、MR、倉庫通外部單據、原CALL及後續派工關係。</x:v>
      </x:c>
      <x:c r="F58" s="78" t="str">
        <x:v>MR狀態 / 關聯記錄；部分覆蓋；接口欄位待確認</x:v>
      </x:c>
      <x:c r="G58" s="83" t="str">
        <x:v>本期擬納入</x:v>
      </x:c>
      <x:c r="H58" s="84" t="str">
        <x:v>待確認</x:v>
      </x:c>
      <x:c r="I58" s="84" t="str">
        <x:v>未決定</x:v>
      </x:c>
      <x:c r="J58" s="71"/>
      <x:c r="K58" s="69" t="str">
        <x:v>CR、TL、QUO、系統可在“MR狀態 / 關聯記錄”完成“關聯報價、CALL、MR、外部單號和倉庫狀態”，可完成操作並形成可追溯記錄；狀態變化和業務限制符合關鍵規則。</x:v>
      </x:c>
    </x:row>
    <x:row r="59" ht="52" customHeight="1">
      <x:c r="A59" s="80" t="str">
        <x:v>F055</x:v>
      </x:c>
      <x:c r="B59" s="88" t="str">
        <x:v>FLOW-001 / FLOW-007</x:v>
      </x:c>
      <x:c r="C59" s="88" t="str">
        <x:v>MR與倉庫通狀態協同</x:v>
      </x:c>
      <x:c r="D59" s="69" t="str">
        <x:v>物料達到可派工條件後通知CR/TL確認正式時間</x:v>
      </x:c>
      <x:c r="E59" s="69" t="str">
        <x:v>倉庫通返回滿足條件的備貨狀態後，EC通知CR/TL確認客戶正式時間和可派工條件。</x:v>
      </x:c>
      <x:c r="F59" s="78" t="str">
        <x:v>MR狀態 / 分派中心；流程演示；門檻待確認</x:v>
      </x:c>
      <x:c r="G59" s="83" t="str">
        <x:v>本期擬納入</x:v>
      </x:c>
      <x:c r="H59" s="84" t="str">
        <x:v>待確認</x:v>
      </x:c>
      <x:c r="I59" s="84" t="str">
        <x:v>未決定</x:v>
      </x:c>
      <x:c r="J59" s="71"/>
      <x:c r="K59" s="69" t="str">
        <x:v>倉庫通、系統、CR、TL可在“MR狀態 / 分派中心”完成“物料達到可派工條件後通知CR/TL確認正式時間”，可完成操作並形成可追溯記錄；狀態變化和業務限制符合關鍵規則。</x:v>
      </x:c>
    </x:row>
    <x:row r="60" ht="52" customHeight="1">
      <x:c r="A60" s="80" t="str">
        <x:v>F056</x:v>
      </x:c>
      <x:c r="B60" s="88" t="str">
        <x:v>FLOW-001 / FLOW-007</x:v>
      </x:c>
      <x:c r="C60" s="88" t="str">
        <x:v>MR與倉庫通狀態協同</x:v>
      </x:c>
      <x:c r="D60" s="69" t="str">
        <x:v>建立物料就緒後的後續安裝或維修任務關聯</x:v>
      </x:c>
      <x:c r="E60" s="69" t="str">
        <x:v>物料就緒並確認正式時間後進入派工；複用原工單還是創建關聯工單由客戶定稿。</x:v>
      </x:c>
      <x:c r="F60" s="78" t="str">
        <x:v>MR狀態 / CALL詳情 / 分派中心；流程演示；建單方式待確認</x:v>
      </x:c>
      <x:c r="G60" s="83" t="str">
        <x:v>本期擬納入</x:v>
      </x:c>
      <x:c r="H60" s="84" t="str">
        <x:v>待確認</x:v>
      </x:c>
      <x:c r="I60" s="84" t="str">
        <x:v>未決定</x:v>
      </x:c>
      <x:c r="J60" s="71"/>
      <x:c r="K60" s="69" t="str">
        <x:v>CR、TL、系統可在“MR狀態 / CALL詳情 / 分派中心”完成“建立物料就緒後的後續安裝或維修任務關聯”，可完成操作並形成可追溯記錄；狀態變化和業務限制符合關鍵規則。</x:v>
      </x:c>
    </x:row>
    <x:row r="61" ht="52" customHeight="1">
      <x:c r="A61" s="80" t="str">
        <x:v>F057</x:v>
      </x:c>
      <x:c r="B61" s="88" t="str">
        <x:v>FLOW-011</x:v>
      </x:c>
      <x:c r="C61" s="88" t="str">
        <x:v>會計與外部接口</x:v>
      </x:c>
      <x:c r="D61" s="69" t="str">
        <x:v>查看待開票項目、篩選、批量開票和打印</x:v>
      </x:c>
      <x:c r="E61" s="69" t="str">
        <x:v>面向FIN，支持查看待開票項目、篩選、批量開票和打印；正式交付需結合真實數據、權限和驗收規則確認。</x:v>
      </x:c>
      <x:c r="F61" s="78" t="str">
        <x:v>待開票/發票管理；流程演示</x:v>
      </x:c>
      <x:c r="G61" s="83" t="str">
        <x:v>後續階段</x:v>
      </x:c>
      <x:c r="H61" s="84" t="str">
        <x:v>待確認</x:v>
      </x:c>
      <x:c r="I61" s="84" t="str">
        <x:v>未決定</x:v>
      </x:c>
      <x:c r="J61" s="71"/>
      <x:c r="K61" s="69" t="str">
        <x:v>FIN可在“待開票/發票管理”完成“查看待開票項目、篩選、批量開票和打印”，可按權限查看或查詢，結果與關聯明細一致；狀態變化和業務限制符合關鍵規則。</x:v>
      </x:c>
    </x:row>
    <x:row r="62" ht="52" customHeight="1">
      <x:c r="A62" s="80" t="str">
        <x:v>F058</x:v>
      </x:c>
      <x:c r="B62" s="88" t="str">
        <x:v>FLOW-011</x:v>
      </x:c>
      <x:c r="C62" s="88" t="str">
        <x:v>會計與外部接口</x:v>
      </x:c>
      <x:c r="D62" s="69" t="str">
        <x:v>管理發票金額、賬期、重印和收款狀態</x:v>
      </x:c>
      <x:c r="E62" s="69" t="str">
        <x:v>面向FIN，支持管理發票金額、賬期、重印和收款狀態；正式交付需結合真實數據、權限和驗收規則確認。</x:v>
      </x:c>
      <x:c r="F62" s="78" t="str">
        <x:v>待開票/發票管理；流程演示</x:v>
      </x:c>
      <x:c r="G62" s="83" t="str">
        <x:v>後續階段</x:v>
      </x:c>
      <x:c r="H62" s="84" t="str">
        <x:v>待確認</x:v>
      </x:c>
      <x:c r="I62" s="84" t="str">
        <x:v>未決定</x:v>
      </x:c>
      <x:c r="J62" s="71"/>
      <x:c r="K62" s="69" t="str">
        <x:v>FIN可在“待開票/發票管理”完成“管理發票金額、賬期、重印和收款狀態”，可完成操作並形成可追溯記錄；狀態變化和業務限制符合關鍵規則。</x:v>
      </x:c>
    </x:row>
    <x:row r="63" ht="52" customHeight="1">
      <x:c r="A63" s="80" t="str">
        <x:v>F059</x:v>
      </x:c>
      <x:c r="B63" s="88" t="str">
        <x:v>FLOW-011</x:v>
      </x:c>
      <x:c r="C63" s="88" t="str">
        <x:v>會計與外部接口</x:v>
      </x:c>
      <x:c r="D63" s="69" t="str">
        <x:v>管理收款、收據編號和收據打印</x:v>
      </x:c>
      <x:c r="E63" s="69" t="str">
        <x:v>面向FIN，支持管理收款、收據編號和收據打印；正式交付需結合真實數據、權限和驗收規則確認。</x:v>
      </x:c>
      <x:c r="F63" s="78" t="str">
        <x:v>收款/收據；流程演示</x:v>
      </x:c>
      <x:c r="G63" s="83" t="str">
        <x:v>後續階段</x:v>
      </x:c>
      <x:c r="H63" s="84" t="str">
        <x:v>待確認</x:v>
      </x:c>
      <x:c r="I63" s="84" t="str">
        <x:v>未決定</x:v>
      </x:c>
      <x:c r="J63" s="71"/>
      <x:c r="K63" s="69" t="str">
        <x:v>FIN可在“收款/收據”完成“管理收款、收據編號和收據打印”，可完成操作並形成可追溯記錄；狀態變化和業務限制符合關鍵規則。</x:v>
      </x:c>
    </x:row>
    <x:row r="64" ht="52" customHeight="1">
      <x:c r="A64" s="80" t="str">
        <x:v>F060</x:v>
      </x:c>
      <x:c r="B64" s="88" t="str">
        <x:v>FLOW-011</x:v>
      </x:c>
      <x:c r="C64" s="88" t="str">
        <x:v>會計與外部接口</x:v>
      </x:c>
      <x:c r="D64" s="69" t="str">
        <x:v>維護會計客戶、賬單地址、收件人和賬期</x:v>
      </x:c>
      <x:c r="E64" s="69" t="str">
        <x:v>面向FIN，支持維護會計客戶、賬單地址、收件人和賬期；正式交付需結合真實數據、權限和驗收規則確認。</x:v>
      </x:c>
      <x:c r="F64" s="78" t="str">
        <x:v>會計客戶/保養合約；可演示</x:v>
      </x:c>
      <x:c r="G64" s="83" t="str">
        <x:v>後續階段</x:v>
      </x:c>
      <x:c r="H64" s="84" t="str">
        <x:v>待確認</x:v>
      </x:c>
      <x:c r="I64" s="84" t="str">
        <x:v>未決定</x:v>
      </x:c>
      <x:c r="J64" s="71"/>
      <x:c r="K64" s="69" t="str">
        <x:v>FIN可在“會計客戶/保養合約”完成“維護會計客戶、賬單地址、收件人和賬期”，可完成操作並形成可追溯記錄；狀態變化和業務限制符合關鍵規則。</x:v>
      </x:c>
    </x:row>
    <x:row r="65" ht="52" customHeight="1">
      <x:c r="A65" s="80" t="str">
        <x:v>F061</x:v>
      </x:c>
      <x:c r="B65" s="88" t="str">
        <x:v>FLOW-011</x:v>
      </x:c>
      <x:c r="C65" s="88" t="str">
        <x:v>會計與外部接口</x:v>
      </x:c>
      <x:c r="D65" s="69" t="str">
        <x:v>按保養合約日期和頻率生成月結待開發票</x:v>
      </x:c>
      <x:c r="E65" s="69" t="str">
        <x:v>面向FIN，支持按保養合約日期和頻率生成月結待開發票；正式交付需結合真實數據、權限和驗收規則確認。</x:v>
      </x:c>
      <x:c r="F65" s="78" t="str">
        <x:v>會計客戶/保養合約；流程演示</x:v>
      </x:c>
      <x:c r="G65" s="83" t="str">
        <x:v>後續階段</x:v>
      </x:c>
      <x:c r="H65" s="84" t="str">
        <x:v>待確認</x:v>
      </x:c>
      <x:c r="I65" s="84" t="str">
        <x:v>未決定</x:v>
      </x:c>
      <x:c r="J65" s="71"/>
      <x:c r="K65" s="69" t="str">
        <x:v>FIN可在“會計客戶/保養合約”完成“按保養合約日期和頻率生成月結待開發票”，可完成操作並形成可追溯記錄；狀態變化和業務限制符合關鍵規則。</x:v>
      </x:c>
    </x:row>
    <x:row r="66" ht="52" customHeight="1">
      <x:c r="A66" s="80" t="str">
        <x:v>F062</x:v>
      </x:c>
      <x:c r="B66" s="88" t="str">
        <x:v>FLOW-011</x:v>
      </x:c>
      <x:c r="C66" s="88" t="str">
        <x:v>會計與外部接口</x:v>
      </x:c>
      <x:c r="D66" s="69" t="str">
        <x:v>配置並模擬同步 Peachtree 客戶、發票和收款</x:v>
      </x:c>
      <x:c r="E66" s="69" t="str">
        <x:v>原型僅模擬Peachtree同步，真實版本、接口方向、鑑權和驗收標準待確認。</x:v>
      </x:c>
      <x:c r="F66" s="78" t="str">
        <x:v>Peachtree接口配置；流程演示</x:v>
      </x:c>
      <x:c r="G66" s="83" t="str">
        <x:v>後續階段</x:v>
      </x:c>
      <x:c r="H66" s="84" t="str">
        <x:v>待確認</x:v>
      </x:c>
      <x:c r="I66" s="84" t="str">
        <x:v>未決定</x:v>
      </x:c>
      <x:c r="J66" s="71"/>
      <x:c r="K66" s="69" t="str">
        <x:v>FIN、ADMIN、IT可在“Peachtree接口配置”完成“配置並模擬同步 Peachtree 客戶、發票和收款”，可完成操作並形成可追溯記錄；狀態變化和業務限制符合關鍵規則。</x:v>
      </x:c>
    </x:row>
    <x:row r="67" ht="52" customHeight="1">
      <x:c r="A67" s="80" t="str">
        <x:v>F063</x:v>
      </x:c>
      <x:c r="B67" s="88" t="str">
        <x:v>FLOW-012</x:v>
      </x:c>
      <x:c r="C67" s="88" t="str">
        <x:v>統計、客戶和基礎設置</x:v>
      </x:c>
      <x:c r="D67" s="69" t="str">
        <x:v>按狀態、類型、區域、師傅和客戶統計 CALL</x:v>
      </x:c>
      <x:c r="E67" s="69" t="str">
        <x:v>面向TL、ADMIN、BOSS，支持按狀態、類型、區域、師傅和客戶統計 CALL；正式交付需結合真實數據、權限和驗收規則確認。</x:v>
      </x:c>
      <x:c r="F67" s="78" t="str">
        <x:v>統計報表；可演示</x:v>
      </x:c>
      <x:c r="G67" s="83" t="str">
        <x:v>本期擬納入</x:v>
      </x:c>
      <x:c r="H67" s="84" t="str">
        <x:v>待確認</x:v>
      </x:c>
      <x:c r="I67" s="84" t="str">
        <x:v>未決定</x:v>
      </x:c>
      <x:c r="J67" s="71"/>
      <x:c r="K67" s="69" t="str">
        <x:v>TL、ADMIN、BOSS可在“統計報表”完成“按狀態、類型、區域、師傅和客戶統計 CALL”，可按權限查看或查詢，結果與關聯明細一致；狀態變化和業務限制符合關鍵規則。</x:v>
      </x:c>
    </x:row>
    <x:row r="68" ht="52" customHeight="1">
      <x:c r="A68" s="80" t="str">
        <x:v>F064</x:v>
      </x:c>
      <x:c r="B68" s="88" t="str">
        <x:v>FLOW-006 / FLOW-012</x:v>
      </x:c>
      <x:c r="C68" s="88" t="str">
        <x:v>統計、客戶和基礎設置</x:v>
      </x:c>
      <x:c r="D68" s="69" t="str">
        <x:v>查看最近 7 天趨勢和報價中單統計</x:v>
      </x:c>
      <x:c r="E68" s="69" t="str">
        <x:v>面向TL、ADMIN、BOSS、QUO，支持查看最近 7 天趨勢和報價中單統計；正式交付需結合真實數據、權限和驗收規則確認。</x:v>
      </x:c>
      <x:c r="F68" s="78" t="str">
        <x:v>統計報表；可演示</x:v>
      </x:c>
      <x:c r="G68" s="83" t="str">
        <x:v>後續階段</x:v>
      </x:c>
      <x:c r="H68" s="84" t="str">
        <x:v>待確認</x:v>
      </x:c>
      <x:c r="I68" s="84" t="str">
        <x:v>未決定</x:v>
      </x:c>
      <x:c r="J68" s="71"/>
      <x:c r="K68" s="69" t="str">
        <x:v>TL、ADMIN、BOSS、QUO可在“統計報表”完成“查看最近 7 天趨勢和報價中單統計”，可按權限查看或查詢，結果與關聯明細一致；狀態變化和業務限制符合關鍵規則。</x:v>
      </x:c>
    </x:row>
    <x:row r="69" ht="52" customHeight="1">
      <x:c r="A69" s="80" t="str">
        <x:v>F065</x:v>
      </x:c>
      <x:c r="B69" s="88" t="str">
        <x:v>FLOW-005 / FLOW-012</x:v>
      </x:c>
      <x:c r="C69" s="88" t="str">
        <x:v>統計、客戶和基礎設置</x:v>
      </x:c>
      <x:c r="D69" s="69" t="str">
        <x:v>查看未完成、SR 待簽名和資料缺失提醒</x:v>
      </x:c>
      <x:c r="E69" s="69" t="str">
        <x:v>面向TL、ADMIN，支持查看未完成、SR 待簽名和資料缺失提醒；正式交付需結合真實數據、權限和驗收規則確認。</x:v>
      </x:c>
      <x:c r="F69" s="78" t="str">
        <x:v>統計報表；可演示</x:v>
      </x:c>
      <x:c r="G69" s="83" t="str">
        <x:v>本期擬納入</x:v>
      </x:c>
      <x:c r="H69" s="84" t="str">
        <x:v>待確認</x:v>
      </x:c>
      <x:c r="I69" s="84" t="str">
        <x:v>未決定</x:v>
      </x:c>
      <x:c r="J69" s="71"/>
      <x:c r="K69" s="69" t="str">
        <x:v>TL、ADMIN可在“統計報表”完成“查看未完成、SR 待簽名和資料缺失提醒”，可按權限查看或查詢，結果與關聯明細一致；狀態變化和業務限制符合關鍵規則。</x:v>
      </x:c>
    </x:row>
    <x:row r="70" ht="52" customHeight="1">
      <x:c r="A70" s="80" t="str">
        <x:v>F066</x:v>
      </x:c>
      <x:c r="B70" s="88" t="str">
        <x:v>FLOW-012</x:v>
      </x:c>
      <x:c r="C70" s="88" t="str">
        <x:v>統計、客戶和基礎設置</x:v>
      </x:c>
      <x:c r="D70" s="69" t="str">
        <x:v>按角色、狀態、工號、電話和郵箱管理用戶</x:v>
      </x:c>
      <x:c r="E70" s="69" t="str">
        <x:v>面向ADMIN，支持按角色、狀態、工號、電話和郵箱管理用戶；正式交付需結合真實數據、權限和驗收規則確認。</x:v>
      </x:c>
      <x:c r="F70" s="78" t="str">
        <x:v>用戶管理；可演示</x:v>
      </x:c>
      <x:c r="G70" s="83" t="str">
        <x:v>本期擬納入</x:v>
      </x:c>
      <x:c r="H70" s="84" t="str">
        <x:v>待確認</x:v>
      </x:c>
      <x:c r="I70" s="84" t="str">
        <x:v>未決定</x:v>
      </x:c>
      <x:c r="J70" s="71"/>
      <x:c r="K70" s="69" t="str">
        <x:v>ADMIN可在“用戶管理”完成“按角色、狀態、工號、電話和郵箱管理用戶”，可完成操作並形成可追溯記錄；狀態變化和業務限制符合關鍵規則。</x:v>
      </x:c>
    </x:row>
    <x:row r="71" ht="52" customHeight="1">
      <x:c r="A71" s="80" t="str">
        <x:v>F067</x:v>
      </x:c>
      <x:c r="B71" s="88" t="str">
        <x:v>FLOW-012</x:v>
      </x:c>
      <x:c r="C71" s="88" t="str">
        <x:v>統計、客戶和基礎設置</x:v>
      </x:c>
      <x:c r="D71" s="69" t="str">
        <x:v>管理客戶、聯繫人、標準地點、區域和客戶權限</x:v>
      </x:c>
      <x:c r="E71" s="69" t="str">
        <x:v>面向CS、CR、ADMIN，支持管理客戶、聯繫人、標準地點、區域和客戶權限；正式交付需結合真實數據、權限和驗收規則確認。</x:v>
      </x:c>
      <x:c r="F71" s="78" t="str">
        <x:v>客戶/聯繫人/地點管理；可演示</x:v>
      </x:c>
      <x:c r="G71" s="83" t="str">
        <x:v>本期擬納入</x:v>
      </x:c>
      <x:c r="H71" s="84" t="str">
        <x:v>待確認</x:v>
      </x:c>
      <x:c r="I71" s="84" t="str">
        <x:v>未決定</x:v>
      </x:c>
      <x:c r="J71" s="71"/>
      <x:c r="K71" s="69" t="str">
        <x:v>CS、CR、ADMIN可在“客戶/聯繫人/地點管理”完成“管理客戶、聯繫人、標準地點、區域和客戶權限”，可完成操作並形成可追溯記錄；狀態變化和業務限制符合關鍵規則。</x:v>
      </x:c>
    </x:row>
    <x:row r="72" ht="52" customHeight="1">
      <x:c r="A72" s="80" t="str">
        <x:v>F068</x:v>
      </x:c>
      <x:c r="B72" s="88" t="str">
        <x:v>FLOW-012</x:v>
      </x:c>
      <x:c r="C72" s="88" t="str">
        <x:v>統計、客戶和基礎設置</x:v>
      </x:c>
      <x:c r="D72" s="69" t="str">
        <x:v>管理工單類型、區域、CALL 代碼、狀態說明和通知規則</x:v>
      </x:c>
      <x:c r="E72" s="69" t="str">
        <x:v>面向ADMIN，支持管理工單類型、區域、CALL 代碼、狀態說明和通知規則；正式交付需結合真實數據、權限和驗收規則確認。</x:v>
      </x:c>
      <x:c r="F72" s="78" t="str">
        <x:v>業務字典管理；可演示</x:v>
      </x:c>
      <x:c r="G72" s="83" t="str">
        <x:v>本期擬納入</x:v>
      </x:c>
      <x:c r="H72" s="84" t="str">
        <x:v>待確認</x:v>
      </x:c>
      <x:c r="I72" s="84" t="str">
        <x:v>未決定</x:v>
      </x:c>
      <x:c r="J72" s="71"/>
      <x:c r="K72" s="69" t="str">
        <x:v>ADMIN可在“業務字典管理”完成“管理工單類型、區域、CALL 代碼、狀態說明和通知規則”，可完成操作並形成可追溯記錄；狀態變化和業務限制符合關鍵規則。</x:v>
      </x:c>
    </x:row>
    <x:row r="73" ht="52" customHeight="1">
      <x:c r="A73" s="80" t="str">
        <x:v>F069</x:v>
      </x:c>
      <x:c r="B73" s="88" t="str">
        <x:v>FLOW-012</x:v>
      </x:c>
      <x:c r="C73" s="88" t="str">
        <x:v>統計、客戶和基礎設置</x:v>
      </x:c>
      <x:c r="D73" s="69" t="str">
        <x:v>管理報價類別、標書來源、回標方式和標書狀態</x:v>
      </x:c>
      <x:c r="E73" s="69" t="str">
        <x:v>面向ADMIN、QUO、TENDER，支持管理報價類別、標書來源、回標方式和標書狀態；正式交付需結合真實數據、權限和驗收規則確認。</x:v>
      </x:c>
      <x:c r="F73" s="78" t="str">
        <x:v>業務字典管理；可演示</x:v>
      </x:c>
      <x:c r="G73" s="83" t="str">
        <x:v>後續階段</x:v>
      </x:c>
      <x:c r="H73" s="84" t="str">
        <x:v>待確認</x:v>
      </x:c>
      <x:c r="I73" s="84" t="str">
        <x:v>未決定</x:v>
      </x:c>
      <x:c r="J73" s="71"/>
      <x:c r="K73" s="69" t="str">
        <x:v>ADMIN、QUO、TENDER可在“業務字典管理”完成“管理報價類別、標書來源、回標方式和標書狀態”，可完成操作並形成可追溯記錄；狀態變化和業務限制符合關鍵規則。</x:v>
      </x:c>
    </x:row>
    <x:row r="74" ht="52" customHeight="1">
      <x:c r="A74" s="80" t="str">
        <x:v>F070</x:v>
      </x:c>
      <x:c r="B74" s="88" t="str">
        <x:v>FLOW-012</x:v>
      </x:c>
      <x:c r="C74" s="88" t="str">
        <x:v>統計、客戶和基礎設置</x:v>
      </x:c>
      <x:c r="D74" s="69" t="str">
        <x:v>Excel 導入客戶、工單、報價、發票和收款記錄</x:v>
      </x:c>
      <x:c r="E74" s="69" t="str">
        <x:v>面向ADMIN，支持Excel 導入客戶、工單、報價、發票和收款記錄；正式交付需結合真實數據、權限和驗收規則確認。</x:v>
      </x:c>
      <x:c r="F74" s="78" t="str">
        <x:v>Excel導入；流程演示</x:v>
      </x:c>
      <x:c r="G74" s="83" t="str">
        <x:v>後續階段</x:v>
      </x:c>
      <x:c r="H74" s="84" t="str">
        <x:v>待確認</x:v>
      </x:c>
      <x:c r="I74" s="84" t="str">
        <x:v>未決定</x:v>
      </x:c>
      <x:c r="J74" s="71"/>
      <x:c r="K74" s="69" t="str">
        <x:v>ADMIN可在“Excel導入”完成“Excel 導入客戶、工單、報價、發票和收款記錄”，可完成操作並形成可追溯記錄；狀態變化和業務限制符合關鍵規則。</x:v>
      </x:c>
    </x:row>
    <x:row r="75" ht="52" customHeight="1">
      <x:c r="A75" s="80" t="str">
        <x:v>F071</x:v>
      </x:c>
      <x:c r="B75" s="88" t="str">
        <x:v>FLOW-012</x:v>
      </x:c>
      <x:c r="C75" s="88" t="str">
        <x:v>統計、客戶和基礎設置</x:v>
      </x:c>
      <x:c r="D75" s="69" t="str">
        <x:v>配置附件存儲、容量、文件類型、保留期和備份</x:v>
      </x:c>
      <x:c r="E75" s="69" t="str">
        <x:v>面向ADMIN、IT，支持配置附件存儲、容量、文件類型、保留期和備份；正式交付需結合真實數據、權限和驗收規則確認。</x:v>
      </x:c>
      <x:c r="F75" s="78" t="str">
        <x:v>附件存儲設置；流程演示</x:v>
      </x:c>
      <x:c r="G75" s="83" t="str">
        <x:v>後續階段</x:v>
      </x:c>
      <x:c r="H75" s="84" t="str">
        <x:v>待確認</x:v>
      </x:c>
      <x:c r="I75" s="84" t="str">
        <x:v>未決定</x:v>
      </x:c>
      <x:c r="J75" s="71"/>
      <x:c r="K75" s="69" t="str">
        <x:v>ADMIN、IT可在“附件存儲設置”完成“配置附件存儲、容量、文件類型、保留期和備份”，可完成操作並形成可追溯記錄；狀態變化和業務限制符合關鍵規則。</x:v>
      </x:c>
    </x:row>
    <x:row r="76" ht="52" customHeight="1">
      <x:c r="A76" s="80" t="str">
        <x:v>F072</x:v>
      </x:c>
      <x:c r="B76" s="88" t="str">
        <x:v>FLOW-012</x:v>
      </x:c>
      <x:c r="C76" s="88" t="str">
        <x:v>統計、客戶和基礎設置</x:v>
      </x:c>
      <x:c r="D76" s="69" t="str">
        <x:v>角色登錄、切換和頁面權限控制</x:v>
      </x:c>
      <x:c r="E76" s="69" t="str">
        <x:v>面向全部角色，支持角色登錄、切換和頁面權限控制；正式交付需結合真實數據、權限和驗收規則確認。</x:v>
      </x:c>
      <x:c r="F76" s="78" t="str">
        <x:v>登錄與角色切換；可演示</x:v>
      </x:c>
      <x:c r="G76" s="83" t="str">
        <x:v>本期擬納入</x:v>
      </x:c>
      <x:c r="H76" s="84" t="str">
        <x:v>待確認</x:v>
      </x:c>
      <x:c r="I76" s="84" t="str">
        <x:v>未決定</x:v>
      </x:c>
      <x:c r="J76" s="71"/>
      <x:c r="K76" s="69" t="str">
        <x:v>全部角色可在“登錄與角色切換”完成“角色登錄、切換和頁面權限控制”，可完成操作並形成可追溯記錄；狀態變化和業務限制符合關鍵規則。</x:v>
      </x:c>
    </x:row>
    <x:row r="77" ht="52" customHeight="1">
      <x:c r="A77" s="80" t="str">
        <x:v>F073</x:v>
      </x:c>
      <x:c r="B77" s="88" t="str">
        <x:v>FLOW-002 / FLOW-012</x:v>
      </x:c>
      <x:c r="C77" s="88" t="str">
        <x:v>原需求補充與上線約束</x:v>
      </x:c>
      <x:c r="D77" s="69" t="str">
        <x:v>按普通/政府客戶自動生成唯一 CALL 編號；政府前綴可配置，任務編號與 CALL 編號獨立</x:v>
      </x:c>
      <x:c r="E77" s="69" t="str">
        <x:v>普通與政府CALL編號規則、業務時區、併發防重和歷史遷移需統一確認。</x:v>
      </x:c>
      <x:c r="F77" s="78" t="str">
        <x:v>編號規則配置；部分覆蓋</x:v>
      </x:c>
      <x:c r="G77" s="83" t="str">
        <x:v>待確認</x:v>
      </x:c>
      <x:c r="H77" s="84" t="str">
        <x:v>待確認</x:v>
      </x:c>
      <x:c r="I77" s="84" t="str">
        <x:v>未決定</x:v>
      </x:c>
      <x:c r="J77" s="71"/>
      <x:c r="K77" s="69" t="str">
        <x:v>CS、CR、ADMIN可在“編號規則配置”完成“按普通/政府客戶自動生成唯一 CALL 編號；政府前綴可配置，任務編號與 CALL 編號獨立”，可完成操作並形成可追溯記錄；狀態變化和業務限制符合關鍵規則。</x:v>
      </x:c>
    </x:row>
    <x:row r="78" ht="52" customHeight="1">
      <x:c r="A78" s="80" t="str">
        <x:v>F074</x:v>
      </x:c>
      <x:c r="B78" s="88" t="str">
        <x:v>FLOW-004</x:v>
      </x:c>
      <x:c r="C78" s="88" t="str">
        <x:v>原需求補充與上線約束</x:v>
      </x:c>
      <x:c r="D78" s="69" t="str">
        <x:v>按客戶/地點配置不可拍照豁免，取消照片強制項並保留原因或替代證明</x:v>
      </x:c>
      <x:c r="E78" s="69" t="str">
        <x:v>不可拍照規則應在現場提交校驗中生效，並保留原因或替代證明。</x:v>
      </x:c>
      <x:c r="F78" s="78" t="str">
        <x:v>不可拍照豁免；部分覆蓋</x:v>
      </x:c>
      <x:c r="G78" s="83" t="str">
        <x:v>待確認</x:v>
      </x:c>
      <x:c r="H78" s="84" t="str">
        <x:v>待確認</x:v>
      </x:c>
      <x:c r="I78" s="84" t="str">
        <x:v>未決定</x:v>
      </x:c>
      <x:c r="J78" s="71"/>
      <x:c r="K78" s="69" t="str">
        <x:v>MASTER、CS、ADMIN可在“不可拍照豁免”完成“按客戶/地點配置不可拍照豁免，取消照片強制項並保留原因或替代證明”，可完成操作並形成可追溯記錄；狀態變化和業務限制符合關鍵規則。</x:v>
      </x:c>
    </x:row>
    <x:row r="79" ht="52" customHeight="1">
      <x:c r="A79" s="80" t="str">
        <x:v>F075</x:v>
      </x:c>
      <x:c r="B79" s="88" t="str">
        <x:v>FLOW-003 / FLOW-007</x:v>
      </x:c>
      <x:c r="C79" s="88" t="str">
        <x:v>原需求補充與上線約束</x:v>
      </x:c>
      <x:c r="D79" s="69" t="str">
        <x:v>配置未接單、未到場、處理超時提醒及負責人；採購狀態停滯時通知採購部和報價組</x:v>
      </x:c>
      <x:c r="E79" s="69" t="str">
        <x:v>面向TL、CR、PUR、QUO，支持配置未接單、未到場、處理超時提醒及負責人；採購狀態停滯時通知採購部和報價組；正式交付需結合真實數據、權限和驗收規則確認。</x:v>
      </x:c>
      <x:c r="F79" s="78" t="str">
        <x:v>SLA與提醒規則；部分覆蓋</x:v>
      </x:c>
      <x:c r="G79" s="83" t="str">
        <x:v>待確認</x:v>
      </x:c>
      <x:c r="H79" s="84" t="str">
        <x:v>待確認</x:v>
      </x:c>
      <x:c r="I79" s="84" t="str">
        <x:v>未決定</x:v>
      </x:c>
      <x:c r="J79" s="71"/>
      <x:c r="K79" s="69" t="str">
        <x:v>TL、CR、PUR、QUO可在“SLA與提醒規則”完成“配置未接單、未到場、處理超時提醒及負責人；採購狀態停滯時通知採購部和報價組”，可完成操作並形成可追溯記錄；狀態變化和業務限制符合關鍵規則。</x:v>
      </x:c>
    </x:row>
    <x:row r="80" ht="52" customHeight="1">
      <x:c r="A80" s="80" t="str">
        <x:v>F076</x:v>
      </x:c>
      <x:c r="B80" s="88" t="str">
        <x:v>FLOW-003</x:v>
      </x:c>
      <x:c r="C80" s="88" t="str">
        <x:v>原需求補充與上線約束</x:v>
      </x:c>
      <x:c r="D80" s="69" t="str">
        <x:v>工單池開放任務、師傅申請接單、主管確認</x:v>
      </x:c>
      <x:c r="E80" s="69" t="str">
        <x:v>面向MASTER、TL，支持工單池開放任務、師傅申請接單、主管確認；正式交付需結合真實數據、權限和驗收規則確認。</x:v>
      </x:c>
      <x:c r="F80" s="78" t="str">
        <x:v>工單池；部分覆蓋</x:v>
      </x:c>
      <x:c r="G80" s="83" t="str">
        <x:v>待確認</x:v>
      </x:c>
      <x:c r="H80" s="84" t="str">
        <x:v>待確認</x:v>
      </x:c>
      <x:c r="I80" s="84" t="str">
        <x:v>未決定</x:v>
      </x:c>
      <x:c r="J80" s="71"/>
      <x:c r="K80" s="69" t="str">
        <x:v>MASTER、TL可在“工單池”完成“工單池開放任務、師傅申請接單、主管確認”，可完成操作並形成可追溯記錄；狀態變化和業務限制符合關鍵規則。</x:v>
      </x:c>
    </x:row>
    <x:row r="81" ht="52" customHeight="1">
      <x:c r="A81" s="80" t="str">
        <x:v>F077</x:v>
      </x:c>
      <x:c r="B81" s="88" t="str">
        <x:v>FLOW-011</x:v>
      </x:c>
      <x:c r="C81" s="88" t="str">
        <x:v>原需求補充與上線約束</x:v>
      </x:c>
      <x:c r="D81" s="69" t="str">
        <x:v>簡版報銷關聯一個或多個已完成工單，記錄金額與票據附件</x:v>
      </x:c>
      <x:c r="E81" s="69" t="str">
        <x:v>當前原型只有車資記錄，不等同於完整報銷模組；本項按簡版記錄評審。</x:v>
      </x:c>
      <x:c r="F81" s="78" t="str">
        <x:v>簡版報銷關聯；未覆蓋</x:v>
      </x:c>
      <x:c r="G81" s="83" t="str">
        <x:v>後續階段</x:v>
      </x:c>
      <x:c r="H81" s="84" t="str">
        <x:v>待確認</x:v>
      </x:c>
      <x:c r="I81" s="84" t="str">
        <x:v>未決定</x:v>
      </x:c>
      <x:c r="J81" s="71"/>
      <x:c r="K81" s="69" t="str">
        <x:v>MASTER、FIN可在“簡版報銷關聯”完成“簡版報銷關聯一個或多個已完成工單，記錄金額與票據附件”，可完成操作並形成可追溯記錄；狀態變化和業務限制符合關鍵規則。</x:v>
      </x:c>
    </x:row>
    <x:row r="82" ht="52" customHeight="1">
      <x:c r="A82" s="80" t="str">
        <x:v>F078</x:v>
      </x:c>
      <x:c r="B82" s="88" t="str">
        <x:v>FLOW-009</x:v>
      </x:c>
      <x:c r="C82" s="88" t="str">
        <x:v>原需求補充與上線約束</x:v>
      </x:c>
      <x:c r="D82" s="69" t="str">
        <x:v>支持PM、CM及M/P/M+P業務分類與流程映射</x:v>
      </x:c>
      <x:c r="E82" s="69" t="str">
        <x:v>保留PM/CM統計口徑，同時與報價M/P/M+P後續分支建立可維護映射。</x:v>
      </x:c>
      <x:c r="F82" s="78" t="str">
        <x:v>PM/CM分類映射；部分覆蓋（2026-09-27修訂）</x:v>
      </x:c>
      <x:c r="G82" s="83" t="str">
        <x:v>待確認</x:v>
      </x:c>
      <x:c r="H82" s="84" t="str">
        <x:v>待確認</x:v>
      </x:c>
      <x:c r="I82" s="84" t="str">
        <x:v>未決定</x:v>
      </x:c>
      <x:c r="J82" s="71"/>
      <x:c r="K82" s="69" t="str">
        <x:v>CS、CR、TL可在“PM/CM分類映射”完成“支持PM、CM及M/P/M+P業務分類與流程映射”，可完成操作並形成可追溯記錄；狀態變化和業務限制符合關鍵規則。</x:v>
      </x:c>
    </x:row>
    <x:row r="83" ht="52" customHeight="1">
      <x:c r="A83" s="80" t="str">
        <x:v>F079</x:v>
      </x:c>
      <x:c r="B83" s="88" t="str">
        <x:v>FLOW-002 / FLOW-012</x:v>
      </x:c>
      <x:c r="C83" s="88" t="str">
        <x:v>原需求補充與上線約束</x:v>
      </x:c>
      <x:c r="D83" s="69" t="str">
        <x:v>項目編號、CALL 編號、任務編號和外部 Reference 分開存儲並可關聯檢索</x:v>
      </x:c>
      <x:c r="E83" s="69" t="str">
        <x:v>面向CS、CR、TL、FIN，支持項目編號、CALL 編號、任務編號和外部 Reference 分開存儲並可關聯檢索；正式交付需結合真實數據、權限和驗收規則確認。</x:v>
      </x:c>
      <x:c r="F83" s="78" t="str">
        <x:v>編號關聯查詢；部分覆蓋</x:v>
      </x:c>
      <x:c r="G83" s="83" t="str">
        <x:v>待確認</x:v>
      </x:c>
      <x:c r="H83" s="84" t="str">
        <x:v>待確認</x:v>
      </x:c>
      <x:c r="I83" s="84" t="str">
        <x:v>未決定</x:v>
      </x:c>
      <x:c r="J83" s="71"/>
      <x:c r="K83" s="69" t="str">
        <x:v>CS、CR、TL、FIN可在“編號關聯查詢”完成“項目編號、CALL 編號、任務編號和外部 Reference 分開存儲並可關聯檢索”，可完成操作並形成可追溯記錄；狀態變化和業務限制符合關鍵規則。</x:v>
      </x:c>
    </x:row>
    <x:row r="84" ht="52" customHeight="1">
      <x:c r="A84" s="80" t="str">
        <x:v>F080</x:v>
      </x:c>
      <x:c r="B84" s="88" t="str">
        <x:v>FLOW-008 / FLOW-012</x:v>
      </x:c>
      <x:c r="C84" s="88" t="str">
        <x:v>原需求補充與上線約束</x:v>
      </x:c>
      <x:c r="D84" s="69" t="str">
        <x:v>完成/取消後的報告與附件歸檔，配置在線保留、備份和恢復規則</x:v>
      </x:c>
      <x:c r="E84" s="69" t="str">
        <x:v>歸檔不應等同刪除；必須保留查詢、備份、恢復和操作審計。</x:v>
      </x:c>
      <x:c r="F84" s="78" t="str">
        <x:v>歸檔與恢復規則；部分覆蓋</x:v>
      </x:c>
      <x:c r="G84" s="83" t="str">
        <x:v>待確認</x:v>
      </x:c>
      <x:c r="H84" s="84" t="str">
        <x:v>待確認</x:v>
      </x:c>
      <x:c r="I84" s="84" t="str">
        <x:v>未決定</x:v>
      </x:c>
      <x:c r="J84" s="71"/>
      <x:c r="K84" s="69" t="str">
        <x:v>ADMIN、IT、FIN可在“歸檔與恢復規則”完成“完成/取消後的報告與附件歸檔，配置在線保留、備份和恢復規則”，可完成操作並形成可追溯記錄；狀態變化和業務限制符合關鍵規則。</x:v>
      </x:c>
    </x:row>
  </x:sheetData>
  <x:mergeCells>
    <x:mergeCell ref="A1:K1"/>
    <x:mergeCell ref="A2:K2"/>
    <x:mergeCell ref="B5:B9"/>
    <x:mergeCell ref="B10:B16"/>
    <x:mergeCell ref="B18:B27"/>
    <x:mergeCell ref="B28:B34"/>
    <x:mergeCell ref="B35:B37"/>
    <x:mergeCell ref="B39:B43"/>
    <x:mergeCell ref="B44:B49"/>
    <x:mergeCell ref="B50:B54"/>
    <x:mergeCell ref="B55:B60"/>
    <x:mergeCell ref="B61:B66"/>
    <x:mergeCell ref="B70:B76"/>
    <x:mergeCell ref="C5:C9"/>
    <x:mergeCell ref="C10:C17"/>
    <x:mergeCell ref="C18:C27"/>
    <x:mergeCell ref="C28:C38"/>
    <x:mergeCell ref="C39:C43"/>
    <x:mergeCell ref="C44:C49"/>
    <x:mergeCell ref="C50:C54"/>
    <x:mergeCell ref="C55:C60"/>
    <x:mergeCell ref="C61:C66"/>
    <x:mergeCell ref="C67:C76"/>
    <x:mergeCell ref="C77:C84"/>
  </x:mergeCells>
  <x:conditionalFormatting sqref="H5:H84">
    <x:cfRule type="containsText" dxfId="0" priority="1" operator="containsText" text="已批准"/>
    <x:cfRule type="containsText" dxfId="1" priority="2" operator="containsText" text="待確認"/>
  </x:conditionalFormatting>
  <x:conditionalFormatting sqref="I5:I84">
    <x:cfRule type="containsText" dxfId="2" priority="3" operator="containsText" text="需調整"/>
    <x:cfRule type="containsText" dxfId="3" priority="4" operator="containsText" text="同意"/>
  </x:conditionalFormatting>
  <x:dataValidations count="3">
    <x:dataValidation type="list" sqref="G5:G84">
      <x:formula1>"本期擬納入,後續階段,待確認,不納入"</x:formula1>
    </x:dataValidation>
    <x:dataValidation type="list" sqref="H5:H84">
      <x:formula1>"草案,評審中,待確認,已批准,已廢棄"</x:formula1>
    </x:dataValidation>
    <x:dataValidation type="list" sqref="I5:I84">
      <x:formula1>"未決定,同意,有條件同意,需調整,不納入"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26" hidden="0" customWidth="1"/>
    <x:col min="3" max="3" width="14" hidden="0" customWidth="1"/>
    <x:col min="4" max="4" width="48" hidden="0" customWidth="1"/>
    <x:col min="5" max="5" width="14" hidden="0" customWidth="1"/>
    <x:col min="6" max="6" width="12" hidden="0" customWidth="1"/>
    <x:col min="7" max="7" width="16" hidden="0" customWidth="1"/>
    <x:col min="8" max="8" width="14" hidden="0" customWidth="1"/>
    <x:col min="9" max="9" width="34" hidden="0" customWidth="1"/>
  </x:cols>
  <x:sheetData>
    <x:row r="1" ht="34" customHeight="1">
      <x:c r="A1" s="4" t="str">
        <x:v>EC工單系統 模組進度跟蹤 v3</x:v>
      </x:c>
      <x:c r="B1" s="4" t="str">
        <x:v>EC工單系統 模組進度跟蹤 v3</x:v>
      </x:c>
      <x:c r="C1" s="4" t="str">
        <x:v>EC工單系統 模組進度跟蹤 v3</x:v>
      </x:c>
      <x:c r="D1" s="4" t="str">
        <x:v>EC工單系統 模組進度跟蹤 v3</x:v>
      </x:c>
      <x:c r="E1" s="4" t="str">
        <x:v>EC工單系統 模組進度跟蹤 v3</x:v>
      </x:c>
      <x:c r="F1" s="4" t="str">
        <x:v>EC工單系統 模組進度跟蹤 v3</x:v>
      </x:c>
      <x:c r="G1" s="4" t="str">
        <x:v>EC工單系統 模組進度跟蹤 v3</x:v>
      </x:c>
      <x:c r="H1" s="4" t="str">
        <x:v>EC工單系統 模組進度跟蹤 v3</x:v>
      </x:c>
      <x:c r="I1" s="4" t="str">
        <x:v>EC工單系統 模組進度跟蹤 v3</x:v>
      </x:c>
    </x:row>
    <x:row r="2" ht="24" customHeight="1">
      <x:c r="A2" s="9" t="str">
        <x:v>以模組為單位維護當前階段、完成率、責任人和目標日期。需求細節請回到需求清單查看。</x:v>
      </x:c>
      <x:c r="B2" s="9" t="str">
        <x:v>以模組為單位維護當前階段、完成率、責任人和目標日期。需求細節請回到需求清單查看。</x:v>
      </x:c>
      <x:c r="C2" s="9" t="str">
        <x:v>以模組為單位維護當前階段、完成率、責任人和目標日期。需求細節請回到需求清單查看。</x:v>
      </x:c>
      <x:c r="D2" s="9" t="str">
        <x:v>以模組為單位維護當前階段、完成率、責任人和目標日期。需求細節請回到需求清單查看。</x:v>
      </x:c>
      <x:c r="E2" s="9" t="str">
        <x:v>以模組為單位維護當前階段、完成率、責任人和目標日期。需求細節請回到需求清單查看。</x:v>
      </x:c>
      <x:c r="F2" s="9" t="str">
        <x:v>以模組為單位維護當前階段、完成率、責任人和目標日期。需求細節請回到需求清單查看。</x:v>
      </x:c>
      <x:c r="G2" s="9" t="str">
        <x:v>以模組為單位維護當前階段、完成率、責任人和目標日期。需求細節請回到需求清單查看。</x:v>
      </x:c>
      <x:c r="H2" s="9" t="str">
        <x:v>以模組為單位維護當前階段、完成率、責任人和目標日期。需求細節請回到需求清單查看。</x:v>
      </x:c>
      <x:c r="I2" s="9" t="str">
        <x:v>以模組為單位維護當前階段、完成率、責任人和目標日期。需求細節請回到需求清單查看。</x:v>
      </x:c>
    </x:row>
    <x:row r="4" ht="30" customHeight="1">
      <x:c r="A4" s="60" t="str">
        <x:v>模組編號</x:v>
      </x:c>
      <x:c r="B4" s="60" t="str">
        <x:v>模組</x:v>
      </x:c>
      <x:c r="C4" s="60" t="str">
        <x:v>範圍階段</x:v>
      </x:c>
      <x:c r="D4" s="60" t="str">
        <x:v>業務目標</x:v>
      </x:c>
      <x:c r="E4" s="60" t="str">
        <x:v>當前階段</x:v>
      </x:c>
      <x:c r="F4" s="60" t="str">
        <x:v>完成率</x:v>
      </x:c>
      <x:c r="G4" s="60" t="str">
        <x:v>責任人</x:v>
      </x:c>
      <x:c r="H4" s="60" t="str">
        <x:v>目標日期</x:v>
      </x:c>
      <x:c r="I4" s="60" t="str">
        <x:v>風險/備註</x:v>
      </x:c>
    </x:row>
    <x:row r="5" ht="48" customHeight="1">
      <x:c r="A5" s="81" t="str">
        <x:v>M01</x:v>
      </x:c>
      <x:c r="B5" s="77" t="str">
        <x:v>首頁與通知</x:v>
      </x:c>
      <x:c r="C5" s="77" t="str">
        <x:v>本期擬納入</x:v>
      </x:c>
      <x:c r="D5" s="77" t="str">
        <x:v>提供統一工作入口，集中呈現狀態、待辦、異常和業務通知。</x:v>
      </x:c>
      <x:c r="E5" s="82" t="str">
        <x:v>需求確認</x:v>
      </x:c>
      <x:c r="F5" s="93" t="n">
        <x:v>0</x:v>
      </x:c>
      <x:c r="G5" s="70"/>
      <x:c r="H5" s="91"/>
      <x:c r="I5" s="70"/>
    </x:row>
    <x:row r="6" ht="48" customHeight="1">
      <x:c r="A6" s="83" t="str">
        <x:v>M02</x:v>
      </x:c>
      <x:c r="B6" s="78" t="str">
        <x:v>CALL受理與工單管理</x:v>
      </x:c>
      <x:c r="C6" s="78" t="str">
        <x:v>本期擬納入</x:v>
      </x:c>
      <x:c r="D6" s="78" t="str">
        <x:v>承接客戶來電、WhatsApp、郵件或現場訴求，形成可跟蹤CALL。</x:v>
      </x:c>
      <x:c r="E6" s="84" t="str">
        <x:v>需求確認</x:v>
      </x:c>
      <x:c r="F6" s="94" t="n">
        <x:v>0</x:v>
      </x:c>
      <x:c r="G6" s="71"/>
      <x:c r="H6" s="92"/>
      <x:c r="I6" s="71"/>
    </x:row>
    <x:row r="7" ht="48" customHeight="1">
      <x:c r="A7" s="83" t="str">
        <x:v>M03</x:v>
      </x:c>
      <x:c r="B7" s="78" t="str">
        <x:v>分派與調度</x:v>
      </x:c>
      <x:c r="C7" s="78" t="str">
        <x:v>本期擬納入</x:v>
      </x:c>
      <x:c r="D7" s="78" t="str">
        <x:v>將待分派CALL分配給合適師傅並保留完整分派軌跡。</x:v>
      </x:c>
      <x:c r="E7" s="84" t="str">
        <x:v>需求確認</x:v>
      </x:c>
      <x:c r="F7" s="94" t="n">
        <x:v>0</x:v>
      </x:c>
      <x:c r="G7" s="71"/>
      <x:c r="H7" s="92"/>
      <x:c r="I7" s="71"/>
    </x:row>
    <x:row r="8" ht="48" customHeight="1">
      <x:c r="A8" s="83" t="str">
        <x:v>M04</x:v>
      </x:c>
      <x:c r="B8" s="78" t="str">
        <x:v>移動端現場執行</x:v>
      </x:c>
      <x:c r="C8" s="78" t="str">
        <x:v>本期擬納入</x:v>
      </x:c>
      <x:c r="D8" s="78" t="str">
        <x:v>支持師傅從接單、簽到、處理到提交報告的現場閉環。</x:v>
      </x:c>
      <x:c r="E8" s="84" t="str">
        <x:v>需求確認</x:v>
      </x:c>
      <x:c r="F8" s="94" t="n">
        <x:v>0</x:v>
      </x:c>
      <x:c r="G8" s="71"/>
      <x:c r="H8" s="92"/>
      <x:c r="I8" s="71"/>
    </x:row>
    <x:row r="9" ht="48" customHeight="1">
      <x:c r="A9" s="83" t="str">
        <x:v>M05</x:v>
      </x:c>
      <x:c r="B9" s="78" t="str">
        <x:v>報告與文檔</x:v>
      </x:c>
      <x:c r="C9" s="78" t="str">
        <x:v>本期擬納入</x:v>
      </x:c>
      <x:c r="D9" s="78" t="str">
        <x:v>集中管理服務報告和完工單，並記錄客戶發送過程。</x:v>
      </x:c>
      <x:c r="E9" s="84" t="str">
        <x:v>需求確認</x:v>
      </x:c>
      <x:c r="F9" s="94" t="n">
        <x:v>0</x:v>
      </x:c>
      <x:c r="G9" s="71"/>
      <x:c r="H9" s="92"/>
      <x:c r="I9" s="71"/>
    </x:row>
    <x:row r="10" ht="48" customHeight="1">
      <x:c r="A10" s="83" t="str">
        <x:v>M06</x:v>
      </x:c>
      <x:c r="B10" s="78" t="str">
        <x:v>報價管理</x:v>
      </x:c>
      <x:c r="C10" s="78" t="str">
        <x:v>本期擬納入</x:v>
      </x:c>
      <x:c r="D10" s="78" t="str">
        <x:v>處理服務產生的報價需求，維護明細、金額、版本和中單結果。</x:v>
      </x:c>
      <x:c r="E10" s="84" t="str">
        <x:v>需求確認</x:v>
      </x:c>
      <x:c r="F10" s="94" t="n">
        <x:v>0</x:v>
      </x:c>
      <x:c r="G10" s="71"/>
      <x:c r="H10" s="92"/>
      <x:c r="I10" s="71"/>
    </x:row>
    <x:row r="11" ht="48" customHeight="1">
      <x:c r="A11" s="83" t="str">
        <x:v>M07</x:v>
      </x:c>
      <x:c r="B11" s="78" t="str">
        <x:v>標書管理</x:v>
      </x:c>
      <x:c r="C11" s="78" t="str">
        <x:v>後續階段</x:v>
      </x:c>
      <x:c r="D11" s="78" t="str">
        <x:v>跟蹤招投標機會、截止時間、資料和中標結果。</x:v>
      </x:c>
      <x:c r="E11" s="84" t="str">
        <x:v>未開始</x:v>
      </x:c>
      <x:c r="F11" s="94" t="n">
        <x:v>0</x:v>
      </x:c>
      <x:c r="G11" s="71"/>
      <x:c r="H11" s="92"/>
      <x:c r="I11" s="71" t="str">
        <x:v>後續階段，暫未排期</x:v>
      </x:c>
    </x:row>
    <x:row r="12" ht="48" customHeight="1">
      <x:c r="A12" s="83" t="str">
        <x:v>M08</x:v>
      </x:c>
      <x:c r="B12" s="78" t="str">
        <x:v>MR與倉庫通狀態協同</x:v>
      </x:c>
      <x:c r="C12" s="78" t="str">
        <x:v>本期擬納入</x:v>
      </x:c>
      <x:c r="D12" s="78" t="str">
        <x:v>承接報價中單後的MR生成和外部倉庫通狀態協同，為正式派工提供物料就緒依據。</x:v>
      </x:c>
      <x:c r="E12" s="84" t="str">
        <x:v>需求確認</x:v>
      </x:c>
      <x:c r="F12" s="94" t="n">
        <x:v>0</x:v>
      </x:c>
      <x:c r="G12" s="71"/>
      <x:c r="H12" s="92"/>
      <x:c r="I12" s="71" t="str">
        <x:v>倉庫通接口邊界待確認</x:v>
      </x:c>
    </x:row>
    <x:row r="13" ht="48" customHeight="1">
      <x:c r="A13" s="83" t="str">
        <x:v>M09</x:v>
      </x:c>
      <x:c r="B13" s="78" t="str">
        <x:v>會計與外部接口</x:v>
      </x:c>
      <x:c r="C13" s="78" t="str">
        <x:v>後續階段</x:v>
      </x:c>
      <x:c r="D13" s="78" t="str">
        <x:v>管理待開票、發票、收款、收據及Peachtree同步。</x:v>
      </x:c>
      <x:c r="E13" s="84" t="str">
        <x:v>未開始</x:v>
      </x:c>
      <x:c r="F13" s="94" t="n">
        <x:v>0</x:v>
      </x:c>
      <x:c r="G13" s="71"/>
      <x:c r="H13" s="92"/>
      <x:c r="I13" s="71" t="str">
        <x:v>後續階段，暫未排期</x:v>
      </x:c>
    </x:row>
    <x:row r="14" ht="48" customHeight="1">
      <x:c r="A14" s="83" t="str">
        <x:v>M10</x:v>
      </x:c>
      <x:c r="B14" s="78" t="str">
        <x:v>統計、客戶和基礎設置</x:v>
      </x:c>
      <x:c r="C14" s="78" t="str">
        <x:v>本期擬納入</x:v>
      </x:c>
      <x:c r="D14" s="78" t="str">
        <x:v>維護系統主數據、權限、字典和經營統計，為業務流程提供基礎。</x:v>
      </x:c>
      <x:c r="E14" s="84" t="str">
        <x:v>需求確認</x:v>
      </x:c>
      <x:c r="F14" s="94" t="n">
        <x:v>0</x:v>
      </x:c>
      <x:c r="G14" s="71"/>
      <x:c r="H14" s="92"/>
      <x:c r="I14" s="71"/>
    </x:row>
    <x:row r="15" ht="48" customHeight="1">
      <x:c r="A15" s="83" t="str">
        <x:v>M11</x:v>
      </x:c>
      <x:c r="B15" s="78" t="str">
        <x:v>原需求補充與上線約束</x:v>
      </x:c>
      <x:c r="C15" s="78" t="str">
        <x:v>待確認</x:v>
      </x:c>
      <x:c r="D15" s="78" t="str">
        <x:v>承接當前原型未完整覆蓋的編號、豁免、提醒、工單池、報銷和歸檔要求。</x:v>
      </x:c>
      <x:c r="E15" s="84" t="str">
        <x:v>需求確認</x:v>
      </x:c>
      <x:c r="F15" s="94" t="n">
        <x:v>0</x:v>
      </x:c>
      <x:c r="G15" s="71"/>
      <x:c r="H15" s="92"/>
      <x:c r="I15" s="71"/>
    </x:row>
  </x:sheetData>
  <x:mergeCells>
    <x:mergeCell ref="A1:I1"/>
    <x:mergeCell ref="A2:I2"/>
  </x:mergeCells>
  <x:conditionalFormatting sqref="E5:E15">
    <x:cfRule type="containsText" dxfId="4" priority="1" operator="containsText" text="已完成"/>
    <x:cfRule type="containsText" dxfId="5" priority="2" operator="containsText" text="暫緩"/>
  </x:conditionalFormatting>
  <x:dataValidations count="2">
    <x:dataValidation type="list" sqref="E5:E15">
      <x:formula1>"未開始,需求確認,原型對齊,開發中,測試中,客戶驗收,已完成,暫緩"</x:formula1>
    </x:dataValidation>
    <x:dataValidation type="decimal" operator="between" sqref="F5:F15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85a2a4c57024448"/>
  </x:tableParts>
</x:worksheet>
</file>

<file path=xl/worksheets/sheet4.xml><?xml version="1.0" encoding="utf-8"?>
<x:worksheet xmlns:x="http://schemas.openxmlformats.org/spreadsheetml/2006/main">
  <x:sheetPr>
    <x:tabColor rgb="FF9A4B00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22" hidden="0" customWidth="1"/>
    <x:col min="4" max="4" width="46" hidden="0" customWidth="1"/>
    <x:col min="5" max="5" width="24" hidden="0" customWidth="1"/>
    <x:col min="6" max="6" width="16" hidden="0" customWidth="1"/>
    <x:col min="7" max="7" width="16" hidden="0" customWidth="1"/>
    <x:col min="8" max="8" width="14" hidden="0" customWidth="1"/>
    <x:col min="9" max="9" width="32" hidden="0" customWidth="1"/>
    <x:col min="10" max="10" width="28" hidden="0" customWidth="1"/>
  </x:cols>
  <x:sheetData>
    <x:row r="1" ht="34" customHeight="1">
      <x:c r="A1" s="4" t="str">
        <x:v>EC工單系統 待確認事項 v3</x:v>
      </x:c>
      <x:c r="B1" s="4" t="str">
        <x:v>EC工單系統 待確認事項 v3</x:v>
      </x:c>
      <x:c r="C1" s="4" t="str">
        <x:v>EC工單系統 待確認事項 v3</x:v>
      </x:c>
      <x:c r="D1" s="4" t="str">
        <x:v>EC工單系統 待確認事項 v3</x:v>
      </x:c>
      <x:c r="E1" s="4" t="str">
        <x:v>EC工單系統 待確認事項 v3</x:v>
      </x:c>
      <x:c r="F1" s="4" t="str">
        <x:v>EC工單系統 待確認事項 v3</x:v>
      </x:c>
      <x:c r="G1" s="4" t="str">
        <x:v>EC工單系統 待確認事項 v3</x:v>
      </x:c>
      <x:c r="H1" s="4" t="str">
        <x:v>EC工單系統 待確認事項 v3</x:v>
      </x:c>
      <x:c r="I1" s="4" t="str">
        <x:v>EC工單系統 待確認事項 v3</x:v>
      </x:c>
      <x:c r="J1" s="4" t="str">
        <x:v>EC工單系統 待確認事項 v3</x:v>
      </x:c>
    </x:row>
    <x:row r="2" ht="24" customHeight="1">
      <x:c r="A2" s="9" t="str">
        <x:v>所有流程爭議集中記錄。客戶結論形成後，再同步更新需求清單中的需求狀態和客戶決策。</x:v>
      </x:c>
      <x:c r="B2" s="9" t="str">
        <x:v>所有流程爭議集中記錄。客戶結論形成後，再同步更新需求清單中的需求狀態和客戶決策。</x:v>
      </x:c>
      <x:c r="C2" s="9" t="str">
        <x:v>所有流程爭議集中記錄。客戶結論形成後，再同步更新需求清單中的需求狀態和客戶決策。</x:v>
      </x:c>
      <x:c r="D2" s="9" t="str">
        <x:v>所有流程爭議集中記錄。客戶結論形成後，再同步更新需求清單中的需求狀態和客戶決策。</x:v>
      </x:c>
      <x:c r="E2" s="9" t="str">
        <x:v>所有流程爭議集中記錄。客戶結論形成後，再同步更新需求清單中的需求狀態和客戶決策。</x:v>
      </x:c>
      <x:c r="F2" s="9" t="str">
        <x:v>所有流程爭議集中記錄。客戶結論形成後，再同步更新需求清單中的需求狀態和客戶決策。</x:v>
      </x:c>
      <x:c r="G2" s="9" t="str">
        <x:v>所有流程爭議集中記錄。客戶結論形成後，再同步更新需求清單中的需求狀態和客戶決策。</x:v>
      </x:c>
      <x:c r="H2" s="9" t="str">
        <x:v>所有流程爭議集中記錄。客戶結論形成後，再同步更新需求清單中的需求狀態和客戶決策。</x:v>
      </x:c>
      <x:c r="I2" s="9" t="str">
        <x:v>所有流程爭議集中記錄。客戶結論形成後，再同步更新需求清單中的需求狀態和客戶決策。</x:v>
      </x:c>
      <x:c r="J2" s="9" t="str">
        <x:v>所有流程爭議集中記錄。客戶結論形成後，再同步更新需求清單中的需求狀態和客戶決策。</x:v>
      </x:c>
    </x:row>
    <x:row r="4" ht="30" customHeight="1">
      <x:c r="A4" s="60" t="str">
        <x:v>編號</x:v>
      </x:c>
      <x:c r="B4" s="60" t="str">
        <x:v>優先級</x:v>
      </x:c>
      <x:c r="C4" s="60" t="str">
        <x:v>確認主題</x:v>
      </x:c>
      <x:c r="D4" s="60" t="str">
        <x:v>需要客戶確認</x:v>
      </x:c>
      <x:c r="E4" s="60" t="str">
        <x:v>影響範圍</x:v>
      </x:c>
      <x:c r="F4" s="60" t="str">
        <x:v>責任人</x:v>
      </x:c>
      <x:c r="G4" s="60" t="str">
        <x:v>期望確認日期</x:v>
      </x:c>
      <x:c r="H4" s="60" t="str">
        <x:v>狀態</x:v>
      </x:c>
      <x:c r="I4" s="60" t="str">
        <x:v>客戶結論</x:v>
      </x:c>
      <x:c r="J4" s="60" t="str">
        <x:v>關聯流程/需求</x:v>
      </x:c>
    </x:row>
    <x:row r="5" ht="48" customHeight="1">
      <x:c r="A5" s="81" t="str">
        <x:v>C01</x:v>
      </x:c>
      <x:c r="B5" s="81" t="str">
        <x:v>P0</x:v>
      </x:c>
      <x:c r="C5" s="77" t="str">
        <x:v>階段範圍</x:v>
      </x:c>
      <x:c r="D5" s="77" t="str">
        <x:v>一期是否包含報價、標書、備貨和會計模組</x:v>
      </x:c>
      <x:c r="E5" s="77" t="str">
        <x:v>範圍、預算、排期</x:v>
      </x:c>
      <x:c r="F5" s="70"/>
      <x:c r="G5" s="95"/>
      <x:c r="H5" s="82" t="str">
        <x:v>待確認</x:v>
      </x:c>
      <x:c r="I5" s="70"/>
      <x:c r="J5" s="77" t="str">
        <x:v>全項目</x:v>
      </x:c>
    </x:row>
    <x:row r="6" ht="48" customHeight="1">
      <x:c r="A6" s="83" t="str">
        <x:v>C02</x:v>
      </x:c>
      <x:c r="B6" s="83" t="str">
        <x:v>P0</x:v>
      </x:c>
      <x:c r="C6" s="78" t="str">
        <x:v>狀態口徑</x:v>
      </x:c>
      <x:c r="D6" s="78" t="str">
        <x:v>7個CALL主狀態與原有狀態、報價/採購/標書狀態如何映射</x:v>
      </x:c>
      <x:c r="E6" s="78" t="str">
        <x:v>流程、報表、驗收</x:v>
      </x:c>
      <x:c r="F6" s="71"/>
      <x:c r="G6" s="96"/>
      <x:c r="H6" s="84" t="str">
        <x:v>待確認</x:v>
      </x:c>
      <x:c r="I6" s="71"/>
      <x:c r="J6" s="78" t="str">
        <x:v>FLOW-001-FLOW-011</x:v>
      </x:c>
    </x:row>
    <x:row r="7" ht="48" customHeight="1">
      <x:c r="A7" s="83" t="str">
        <x:v>C03</x:v>
      </x:c>
      <x:c r="B7" s="83" t="str">
        <x:v>P0</x:v>
      </x:c>
      <x:c r="C7" s="78" t="str">
        <x:v>編號規則</x:v>
      </x:c>
      <x:c r="D7" s="78" t="str">
        <x:v>CALL、任務、項目、採購和外部Reference編號規則</x:v>
      </x:c>
      <x:c r="E7" s="78" t="str">
        <x:v>查詢、遷移、唯一性</x:v>
      </x:c>
      <x:c r="F7" s="71"/>
      <x:c r="G7" s="96"/>
      <x:c r="H7" s="84" t="str">
        <x:v>待確認</x:v>
      </x:c>
      <x:c r="I7" s="71"/>
      <x:c r="J7" s="78" t="str">
        <x:v>F013、F073、F079</x:v>
      </x:c>
    </x:row>
    <x:row r="8" ht="48" customHeight="1">
      <x:c r="A8" s="83" t="str">
        <x:v>C04</x:v>
      </x:c>
      <x:c r="B8" s="83" t="str">
        <x:v>P0</x:v>
      </x:c>
      <x:c r="C8" s="78" t="str">
        <x:v>分派權限</x:v>
      </x:c>
      <x:c r="D8" s="78" t="str">
        <x:v>各區域TL、CR與管理員的數據範圍和操作權限</x:v>
      </x:c>
      <x:c r="E8" s="78" t="str">
        <x:v>權限矩陣、責任邊界</x:v>
      </x:c>
      <x:c r="F8" s="71"/>
      <x:c r="G8" s="96"/>
      <x:c r="H8" s="84" t="str">
        <x:v>待確認</x:v>
      </x:c>
      <x:c r="I8" s="71"/>
      <x:c r="J8" s="78" t="str">
        <x:v>FLOW-003、FLOW-012</x:v>
      </x:c>
    </x:row>
    <x:row r="9" ht="48" customHeight="1">
      <x:c r="A9" s="83" t="str">
        <x:v>C05</x:v>
      </x:c>
      <x:c r="B9" s="83" t="str">
        <x:v>P1</x:v>
      </x:c>
      <x:c r="C9" s="78" t="str">
        <x:v>分派推薦</x:v>
      </x:c>
      <x:c r="D9" s="78" t="str">
        <x:v>師傅技能、請假、負載閾值和推薦優先級</x:v>
      </x:c>
      <x:c r="E9" s="78" t="str">
        <x:v>分派POC</x:v>
      </x:c>
      <x:c r="F9" s="71"/>
      <x:c r="G9" s="96"/>
      <x:c r="H9" s="84" t="str">
        <x:v>待確認</x:v>
      </x:c>
      <x:c r="I9" s="71"/>
      <x:c r="J9" s="78" t="str">
        <x:v>FLOW-003</x:v>
      </x:c>
    </x:row>
    <x:row r="10" ht="48" customHeight="1">
      <x:c r="A10" s="83" t="str">
        <x:v>C06</x:v>
      </x:c>
      <x:c r="B10" s="83" t="str">
        <x:v>P0</x:v>
      </x:c>
      <x:c r="C10" s="78" t="str">
        <x:v>單據判定</x:v>
      </x:c>
      <x:c r="D10" s="78" t="str">
        <x:v>何時生成服務報告或完工單，是否允許人工調整</x:v>
      </x:c>
      <x:c r="E10" s="78" t="str">
        <x:v>移動端、報告模板</x:v>
      </x:c>
      <x:c r="F10" s="71"/>
      <x:c r="G10" s="96"/>
      <x:c r="H10" s="84" t="str">
        <x:v>待確認</x:v>
      </x:c>
      <x:c r="I10" s="71"/>
      <x:c r="J10" s="78" t="str">
        <x:v>FLOW-004-FLOW-005</x:v>
      </x:c>
    </x:row>
    <x:row r="11" ht="48" customHeight="1">
      <x:c r="A11" s="83" t="str">
        <x:v>C07</x:v>
      </x:c>
      <x:c r="B11" s="83" t="str">
        <x:v>P0</x:v>
      </x:c>
      <x:c r="C11" s="78" t="str">
        <x:v>現場規則</x:v>
      </x:c>
      <x:c r="D11" s="78" t="str">
        <x:v>照片、簽名、不可拍照、離線和附件保留規則</x:v>
      </x:c>
      <x:c r="E11" s="78" t="str">
        <x:v>移動端、存儲、合規</x:v>
      </x:c>
      <x:c r="F11" s="71"/>
      <x:c r="G11" s="96"/>
      <x:c r="H11" s="84" t="str">
        <x:v>待確認</x:v>
      </x:c>
      <x:c r="I11" s="71"/>
      <x:c r="J11" s="78" t="str">
        <x:v>FLOW-004</x:v>
      </x:c>
    </x:row>
    <x:row r="12" ht="48" customHeight="1">
      <x:c r="A12" s="83" t="str">
        <x:v>C08</x:v>
      </x:c>
      <x:c r="B12" s="83" t="str">
        <x:v>P1</x:v>
      </x:c>
      <x:c r="C12" s="78" t="str">
        <x:v>發送渠道</x:v>
      </x:c>
      <x:c r="D12" s="78" t="str">
        <x:v>報告採用系統內、釘釘、Email或WhatsApp發送</x:v>
      </x:c>
      <x:c r="E12" s="78" t="str">
        <x:v>消息接口、客戶溝通</x:v>
      </x:c>
      <x:c r="F12" s="71"/>
      <x:c r="G12" s="96"/>
      <x:c r="H12" s="84" t="str">
        <x:v>待確認</x:v>
      </x:c>
      <x:c r="I12" s="71"/>
      <x:c r="J12" s="78" t="str">
        <x:v>FLOW-008</x:v>
      </x:c>
    </x:row>
    <x:row r="13" ht="48" customHeight="1">
      <x:c r="A13" s="83" t="str">
        <x:v>C09</x:v>
      </x:c>
      <x:c r="B13" s="83" t="str">
        <x:v>P0</x:v>
      </x:c>
      <x:c r="C13" s="78" t="str">
        <x:v>主數據</x:v>
      </x:c>
      <x:c r="D13" s="78" t="str">
        <x:v>真實客戶、人員、區域、地點及歷史數據導入範圍</x:v>
      </x:c>
      <x:c r="E13" s="78" t="str">
        <x:v>數據準備、UAT</x:v>
      </x:c>
      <x:c r="F13" s="71"/>
      <x:c r="G13" s="96"/>
      <x:c r="H13" s="84" t="str">
        <x:v>待確認</x:v>
      </x:c>
      <x:c r="I13" s="71"/>
      <x:c r="J13" s="78" t="str">
        <x:v>FLOW-012</x:v>
      </x:c>
    </x:row>
    <x:row r="14" ht="48" customHeight="1">
      <x:c r="A14" s="83" t="str">
        <x:v>C10</x:v>
      </x:c>
      <x:c r="B14" s="83" t="str">
        <x:v>P0</x:v>
      </x:c>
      <x:c r="C14" s="78" t="str">
        <x:v>外部接口</x:v>
      </x:c>
      <x:c r="D14" s="78" t="str">
        <x:v>Peachtree/倉庫通等接口版本、方向和驗收標準</x:v>
      </x:c>
      <x:c r="E14" s="78" t="str">
        <x:v>接口POC、二期排期</x:v>
      </x:c>
      <x:c r="F14" s="71"/>
      <x:c r="G14" s="96"/>
      <x:c r="H14" s="84" t="str">
        <x:v>待確認</x:v>
      </x:c>
      <x:c r="I14" s="71"/>
      <x:c r="J14" s="78" t="str">
        <x:v>FLOW-007、FLOW-011</x:v>
      </x:c>
    </x:row>
    <x:row r="15" ht="48" customHeight="1">
      <x:c r="A15" s="83" t="str">
        <x:v>C11</x:v>
      </x:c>
      <x:c r="B15" s="83" t="str">
        <x:v>P0</x:v>
      </x:c>
      <x:c r="C15" s="78" t="str">
        <x:v>MR生成規則</x:v>
      </x:c>
      <x:c r="D15" s="78" t="str">
        <x:v>MR由哪個動作觸發、使用報價哪個版本、哪些物料行和數量</x:v>
      </x:c>
      <x:c r="E15" s="78" t="str">
        <x:v>報價中單、MR、倉庫通</x:v>
      </x:c>
      <x:c r="F15" s="71"/>
      <x:c r="G15" s="96"/>
      <x:c r="H15" s="84" t="str">
        <x:v>待確認</x:v>
      </x:c>
      <x:c r="I15" s="71"/>
      <x:c r="J15" s="78" t="str">
        <x:v>FLOW-006/FLOW-007；F041、F044、F051</x:v>
      </x:c>
    </x:row>
    <x:row r="16" ht="48" customHeight="1">
      <x:c r="A16" s="83" t="str">
        <x:v>C12</x:v>
      </x:c>
      <x:c r="B16" s="83" t="str">
        <x:v>P0</x:v>
      </x:c>
      <x:c r="C16" s="78" t="str">
        <x:v>倉庫通數據主責</x:v>
      </x:c>
      <x:c r="D16" s="78" t="str">
        <x:v>庫存、供應商、採購、入庫及備貨狀態分別由哪個系統主責</x:v>
      </x:c>
      <x:c r="E16" s="78" t="str">
        <x:v>接口邊界、數據一致性</x:v>
      </x:c>
      <x:c r="F16" s="71"/>
      <x:c r="G16" s="96"/>
      <x:c r="H16" s="84" t="str">
        <x:v>待確認</x:v>
      </x:c>
      <x:c r="I16" s="71"/>
      <x:c r="J16" s="78" t="str">
        <x:v>FLOW-007；F052-F054</x:v>
      </x:c>
    </x:row>
    <x:row r="17" ht="48" customHeight="1">
      <x:c r="A17" s="83" t="str">
        <x:v>C13</x:v>
      </x:c>
      <x:c r="B17" s="83" t="str">
        <x:v>P0</x:v>
      </x:c>
      <x:c r="C17" s="78" t="str">
        <x:v>同步機制與匹配編號</x:v>
      </x:c>
      <x:c r="D17" s="78" t="str">
        <x:v>EC與倉庫通同步方向、觸發、頻率、接口欄位和唯一匹配編號</x:v>
      </x:c>
      <x:c r="E17" s="78" t="str">
        <x:v>接口設計、異常處理</x:v>
      </x:c>
      <x:c r="F17" s="71"/>
      <x:c r="G17" s="96"/>
      <x:c r="H17" s="84" t="str">
        <x:v>待確認</x:v>
      </x:c>
      <x:c r="I17" s="71"/>
      <x:c r="J17" s="78" t="str">
        <x:v>FLOW-007；F052、F054</x:v>
      </x:c>
    </x:row>
    <x:row r="18" ht="48" customHeight="1">
      <x:c r="A18" s="83" t="str">
        <x:v>C14</x:v>
      </x:c>
      <x:c r="B18" s="83" t="str">
        <x:v>P0</x:v>
      </x:c>
      <x:c r="C18" s="78" t="str">
        <x:v>倉庫狀態與異常重試</x:v>
      </x:c>
      <x:c r="D18" s="78" t="str">
        <x:v>倉庫狀態字典、EC映射、失敗重試、人工補償和通知對象</x:v>
      </x:c>
      <x:c r="E18" s="78" t="str">
        <x:v>狀態、通知、接口運維</x:v>
      </x:c>
      <x:c r="F18" s="71"/>
      <x:c r="G18" s="96"/>
      <x:c r="H18" s="84" t="str">
        <x:v>待確認</x:v>
      </x:c>
      <x:c r="I18" s="71"/>
      <x:c r="J18" s="78" t="str">
        <x:v>FLOW-007；F052、F075</x:v>
      </x:c>
    </x:row>
    <x:row r="19" ht="48" customHeight="1">
      <x:c r="A19" s="83" t="str">
        <x:v>C15</x:v>
      </x:c>
      <x:c r="B19" s="83" t="str">
        <x:v>P0</x:v>
      </x:c>
      <x:c r="C19" s="78" t="str">
        <x:v>可派工門檻</x:v>
      </x:c>
      <x:c r="D19" s="78" t="str">
        <x:v>哪個倉庫狀態加上何種客戶時間確認後允許正式派工</x:v>
      </x:c>
      <x:c r="E19" s="78" t="str">
        <x:v>MR、客戶溝通、派工</x:v>
      </x:c>
      <x:c r="F19" s="71"/>
      <x:c r="G19" s="96"/>
      <x:c r="H19" s="84" t="str">
        <x:v>待確認</x:v>
      </x:c>
      <x:c r="I19" s="71"/>
      <x:c r="J19" s="78" t="str">
        <x:v>FLOW-001/FLOW-007；F055</x:v>
      </x:c>
    </x:row>
    <x:row r="20" ht="48" customHeight="1">
      <x:c r="A20" s="83" t="str">
        <x:v>C16</x:v>
      </x:c>
      <x:c r="B20" s="83" t="str">
        <x:v>P0</x:v>
      </x:c>
      <x:c r="C20" s="78" t="str">
        <x:v>後續任務關係</x:v>
      </x:c>
      <x:c r="D20" s="78" t="str">
        <x:v>物料就緒後複用原CALL還是創建關聯CALL，編號和時間線如何關聯</x:v>
      </x:c>
      <x:c r="E20" s="78" t="str">
        <x:v>編號、派工、報表</x:v>
      </x:c>
      <x:c r="F20" s="71"/>
      <x:c r="G20" s="96"/>
      <x:c r="H20" s="84" t="str">
        <x:v>待確認</x:v>
      </x:c>
      <x:c r="I20" s="71"/>
      <x:c r="J20" s="78" t="str">
        <x:v>FLOW-007/FLOW-003；F056、F079</x:v>
      </x:c>
    </x:row>
    <x:row r="21" ht="48" customHeight="1">
      <x:c r="A21" s="83" t="str">
        <x:v>C17</x:v>
      </x:c>
      <x:c r="B21" s="83" t="str">
        <x:v>P0</x:v>
      </x:c>
      <x:c r="C21" s="78" t="str">
        <x:v>跨對象狀態關聯</x:v>
      </x:c>
      <x:c r="D21" s="78" t="str">
        <x:v>報價、MR/倉庫、CALL三套狀態是否互相驅動，允許哪些回退</x:v>
      </x:c>
      <x:c r="E21" s="78" t="str">
        <x:v>全鏈路狀態和報表</x:v>
      </x:c>
      <x:c r="F21" s="71"/>
      <x:c r="G21" s="96"/>
      <x:c r="H21" s="84" t="str">
        <x:v>待確認</x:v>
      </x:c>
      <x:c r="I21" s="71"/>
      <x:c r="J21" s="78" t="str">
        <x:v>FLOW-001；F044、F052、F055</x:v>
      </x:c>
    </x:row>
    <x:row r="22" ht="48" customHeight="1">
      <x:c r="A22" s="83" t="str">
        <x:v>C18</x:v>
      </x:c>
      <x:c r="B22" s="83" t="str">
        <x:v>P0</x:v>
      </x:c>
      <x:c r="C22" s="78" t="str">
        <x:v>完工、退回與返工</x:v>
      </x:c>
      <x:c r="D22" s="78" t="str">
        <x:v>SR/CP映射、主管退回、多份SR、返工和客戶不在場如何處理</x:v>
      </x:c>
      <x:c r="E22" s="78" t="str">
        <x:v>現場、報告、完工</x:v>
      </x:c>
      <x:c r="F22" s="71"/>
      <x:c r="G22" s="96"/>
      <x:c r="H22" s="84" t="str">
        <x:v>待確認</x:v>
      </x:c>
      <x:c r="I22" s="71"/>
      <x:c r="J22" s="78" t="str">
        <x:v>FLOW-004/FLOW-005；F031-F033</x:v>
      </x:c>
    </x:row>
    <x:row r="23" ht="48" customHeight="1">
      <x:c r="A23" s="83" t="str">
        <x:v>C19</x:v>
      </x:c>
      <x:c r="B23" s="83" t="str">
        <x:v>P1</x:v>
      </x:c>
      <x:c r="C23" s="78" t="str">
        <x:v>Tender內部流程</x:v>
      </x:c>
      <x:c r="D23" s="78" t="str">
        <x:v>Tender內部審批、OCR/導入、報價填寫、導出回標和中標後銜接</x:v>
      </x:c>
      <x:c r="E23" s="78" t="str">
        <x:v>投標、報價</x:v>
      </x:c>
      <x:c r="F23" s="71"/>
      <x:c r="G23" s="96"/>
      <x:c r="H23" s="84" t="str">
        <x:v>待確認</x:v>
      </x:c>
      <x:c r="I23" s="71"/>
      <x:c r="J23" s="78" t="str">
        <x:v>FLOW-010；F046-F050</x:v>
      </x:c>
    </x:row>
    <x:row r="24" ht="48" customHeight="1">
      <x:c r="A24" s="83" t="str">
        <x:v>C20</x:v>
      </x:c>
      <x:c r="B24" s="83" t="str">
        <x:v>P1</x:v>
      </x:c>
      <x:c r="C24" s="78" t="str">
        <x:v>財務業務邊界</x:v>
      </x:c>
      <x:c r="D24" s="78" t="str">
        <x:v>完工到待開票的觸發、開票條件、收款、Peachtree同步和驗收邊界</x:v>
      </x:c>
      <x:c r="E24" s="78" t="str">
        <x:v>財務接口、統計</x:v>
      </x:c>
      <x:c r="F24" s="71"/>
      <x:c r="G24" s="96"/>
      <x:c r="H24" s="84" t="str">
        <x:v>待確認</x:v>
      </x:c>
      <x:c r="I24" s="71"/>
      <x:c r="J24" s="78" t="str">
        <x:v>FLOW-011；F057-F062</x:v>
      </x:c>
    </x:row>
    <x:row r="25" ht="48" customHeight="1">
      <x:c r="A25" s="83" t="str">
        <x:v>C21</x:v>
      </x:c>
      <x:c r="B25" s="83" t="str">
        <x:v>P0</x:v>
      </x:c>
      <x:c r="C25" s="78" t="str">
        <x:v>完整角色權限矩陣</x:v>
      </x:c>
      <x:c r="D25" s="78" t="str">
        <x:v>角色×頁面×動作×數據範圍×地區範圍的最終授權</x:v>
      </x:c>
      <x:c r="E25" s="78" t="str">
        <x:v>全部模組、生產安全</x:v>
      </x:c>
      <x:c r="F25" s="71"/>
      <x:c r="G25" s="96"/>
      <x:c r="H25" s="84" t="str">
        <x:v>待確認</x:v>
      </x:c>
      <x:c r="I25" s="71"/>
      <x:c r="J25" s="78" t="str">
        <x:v>角色權限；F020、F066、F072</x:v>
      </x:c>
    </x:row>
  </x:sheetData>
  <x:mergeCells>
    <x:mergeCell ref="A1:J1"/>
    <x:mergeCell ref="A2:J2"/>
  </x:mergeCells>
  <x:conditionalFormatting sqref="B5:B25">
    <x:cfRule type="containsText" dxfId="6" priority="1" operator="containsText" text="P0"/>
    <x:cfRule type="containsText" dxfId="7" priority="2" operator="containsText" text="P1"/>
  </x:conditionalFormatting>
  <x:conditionalFormatting sqref="H5:H25">
    <x:cfRule type="containsText" dxfId="8" priority="3" operator="containsText" text="已批准"/>
  </x:conditionalFormatting>
  <x:dataValidations count="2">
    <x:dataValidation type="list" sqref="B5:B25">
      <x:formula1>"P0,P1,P2"</x:formula1>
    </x:dataValidation>
    <x:dataValidation type="list" sqref="H5:H25">
      <x:formula1>"草案,評審中,待確認,已批准,已廢棄"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23a863bc6c4958"/>
  </x:tableParts>
</x:worksheet>
</file>
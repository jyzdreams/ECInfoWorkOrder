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eb7cfaa08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dc4ca587a8c34642"/>
    <x:sheet xmlns:r="http://schemas.openxmlformats.org/officeDocument/2006/relationships" name="需求与范围" sheetId="2" r:id="Reb15316af1c944fb"/>
    <x:sheet xmlns:r="http://schemas.openxmlformats.org/officeDocument/2006/relationships" name="功能模块" sheetId="3" r:id="Rf66cbcbaaaa74099"/>
    <x:sheet xmlns:r="http://schemas.openxmlformats.org/officeDocument/2006/relationships" name="推进明细" sheetId="4" r:id="R6a35939772584adc"/>
    <x:sheet xmlns:r="http://schemas.openxmlformats.org/officeDocument/2006/relationships" name="验收清单" sheetId="5" r:id="Reecde966a12e41b2"/>
    <x:sheet xmlns:r="http://schemas.openxmlformats.org/officeDocument/2006/relationships" name="待确认与上线" sheetId="6" r:id="R6aa1914c8418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@"/>
  </x:numFmts>
  <x:fonts count="20">
    <x:font>
      <x:sz val="11"/>
      <x:name val="Carlito"/>
    </x:font>
    <x:font>
      <x:b/>
      <x:sz val="11"/>
      <x:color rgb="FFFFFFFF"/>
      <x:name val="Carlito"/>
    </x:font>
    <x:font>
      <x:sz val="11"/>
      <x:color rgb="FF4B5563"/>
      <x:name val="Carlito"/>
    </x:font>
    <x:font>
      <x:b/>
      <x:sz val="11"/>
      <x:color rgb="FF4F46E5"/>
      <x:name val="Carlito"/>
    </x:font>
    <x:font>
      <x:b/>
      <x:sz val="11"/>
      <x:color rgb="FF172554"/>
      <x:name val="Carlito"/>
    </x:font>
    <x:font>
      <x:b/>
      <x:sz val="11"/>
      <x:color rgb="FF0F766E"/>
      <x:name val="Carlito"/>
    </x:font>
    <x:font>
      <x:b/>
      <x:sz val="11"/>
      <x:color rgb="FFC2410C"/>
      <x:name val="Carlito"/>
    </x:font>
    <x:font>
      <x:sz val="11"/>
      <x:color rgb="FF1F2937"/>
      <x:name val="Carlito"/>
    </x:font>
    <x:font>
      <x:b/>
      <x:sz val="11"/>
      <x:color rgb="FFB45309"/>
      <x:name val="Carlito"/>
    </x:font>
    <x:font>
      <x:b/>
      <x:sz val="11"/>
      <x:color rgb="FF334155"/>
      <x:name val="Carlito"/>
    </x:font>
    <x:font>
      <x:b/>
      <x:sz val="10"/>
      <x:color rgb="FFFFFFFF"/>
      <x:name val="Arial"/>
    </x:font>
    <x:font>
      <x:sz val="10"/>
      <x:name val="Arial"/>
    </x:font>
    <x:font>
      <x:sz val="10"/>
      <x:color rgb="FF1F2937"/>
      <x:name val="Arial"/>
    </x:font>
    <x:font>
      <x:b/>
      <x:sz val="10"/>
      <x:color rgb="FF172554"/>
      <x:name val="Arial"/>
    </x:font>
    <x:font>
      <x:sz val="11"/>
      <x:color rgb="FF243247"/>
      <x:name val="Arial"/>
    </x:font>
    <x:font>
      <x:b/>
      <x:sz val="17"/>
      <x:color rgb="FF263B64"/>
      <x:name val="Arial"/>
    </x:font>
    <x:font>
      <x:sz val="11"/>
      <x:color rgb="FF526176"/>
      <x:name val="Arial"/>
    </x:font>
    <x:font>
      <x:b/>
      <x:sz val="12"/>
      <x:color rgb="FF263B64"/>
      <x:name val="Arial"/>
    </x:font>
    <x:font>
      <x:b/>
      <x:sz val="11"/>
      <x:color rgb="FFFFFFFF"/>
      <x:name val="Arial"/>
    </x:font>
    <x:font>
      <x:u val="single"/>
      <x:sz val="11"/>
      <x:color rgb="FF185B91"/>
      <x:name val="Arial"/>
    </x:font>
  </x:fonts>
  <x:fills count="3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EF2FF"/>
      </x:patternFill>
    </x:fill>
    <x:fill>
      <x:patternFill patternType="solid">
        <x:fgColor rgb="FF4F46E5"/>
      </x:patternFill>
    </x:fill>
    <x:fill>
      <x:patternFill patternType="solid">
        <x:fgColor rgb="FFF3F4F6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FFBEB"/>
      </x:patternFill>
    </x:fill>
    <x:fill>
      <x:patternFill patternType="solid">
        <x:fgColor rgb="FFD8EFF7"/>
      </x:patternFill>
    </x:fill>
    <x:fill>
      <x:patternFill patternType="solid">
        <x:fgColor rgb="FFFFFFFF"/>
      </x:patternFill>
    </x:fill>
    <x:fill>
      <x:patternFill patternType="solid">
        <x:fgColor rgb="FFFDF2F8"/>
      </x:patternFill>
    </x:fill>
    <x:fill>
      <x:patternFill patternType="solid">
        <x:fgColor rgb="FFE0F2FE"/>
      </x:patternFill>
    </x:fill>
    <x:fill>
      <x:patternFill patternType="solid">
        <x:fgColor rgb="FFEEF2FF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0FDFA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1F5F9"/>
      </x:patternFill>
    </x:fill>
    <x:fill>
      <x:patternFill patternType="solid">
        <x:fgColor rgb="FFFFE4E6"/>
      </x:patternFill>
    </x:fill>
    <x:fill>
      <x:patternFill patternType="solid">
        <x:fgColor rgb="FFBFE5F5"/>
      </x:patternFill>
    </x:fill>
    <x:fill>
      <x:patternFill patternType="solid">
        <x:fgColor rgb="FF4F46E5"/>
      </x:patternFill>
    </x:fill>
    <x:fill>
      <x:patternFill patternType="solid">
        <x:fgColor rgb="FFFFF8E1"/>
      </x:patternFill>
    </x:fill>
    <x:fill>
      <x:patternFill patternType="solid">
        <x:fgColor rgb="FFEEF2F8"/>
      </x:patternFill>
    </x:fill>
    <x:fill>
      <x:patternFill patternType="solid">
        <x:fgColor rgb="FF263B64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4F46E5"/>
      </x:patternFill>
    </x:fill>
    <x:fill>
      <x:patternFill patternType="solid">
        <x:fgColor rgb="FFFFF8E1"/>
      </x:patternFill>
    </x:fill>
    <x:fill>
      <x:patternFill patternType="solid">
        <x:fgColor rgb="FFEEF2F8"/>
      </x:patternFill>
    </x:fill>
    <x:fill>
      <x:patternFill patternType="solid">
        <x:fgColor rgb="FF263B64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24">
    <x:border/>
    <x:border>
      <x:left style="thin">
        <x:color rgb="FFC7D2FE"/>
      </x:left>
      <x:top style="thin">
        <x:color rgb="FFC7D2FE"/>
      </x:top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  <x:bottom style="thin">
        <x:color rgb="FFC7D2FE"/>
      </x:bottom>
    </x:border>
    <x:border>
      <x:right style="thin">
        <x:color rgb="FFC7D2FE"/>
      </x:right>
      <x:bottom style="thin">
        <x:color rgb="FFC7D2FE"/>
      </x:bottom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  <x:border>
      <x:left style="thin">
        <x:color rgb="FFFED7AA"/>
      </x:left>
      <x:top style="thin">
        <x:color rgb="FFFED7AA"/>
      </x:top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  <x:bottom style="thin">
        <x:color rgb="FFFED7AA"/>
      </x:bottom>
    </x:border>
    <x:border>
      <x:right style="thin">
        <x:color rgb="FFFED7AA"/>
      </x:right>
      <x:bottom style="thin">
        <x:color rgb="FFFED7AA"/>
      </x:bottom>
    </x:border>
    <x:border>
      <x:right style="thin">
        <x:color rgb="FFC7D2FE"/>
      </x:right>
    </x:border>
    <x:border>
      <x:left style="thin">
        <x:color rgb="FFC7D2FE"/>
      </x:left>
      <x:right style="thin">
        <x:color rgb="FFC7D2FE"/>
      </x:right>
    </x:border>
    <x:border>
      <x:left style="thin">
        <x:color rgb="FFC7D2FE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200" fontId="4" fillId="3" borderId="1" xfId="0" applyNumberFormat="1" applyFont="1" applyFill="1" applyBorder="1"/>
    <x:xf numFmtId="200" fontId="4" fillId="3" borderId="2" xfId="0" applyNumberFormat="1" applyFont="1" applyFill="1" applyBorder="1"/>
    <x:xf numFmtId="200" fontId="4" fillId="3" borderId="3" xfId="0" applyNumberFormat="1" applyFont="1" applyFill="1" applyBorder="1"/>
    <x:xf numFmtId="200" fontId="4" fillId="3" borderId="4" xfId="0" applyNumberFormat="1" applyFont="1" applyFill="1" applyBorder="1"/>
    <x:xf numFmtId="200" fontId="4" fillId="3" borderId="1" xfId="0" applyNumberFormat="1" applyFont="1" applyFill="1" applyBorder="1" applyAlignment="1">
      <x:alignment horizontal="center"/>
    </x:xf>
    <x:xf numFmtId="200" fontId="4" fillId="3" borderId="2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/>
    </x:xf>
    <x:xf numFmtId="200" fontId="4" fillId="3" borderId="4" xfId="0" applyNumberFormat="1" applyFont="1" applyFill="1" applyBorder="1" applyAlignment="1">
      <x:alignment horizont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 applyAlignment="1">
      <x:alignment horizontal="center" vertical="center"/>
    </x:xf>
    <x:xf numFmtId="200" fontId="4" fillId="3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3" xfId="0" applyNumberFormat="1" applyFont="1" applyFill="1" applyBorder="1" applyAlignment="1">
      <x:alignment wrapText="1"/>
    </x:xf>
    <x:xf numFmtId="0" fontId="6" fillId="7" borderId="14" xfId="0" applyNumberFormat="1" applyFont="1" applyFill="1" applyBorder="1" applyAlignment="1">
      <x:alignment wrapText="1"/>
    </x:xf>
    <x:xf numFmtId="0" fontId="6" fillId="7" borderId="15" xfId="0" applyNumberFormat="1" applyFont="1" applyFill="1" applyBorder="1" applyAlignment="1">
      <x:alignment wrapText="1"/>
    </x:xf>
    <x:xf numFmtId="0" fontId="6" fillId="7" borderId="16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horizontal="center" wrapText="1"/>
    </x:xf>
    <x:xf numFmtId="0" fontId="6" fillId="7" borderId="14" xfId="0" applyNumberFormat="1" applyFont="1" applyFill="1" applyBorder="1" applyAlignment="1">
      <x:alignment horizontal="center" wrapText="1"/>
    </x:xf>
    <x:xf numFmtId="0" fontId="6" fillId="7" borderId="15" xfId="0" applyNumberFormat="1" applyFont="1" applyFill="1" applyBorder="1" applyAlignment="1">
      <x:alignment horizontal="center" wrapText="1"/>
    </x:xf>
    <x:xf numFmtId="0" fontId="6" fillId="7" borderId="16" xfId="0" applyNumberFormat="1" applyFont="1" applyFill="1" applyBorder="1" applyAlignment="1">
      <x:alignment horizont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6" fillId="7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/>
    <x:xf numFmtId="0" fontId="1" fillId="4" borderId="18" xfId="0" applyNumberFormat="1" applyFont="1" applyFill="1" applyBorder="1"/>
    <x:xf numFmtId="0" fontId="1" fillId="4" borderId="19" xfId="0" applyNumberFormat="1" applyFont="1" applyFill="1" applyBorder="1"/>
    <x:xf numFmtId="0" fontId="1" fillId="4" borderId="17" xfId="0" applyNumberFormat="1" applyFont="1" applyFill="1" applyBorder="1" applyAlignment="1">
      <x:alignment wrapText="1"/>
    </x:xf>
    <x:xf numFmtId="0" fontId="1" fillId="4" borderId="18" xfId="0" applyNumberFormat="1" applyFont="1" applyFill="1" applyBorder="1" applyAlignment="1">
      <x:alignment wrapText="1"/>
    </x:xf>
    <x:xf numFmtId="0" fontId="1" fillId="4" borderId="19" xfId="0" applyNumberFormat="1" applyFont="1" applyFill="1" applyBorder="1" applyAlignment="1">
      <x:alignment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vertical="center" wrapText="1"/>
    </x:xf>
    <x:xf numFmtId="0" fontId="7" fillId="0" borderId="22" xfId="0" applyNumberFormat="1" applyFont="1" applyFill="1" applyBorder="1" applyAlignment="1">
      <x:alignment vertical="center" wrapText="1"/>
    </x:xf>
    <x:xf numFmtId="200" fontId="7" fillId="0" borderId="20" xfId="0" applyNumberFormat="1" applyFont="1" applyFill="1" applyBorder="1" applyAlignment="1">
      <x:alignment vertical="center" wrapText="1"/>
    </x:xf>
    <x:xf numFmtId="200" fontId="7" fillId="0" borderId="21" xfId="0" applyNumberFormat="1" applyFont="1" applyFill="1" applyBorder="1" applyAlignment="1">
      <x:alignment vertical="center" wrapText="1"/>
    </x:xf>
    <x:xf numFmtId="200" fontId="7" fillId="0" borderId="2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7" fillId="9" borderId="20" xfId="0" applyNumberFormat="1" applyFont="1" applyFill="1" applyBorder="1" applyAlignment="1">
      <x:alignment vertical="center" wrapText="1"/>
    </x:xf>
    <x:xf numFmtId="0" fontId="7" fillId="10" borderId="21" xfId="0" applyNumberFormat="1" applyFont="1" applyFill="1" applyBorder="1" applyAlignment="1">
      <x:alignment vertical="center" wrapText="1"/>
    </x:xf>
    <x:xf numFmtId="0" fontId="7" fillId="9" borderId="21" xfId="0" applyNumberFormat="1" applyFont="1" applyFill="1" applyBorder="1" applyAlignment="1">
      <x:alignment vertical="center" wrapText="1"/>
    </x:xf>
    <x:xf numFmtId="0" fontId="7" fillId="9" borderId="22" xfId="0" applyNumberFormat="1" applyFont="1" applyFill="1" applyBorder="1" applyAlignment="1">
      <x:alignment vertical="center" wrapText="1"/>
    </x:xf>
    <x:xf numFmtId="0" fontId="7" fillId="3" borderId="20" xfId="0" applyNumberFormat="1" applyFont="1" applyFill="1" applyBorder="1" applyAlignment="1">
      <x:alignment vertical="center" wrapText="1"/>
    </x:xf>
    <x:xf numFmtId="0" fontId="7" fillId="3" borderId="21" xfId="0" applyNumberFormat="1" applyFont="1" applyFill="1" applyBorder="1" applyAlignment="1">
      <x:alignment vertical="center" wrapText="1"/>
    </x:xf>
    <x:xf numFmtId="0" fontId="4" fillId="3" borderId="20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vertical="center" wrapText="1"/>
    </x:xf>
    <x:xf numFmtId="0" fontId="4" fillId="3" borderId="23" xfId="0" applyNumberFormat="1" applyFont="1" applyFill="1" applyBorder="1" applyAlignment="1">
      <x:alignment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4" fillId="6" borderId="21" xfId="0" applyNumberFormat="1" applyFont="1" applyFill="1" applyBorder="1" applyAlignment="1">
      <x:alignment vertical="center" wrapText="1"/>
    </x:xf>
    <x:xf numFmtId="0" fontId="4" fillId="6" borderId="23" xfId="0" applyNumberFormat="1" applyFont="1" applyFill="1" applyBorder="1" applyAlignment="1">
      <x:alignment vertical="center" wrapText="1"/>
    </x:xf>
    <x:xf numFmtId="0" fontId="4" fillId="6" borderId="23" xfId="0" applyNumberFormat="1" applyFont="1" applyFill="1" applyBorder="1" applyAlignment="1">
      <x:alignment horizontal="center" vertical="center" wrapText="1"/>
    </x:xf>
    <x:xf numFmtId="0" fontId="7" fillId="7" borderId="21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23" xfId="0" applyNumberFormat="1" applyFont="1" applyFill="1" applyBorder="1" applyAlignment="1">
      <x:alignment horizontal="center" vertical="center" wrapText="1"/>
    </x:xf>
    <x:xf numFmtId="0" fontId="7" fillId="11" borderId="21" xfId="0" applyNumberFormat="1" applyFont="1" applyFill="1" applyBorder="1" applyAlignment="1">
      <x:alignment vertical="center" wrapText="1"/>
    </x:xf>
    <x:xf numFmtId="0" fontId="4" fillId="11" borderId="21" xfId="0" applyNumberFormat="1" applyFont="1" applyFill="1" applyBorder="1" applyAlignment="1">
      <x:alignment vertical="center" wrapText="1"/>
    </x:xf>
    <x:xf numFmtId="0" fontId="4" fillId="11" borderId="23" xfId="0" applyNumberFormat="1" applyFont="1" applyFill="1" applyBorder="1" applyAlignment="1">
      <x:alignment vertical="center" wrapText="1"/>
    </x:xf>
    <x:xf numFmtId="0" fontId="4" fillId="11" borderId="23" xfId="0" applyNumberFormat="1" applyFont="1" applyFill="1" applyBorder="1" applyAlignment="1">
      <x:alignment horizontal="center" vertical="center" wrapText="1"/>
    </x:xf>
    <x:xf numFmtId="0" fontId="7" fillId="11" borderId="22" xfId="0" applyNumberFormat="1" applyFont="1" applyFill="1" applyBorder="1" applyAlignment="1">
      <x:alignment vertical="center" wrapText="1"/>
    </x:xf>
    <x:xf numFmtId="0" fontId="4" fillId="11" borderId="22" xfId="0" applyNumberFormat="1" applyFont="1" applyFill="1" applyBorder="1" applyAlignment="1">
      <x:alignment vertical="center" wrapText="1"/>
    </x:xf>
    <x:xf numFmtId="201" fontId="7" fillId="0" borderId="20" xfId="0" applyNumberFormat="1" applyFont="1" applyFill="1" applyBorder="1" applyAlignment="1">
      <x:alignment vertical="center" wrapText="1"/>
    </x:xf>
    <x:xf numFmtId="201" fontId="7" fillId="0" borderId="21" xfId="0" applyNumberFormat="1" applyFont="1" applyFill="1" applyBorder="1" applyAlignment="1">
      <x:alignment vertical="center" wrapText="1"/>
    </x:xf>
    <x:xf numFmtId="201" fontId="7" fillId="0" borderId="22" xfId="0" applyNumberFormat="1" applyFont="1" applyFill="1" applyBorder="1" applyAlignment="1">
      <x:alignment vertical="center" wrapText="1"/>
    </x:xf>
    <x:xf numFmtId="0" fontId="4" fillId="12" borderId="23" xfId="0" applyNumberFormat="1" applyFont="1" applyFill="1" applyBorder="1" applyAlignment="1">
      <x:alignment horizontal="center" vertical="center" wrapText="1"/>
    </x:xf>
    <x:xf numFmtId="0" fontId="9" fillId="12" borderId="23" xfId="0" applyNumberFormat="1" applyFont="1" applyFill="1" applyBorder="1" applyAlignment="1">
      <x:alignment horizontal="center" vertical="center" wrapText="1"/>
    </x:xf>
    <x:xf numFmtId="0" fontId="4" fillId="13" borderId="23" xfId="0" applyNumberFormat="1" applyFont="1" applyFill="1" applyBorder="1" applyAlignment="1">
      <x:alignment horizontal="center" vertical="center" wrapText="1"/>
    </x:xf>
    <x:xf numFmtId="0" fontId="9" fillId="13" borderId="23" xfId="0" applyNumberFormat="1" applyFont="1" applyFill="1" applyBorder="1" applyAlignment="1">
      <x:alignment horizontal="center" vertical="center" wrapText="1"/>
    </x:xf>
    <x:xf numFmtId="0" fontId="4" fillId="14" borderId="23" xfId="0" applyNumberFormat="1" applyFont="1" applyFill="1" applyBorder="1" applyAlignment="1">
      <x:alignment horizontal="center" vertical="center" wrapText="1"/>
    </x:xf>
    <x:xf numFmtId="0" fontId="9" fillId="14" borderId="23" xfId="0" applyNumberFormat="1" applyFont="1" applyFill="1" applyBorder="1" applyAlignment="1">
      <x:alignment horizontal="center" vertical="center" wrapText="1"/>
    </x:xf>
    <x:xf numFmtId="0" fontId="4" fillId="15" borderId="23" xfId="0" applyNumberFormat="1" applyFont="1" applyFill="1" applyBorder="1" applyAlignment="1">
      <x:alignment horizontal="center" vertical="center" wrapText="1"/>
    </x:xf>
    <x:xf numFmtId="0" fontId="9" fillId="15" borderId="23" xfId="0" applyNumberFormat="1" applyFont="1" applyFill="1" applyBorder="1" applyAlignment="1">
      <x:alignment horizontal="center" vertical="center" wrapText="1"/>
    </x:xf>
    <x:xf numFmtId="0" fontId="4" fillId="16" borderId="23" xfId="0" applyNumberFormat="1" applyFont="1" applyFill="1" applyBorder="1" applyAlignment="1">
      <x:alignment horizontal="center" vertical="center" wrapText="1"/>
    </x:xf>
    <x:xf numFmtId="0" fontId="9" fillId="16" borderId="23" xfId="0" applyNumberFormat="1" applyFont="1" applyFill="1" applyBorder="1" applyAlignment="1">
      <x:alignment horizontal="center" vertical="center" wrapText="1"/>
    </x:xf>
    <x:xf numFmtId="0" fontId="4" fillId="17" borderId="23" xfId="0" applyNumberFormat="1" applyFont="1" applyFill="1" applyBorder="1" applyAlignment="1">
      <x:alignment horizontal="center" vertical="center" wrapText="1"/>
    </x:xf>
    <x:xf numFmtId="0" fontId="9" fillId="17" borderId="23" xfId="0" applyNumberFormat="1" applyFont="1" applyFill="1" applyBorder="1" applyAlignment="1">
      <x:alignment horizontal="center" vertical="center" wrapText="1"/>
    </x:xf>
    <x:xf numFmtId="0" fontId="4" fillId="18" borderId="23" xfId="0" applyNumberFormat="1" applyFont="1" applyFill="1" applyBorder="1" applyAlignment="1">
      <x:alignment horizontal="center" vertical="center" wrapText="1"/>
    </x:xf>
    <x:xf numFmtId="0" fontId="9" fillId="18" borderId="23" xfId="0" applyNumberFormat="1" applyFont="1" applyFill="1" applyBorder="1" applyAlignment="1">
      <x:alignment horizontal="center" vertical="center" wrapText="1"/>
    </x:xf>
    <x:xf numFmtId="0" fontId="4" fillId="19" borderId="23" xfId="0" applyNumberFormat="1" applyFont="1" applyFill="1" applyBorder="1" applyAlignment="1">
      <x:alignment horizontal="center" vertical="center" wrapText="1"/>
    </x:xf>
    <x:xf numFmtId="0" fontId="9" fillId="19" borderId="23" xfId="0" applyNumberFormat="1" applyFont="1" applyFill="1" applyBorder="1" applyAlignment="1">
      <x:alignment horizontal="center" vertical="center" wrapText="1"/>
    </x:xf>
    <x:xf numFmtId="0" fontId="4" fillId="20" borderId="23" xfId="0" applyNumberFormat="1" applyFont="1" applyFill="1" applyBorder="1" applyAlignment="1">
      <x:alignment horizontal="center" vertical="center" wrapText="1"/>
    </x:xf>
    <x:xf numFmtId="0" fontId="9" fillId="20" borderId="23" xfId="0" applyNumberFormat="1" applyFont="1" applyFill="1" applyBorder="1" applyAlignment="1">
      <x:alignment horizontal="center" vertical="center" wrapText="1"/>
    </x:xf>
    <x:xf numFmtId="0" fontId="4" fillId="21" borderId="23" xfId="0" applyNumberFormat="1" applyFont="1" applyFill="1" applyBorder="1" applyAlignment="1">
      <x:alignment horizontal="center" vertical="center" wrapText="1"/>
    </x:xf>
    <x:xf numFmtId="0" fontId="9" fillId="21" borderId="2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0" fillId="23" borderId="0" xfId="0" applyNumberFormat="1" applyFont="1" applyFill="1" applyBorder="1" applyAlignment="1">
      <x:alignment horizontal="center" wrapText="1"/>
    </x:xf>
    <x:xf numFmtId="0" fontId="10" fillId="23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2" fillId="10" borderId="21" xfId="0" applyNumberFormat="1" applyFont="1" applyFill="1" applyBorder="1" applyAlignment="1">
      <x:alignment vertical="center" wrapText="1"/>
    </x:xf>
    <x:xf numFmtId="0" fontId="13" fillId="3" borderId="23" xfId="0" applyNumberFormat="1" applyFont="1" applyFill="1" applyBorder="1" applyAlignment="1">
      <x:alignment horizontal="center" vertical="center" wrapText="1"/>
    </x:xf>
    <x:xf numFmtId="0" fontId="12" fillId="9" borderId="21" xfId="0" applyNumberFormat="1" applyFont="1" applyFill="1" applyBorder="1" applyAlignment="1">
      <x:alignment vertical="center" wrapText="1"/>
    </x:xf>
    <x:xf numFmtId="0" fontId="13" fillId="6" borderId="23" xfId="0" applyNumberFormat="1" applyFont="1" applyFill="1" applyBorder="1" applyAlignment="1">
      <x:alignment horizontal="center" vertical="center" wrapText="1"/>
    </x:xf>
    <x:xf numFmtId="0" fontId="13" fillId="7" borderId="23" xfId="0" applyNumberFormat="1" applyFont="1" applyFill="1" applyBorder="1" applyAlignment="1">
      <x:alignment horizontal="center" vertical="center" wrapText="1"/>
    </x:xf>
    <x:xf numFmtId="0" fontId="13" fillId="11" borderId="23" xfId="0" applyNumberFormat="1" applyFont="1" applyFill="1" applyBorder="1" applyAlignment="1">
      <x:alignment horizontal="center" vertical="center" wrapText="1"/>
    </x:xf>
    <x:xf numFmtId="0" fontId="12" fillId="9" borderId="22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0" fontId="12" fillId="0" borderId="21" xfId="0" applyNumberFormat="1" applyFont="1" applyFill="1" applyBorder="1" applyAlignment="1">
      <x:alignment vertical="center" wrapText="1"/>
    </x:xf>
    <x:xf numFmtId="201" fontId="12" fillId="0" borderId="21" xfId="0" applyNumberFormat="1" applyFont="1" applyFill="1" applyBorder="1" applyAlignment="1">
      <x:alignment vertical="center" wrapText="1"/>
    </x:xf>
    <x:xf numFmtId="200" fontId="12" fillId="0" borderId="21" xfId="0" applyNumberFormat="1" applyFont="1" applyFill="1" applyBorder="1" applyAlignment="1">
      <x:alignment vertical="center" wrapText="1"/>
    </x:xf>
    <x:xf numFmtId="202" fontId="7" fillId="0" borderId="20" xfId="0" applyNumberFormat="1" applyFont="1" applyFill="1" applyBorder="1" applyAlignment="1">
      <x:alignment vertical="center" wrapText="1"/>
    </x:xf>
    <x:xf numFmtId="202" fontId="7" fillId="0" borderId="21" xfId="0" applyNumberFormat="1" applyFont="1" applyFill="1" applyBorder="1" applyAlignment="1">
      <x:alignment vertical="center" wrapText="1"/>
    </x:xf>
    <x:xf numFmtId="202" fontId="12" fillId="0" borderId="21" xfId="0" applyNumberFormat="1" applyFont="1" applyFill="1" applyBorder="1" applyAlignment="1">
      <x:alignment vertical="center" wrapText="1"/>
    </x:xf>
    <x:xf numFmtId="0" fontId="11" fillId="24" borderId="0" xfId="0" applyNumberFormat="1" applyFont="1" applyFill="1" applyBorder="1" applyAlignment="1">
      <x:alignment vertical="center" wrapText="1"/>
    </x:xf>
    <x:xf numFmtId="201" fontId="11" fillId="24" borderId="0" xfId="0" applyNumberFormat="1" applyFont="1" applyFill="1" applyBorder="1" applyAlignment="1">
      <x:alignment vertical="center" wrapText="1"/>
    </x:xf>
    <x:xf numFmtId="0" fontId="12" fillId="0" borderId="22" xfId="0" applyNumberFormat="1" applyFont="1" applyFill="1" applyBorder="1" applyAlignment="1">
      <x:alignment vertical="center" wrapText="1"/>
    </x:xf>
    <x:xf numFmtId="0" fontId="1" fillId="23" borderId="17" xfId="0" applyNumberFormat="1" applyFont="1" applyFill="1" applyBorder="1" applyAlignment="1">
      <x:alignment vertical="center" wrapText="1"/>
    </x:xf>
    <x:xf numFmtId="0" fontId="1" fillId="23" borderId="18" xfId="0" applyNumberFormat="1" applyFont="1" applyFill="1" applyBorder="1" applyAlignment="1">
      <x:alignment vertical="center" wrapText="1"/>
    </x:xf>
    <x:xf numFmtId="0" fontId="1" fillId="23" borderId="19" xfId="0" applyNumberFormat="1" applyFont="1" applyFill="1" applyBorder="1" applyAlignment="1">
      <x:alignment vertical="center" wrapText="1"/>
    </x:xf>
    <x:xf numFmtId="0" fontId="10" fillId="23" borderId="17" xfId="0" applyNumberFormat="1" applyFont="1" applyFill="1" applyBorder="1" applyAlignment="1">
      <x:alignment vertical="center" wrapText="1"/>
    </x:xf>
    <x:xf numFmtId="0" fontId="10" fillId="23" borderId="18" xfId="0" applyNumberFormat="1" applyFont="1" applyFill="1" applyBorder="1" applyAlignment="1">
      <x:alignment vertical="center" wrapText="1"/>
    </x:xf>
    <x:xf numFmtId="0" fontId="10" fillId="23" borderId="19" xfId="0" applyNumberFormat="1" applyFont="1" applyFill="1" applyBorder="1" applyAlignment="1">
      <x:alignment vertical="center" wrapText="1"/>
    </x:xf>
    <x:xf numFmtId="0" fontId="10" fillId="23" borderId="17" xfId="0" applyNumberFormat="1" applyFont="1" applyFill="1" applyBorder="1" applyAlignment="1">
      <x:alignment horizontal="center" vertical="center" wrapText="1"/>
    </x:xf>
    <x:xf numFmtId="0" fontId="10" fillId="23" borderId="18" xfId="0" applyNumberFormat="1" applyFont="1" applyFill="1" applyBorder="1" applyAlignment="1">
      <x:alignment horizontal="center" vertical="center" wrapText="1"/>
    </x:xf>
    <x:xf numFmtId="0" fontId="10" fillId="23" borderId="19" xfId="0" applyNumberFormat="1" applyFont="1" applyFill="1" applyBorder="1" applyAlignment="1">
      <x:alignment horizontal="center" vertical="center" wrapText="1"/>
    </x:xf>
    <x:xf numFmtId="0" fontId="12" fillId="0" borderId="20" xfId="0" applyNumberFormat="1" applyFont="1" applyFill="1" applyBorder="1" applyAlignment="1">
      <x:alignment vertical="center" wrapText="1"/>
    </x:xf>
    <x:xf numFmtId="200" fontId="12" fillId="0" borderId="2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4" fillId="25" borderId="0" xfId="0" applyNumberFormat="1" applyFont="1" applyFill="1" applyBorder="1" applyAlignment="1">
      <x:alignment vertical="center" wrapText="1"/>
    </x:xf>
    <x:xf numFmtId="0" fontId="17" fillId="25" borderId="0" xfId="0" applyNumberFormat="1" applyFont="1" applyFill="1" applyBorder="1" applyAlignment="1">
      <x:alignment vertical="center" wrapText="1"/>
    </x:xf>
    <x:xf numFmtId="0" fontId="14" fillId="26" borderId="0" xfId="0" applyNumberFormat="1" applyFont="1" applyFill="1" applyBorder="1" applyAlignment="1">
      <x:alignment vertical="center" wrapText="1"/>
    </x:xf>
    <x:xf numFmtId="0" fontId="18" fillId="26" borderId="0" xfId="0" applyNumberFormat="1" applyFont="1" applyFill="1" applyBorder="1" applyAlignment="1">
      <x:alignment vertical="center" wrapText="1"/>
    </x:xf>
    <x:xf numFmtId="0" fontId="18" fillId="26" borderId="0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vertical="center" wrapText="1"/>
    </x:xf>
    <x:xf numFmtId="201" fontId="14" fillId="0" borderId="0" xfId="0" applyNumberFormat="1" applyFont="1" applyFill="1" applyBorder="1" applyAlignment="1">
      <x:alignment vertical="center" wrapText="1"/>
    </x:xf>
    <x:xf numFmtId="0" fontId="14" fillId="27" borderId="0" xfId="0" applyNumberFormat="1" applyFont="1" applyFill="1" applyBorder="1" applyAlignment="1">
      <x:alignment vertical="center" wrapText="1"/>
    </x:xf>
    <x:xf numFmtId="0" fontId="19" fillId="27" borderId="0" xfId="0" applyNumberFormat="1" applyFont="1" applyFill="1" applyBorder="1" applyAlignment="1">
      <x:alignment vertical="center" wrapText="1"/>
    </x:xf>
    <x:xf numFmtId="201" fontId="14" fillId="27" borderId="0" xfId="0" applyNumberFormat="1" applyFont="1" applyFill="1" applyBorder="1" applyAlignment="1">
      <x:alignment vertical="center" wrapText="1"/>
    </x:xf>
    <x:xf numFmtId="0" fontId="14" fillId="28" borderId="0" xfId="0" applyNumberFormat="1" applyFont="1" applyFill="1" applyBorder="1" applyAlignment="1">
      <x:alignment vertical="center" wrapText="1"/>
    </x:xf>
    <x:xf numFmtId="0" fontId="19" fillId="28" borderId="0" xfId="0" applyNumberFormat="1" applyFont="1" applyFill="1" applyBorder="1" applyAlignment="1">
      <x:alignment vertical="center" wrapText="1"/>
    </x:xf>
    <x:xf numFmtId="201" fontId="14" fillId="28" borderId="0" xfId="0" applyNumberFormat="1" applyFont="1" applyFill="1" applyBorder="1" applyAlignment="1">
      <x:alignment vertical="center" wrapText="1"/>
    </x:xf>
    <x:xf numFmtId="201" fontId="12" fillId="0" borderId="22" xfId="0" applyNumberFormat="1" applyFont="1" applyFill="1" applyBorder="1" applyAlignment="1">
      <x:alignment vertical="center" wrapText="1"/>
    </x:xf>
    <x:xf numFmtId="200" fontId="12" fillId="0" borderId="22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10" fillId="29" borderId="0" xfId="0" applyNumberFormat="1" applyFont="1" applyFill="1" applyBorder="1" applyAlignment="1">
      <x:alignment wrapText="1"/>
    </x:xf>
    <x:xf numFmtId="0" fontId="10" fillId="29" borderId="0" xfId="0" applyNumberFormat="1" applyFont="1" applyFill="1" applyBorder="1" applyAlignment="1">
      <x:alignment horizontal="center" wrapText="1"/>
    </x:xf>
    <x:xf numFmtId="0" fontId="10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wrapText="1"/>
    </x:xf>
    <x:xf numFmtId="0" fontId="11" fillId="30" borderId="0" xfId="0" applyNumberFormat="1" applyFont="1" applyFill="1" applyBorder="1" applyAlignment="1">
      <x:alignment vertical="center" wrapText="1"/>
    </x:xf>
    <x:xf numFmtId="0" fontId="14" fillId="31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 applyAlignment="1">
      <x:alignment vertical="center" wrapText="1"/>
    </x:xf>
    <x:xf numFmtId="0" fontId="14" fillId="32" borderId="0" xfId="0" applyNumberFormat="1" applyFont="1" applyFill="1" applyBorder="1" applyAlignment="1">
      <x:alignment vertical="center" wrapText="1"/>
    </x:xf>
    <x:xf numFmtId="0" fontId="18" fillId="32" borderId="0" xfId="0" applyNumberFormat="1" applyFont="1" applyFill="1" applyBorder="1" applyAlignment="1">
      <x:alignment vertical="center" wrapText="1"/>
    </x:xf>
    <x:xf numFmtId="0" fontId="18" fillId="32" borderId="0" xfId="0" applyNumberFormat="1" applyFont="1" applyFill="1" applyBorder="1" applyAlignment="1">
      <x:alignment horizontal="center" vertical="center" wrapText="1"/>
    </x:xf>
    <x:xf numFmtId="0" fontId="14" fillId="33" borderId="0" xfId="0" applyNumberFormat="1" applyFont="1" applyFill="1" applyBorder="1" applyAlignment="1">
      <x:alignment vertical="center" wrapText="1"/>
    </x:xf>
    <x:xf numFmtId="0" fontId="19" fillId="33" borderId="0" xfId="0" applyNumberFormat="1" applyFont="1" applyFill="1" applyBorder="1" applyAlignment="1">
      <x:alignment vertical="center" wrapText="1"/>
    </x:xf>
    <x:xf numFmtId="201" fontId="14" fillId="33" borderId="0" xfId="0" applyNumberFormat="1" applyFont="1" applyFill="1" applyBorder="1" applyAlignment="1">
      <x:alignment vertical="center" wrapText="1"/>
    </x:xf>
    <x:xf numFmtId="0" fontId="14" fillId="34" borderId="0" xfId="0" applyNumberFormat="1" applyFont="1" applyFill="1" applyBorder="1" applyAlignment="1">
      <x:alignment vertical="center" wrapText="1"/>
    </x:xf>
    <x:xf numFmtId="0" fontId="19" fillId="34" borderId="0" xfId="0" applyNumberFormat="1" applyFont="1" applyFill="1" applyBorder="1" applyAlignment="1">
      <x:alignment vertical="center" wrapText="1"/>
    </x:xf>
    <x:xf numFmtId="201" fontId="14" fillId="3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2"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0F766E"/>
      </x:font>
      <x:fill>
        <x:patternFill>
          <x:bgColor rgb="FFECFDF5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C2410C"/>
      </x:font>
      <x:fill>
        <x:patternFill>
          <x:bgColor rgb="FFFFF7ED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color rgb="FFB45309"/>
      </x:font>
      <x:fill>
        <x:patternFill>
          <x:bgColor rgb="FFFFFBEB"/>
        </x:patternFill>
      </x:fill>
    </x:dxf>
    <x:dxf>
      <x:font>
        <x:b/>
        <x:color rgb="FFDC2626"/>
      </x:font>
      <x:fill>
        <x:patternFill>
          <x:bgColor rgb="FFFEF2F2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6B7280"/>
      </x:font>
      <x:fill>
        <x:patternFill>
          <x:bgColor rgb="FFF3F4F6"/>
        </x:patternFill>
      </x:fill>
    </x:dxf>
    <x:dxf>
      <x:font>
        <x:color rgb="FF946200"/>
      </x:font>
      <x:fill>
        <x:patternFill>
          <x:bgColor rgb="FFFFF3CF"/>
        </x:patternFill>
      </x:fill>
    </x:dxf>
    <x:dxf>
      <x:font>
        <x:color rgb="FF24613F"/>
      </x:font>
      <x:fill>
        <x:patternFill>
          <x:bgColor rgb="FFE6F3EB"/>
        </x:patternFill>
      </x:fill>
    </x:dxf>
    <x:dxf>
      <x:font>
        <x:color rgb="FF946200"/>
      </x:font>
      <x:fill>
        <x:patternFill>
          <x:bgColor rgb="FFFFF3CF"/>
        </x:patternFill>
      </x:fill>
    </x:dxf>
    <x:dxf>
      <x:font>
        <x:color rgb="FF24613F"/>
      </x:font>
      <x:fill>
        <x:patternFill>
          <x:bgColor rgb="FFE6F3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577d59ef34821" /><Relationship Type="http://schemas.openxmlformats.org/officeDocument/2006/relationships/theme" Target="/xl/theme/theme1.xml" Id="R9613fdef548442b1" /><Relationship Type="http://schemas.openxmlformats.org/officeDocument/2006/relationships/sharedStrings" Target="/xl/sharedStrings.xml" Id="R5213731ae9fe461a" /><Relationship Type="http://schemas.openxmlformats.org/officeDocument/2006/relationships/worksheet" Target="/xl/worksheets/sheet1.xml" Id="Rdc4ca587a8c34642" /><Relationship Type="http://schemas.openxmlformats.org/officeDocument/2006/relationships/worksheet" Target="/xl/worksheets/sheet2.xml" Id="Reb15316af1c944fb" /><Relationship Type="http://schemas.openxmlformats.org/officeDocument/2006/relationships/worksheet" Target="/xl/worksheets/sheet3.xml" Id="Rf66cbcbaaaa74099" /><Relationship Type="http://schemas.openxmlformats.org/officeDocument/2006/relationships/worksheet" Target="/xl/worksheets/sheet4.xml" Id="R6a35939772584adc" /><Relationship Type="http://schemas.openxmlformats.org/officeDocument/2006/relationships/worksheet" Target="/xl/worksheets/sheet5.xml" Id="Reecde966a12e41b2" /><Relationship Type="http://schemas.openxmlformats.org/officeDocument/2006/relationships/worksheet" Target="/xl/worksheets/sheet6.xml" Id="R6aa1914c84184606" /><Relationship Type="http://schemas.microsoft.com/office/2017/10/relationships/person" Target="/xl/persons/person.xml" Id="R9bba5fb19fb44806" /></Relationships>
</file>

<file path=xl/persons/person.xml><?xml version="1.0" encoding="utf-8"?>
<xltc:personList xmlns:xltc="http://schemas.microsoft.com/office/spreadsheetml/2018/threadedcomments">
  <xltc:person displayName="User" id="{68E6C3E5-418D-4A66-8490-D52229C80CA2}"/>
</xltc:personList>
</file>

<file path=xl/tables/table1.xml><?xml version="1.0" encoding="utf-8"?>
<x:table xmlns:x="http://schemas.openxmlformats.org/spreadsheetml/2006/main" id="15" name="OverviewModulesTable" displayName="OverviewModulesTable" ref="A24:G31" headerRowCount="1" totalsRowCount="0" totalsRowShown="0">
  <x:autoFilter ref="A24:G31"/>
  <x:tableColumns count="7">
    <x:tableColumn id="1" name="批次"/>
    <x:tableColumn id="2" name="业务"/>
    <x:tableColumn id="3" name="当前阶段"/>
    <x:tableColumn id="4" name="客户确认"/>
    <x:tableColumn id="5" name="原型修改"/>
    <x:tableColumn id="6" name="业务验收"/>
    <x:tableColumn id="7" name="明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CrmModulesTable" displayName="CrmModulesTable" ref="A4:J14" headerRowCount="1" totalsRowCount="0" totalsRowShown="0">
  <x:autoFilter ref="A4:J14"/>
  <x:tableColumns count="10">
    <x:tableColumn id="1" name="模块ID"/>
    <x:tableColumn id="2" name="功能模块"/>
    <x:tableColumn id="3" name="当前可用能力"/>
    <x:tableColumn id="4" name="上线缺口"/>
    <x:tableColumn id="5" name="状态"/>
    <x:tableColumn id="6" name="历史权重（停用）"/>
    <x:tableColumn id="7" name="旧估算（停用）"/>
    <x:tableColumn id="8" name="优先级"/>
    <x:tableColumn id="9" name="历史开发标准（本轮不执行）"/>
    <x:tableColumn id="10" name="验收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4" name="CrmFinalizationBatches" displayName="CrmFinalizationBatches" ref="A23:P31" headerRowCount="1" totalsRowCount="0" totalsRowShown="0">
  <x:autoFilter ref="A23:P31"/>
  <x:tableColumns count="16">
    <x:tableColumn id="1" name="批次"/>
    <x:tableColumn id="2" name="业务"/>
    <x:tableColumn id="3" name="本批工作"/>
    <x:tableColumn id="4" name="完成条件"/>
    <x:tableColumn id="5" name="当前阶段"/>
    <x:tableColumn id="6" name="客户范围/规则确认"/>
    <x:tableColumn id="7" name="原型修改"/>
    <x:tableColumn id="8" name="业务验收"/>
    <x:tableColumn id="9" name="主写人"/>
    <x:tableColumn id="10" name="关键卡点"/>
    <x:tableColumn id="11" name="客户确认人"/>
    <x:tableColumn id="12" name="确认日期"/>
    <x:tableColumn id="13" name="验收证据"/>
    <x:tableColumn id="14" name="本批阻塞关闭"/>
    <x:tableColumn id="15" name="内部准备状态"/>
    <x:tableColumn id="16" name="内部评审证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6" name="CrmTasksTable" displayName="CrmTasksTable" ref="A4:V49" headerRowCount="1" totalsRowCount="0" totalsRowShown="0">
  <x:autoFilter ref="A4:V49"/>
  <x:tableColumns count="22">
    <x:tableColumn id="1" name="任务ID"/>
    <x:tableColumn id="2" name="功能模块"/>
    <x:tableColumn id="3" name="任务名称"/>
    <x:tableColumn id="4" name="类型"/>
    <x:tableColumn id="5" name="优先级"/>
    <x:tableColumn id="6" name="责任方"/>
    <x:tableColumn id="7" name="状态"/>
    <x:tableColumn id="8" name="计划开始"/>
    <x:tableColumn id="9" name="计划完成"/>
    <x:tableColumn id="10" name="完成标志（不折算%）"/>
    <x:tableColumn id="11" name="验收标准／完成条件"/>
    <x:tableColumn id="12" name="阻塞原因"/>
    <x:tableColumn id="13" name="下一步"/>
    <x:tableColumn id="14" name="里程碑"/>
    <x:tableColumn id="15" name="记录口径"/>
    <x:tableColumn id="16" name="业务批次"/>
    <x:tableColumn id="17" name="依赖"/>
    <x:tableColumn id="18" name="客户确认"/>
    <x:tableColumn id="19" name="原型修改"/>
    <x:tableColumn id="20" name="业务验收"/>
    <x:tableColumn id="21" name="来源/证据"/>
    <x:tableColumn id="22" name="实际维护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CrmAcceptanceTable" displayName="CrmAcceptanceTable" ref="A4:N34" headerRowCount="1" totalsRowCount="0" totalsRowShown="0">
  <x:autoFilter ref="A4:N34"/>
  <x:tableColumns count="14">
    <x:tableColumn id="1" name="编号"/>
    <x:tableColumn id="2" name="验收场景"/>
    <x:tableColumn id="3" name="自动验收内容"/>
    <x:tableColumn id="4" name="人工验收操作"/>
    <x:tableColumn id="5" name="当前结果"/>
    <x:tableColumn id="6" name="证据／说明"/>
    <x:tableColumn id="7" name="人工配合"/>
    <x:tableColumn id="8" name="复测触发"/>
    <x:tableColumn id="9" name="测试角色/数据"/>
    <x:tableColumn id="10" name="执行者"/>
    <x:tableColumn id="11" name="执行日期"/>
    <x:tableColumn id="12" name="业务批次"/>
    <x:tableColumn id="13" name="实际结果说明"/>
    <x:tableColumn id="14" name="客户签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1" name="CrmPendingTable" displayName="CrmPendingTable" ref="A4:O35" headerRowCount="1" totalsRowCount="0" totalsRowShown="0">
  <x:autoFilter ref="A4:O35"/>
  <x:tableColumns count="15">
    <x:tableColumn id="1" name="事项ID"/>
    <x:tableColumn id="2" name="类别"/>
    <x:tableColumn id="3" name="待确认／门槛"/>
    <x:tableColumn id="4" name="状态"/>
    <x:tableColumn id="5" name="责任方"/>
    <x:tableColumn id="6" name="影响"/>
    <x:tableColumn id="7" name="需要提供的资料／动作"/>
    <x:tableColumn id="8" name="完成后影响"/>
    <x:tableColumn id="9" name="确认人"/>
    <x:tableColumn id="10" name="确认日期"/>
    <x:tableColumn id="11" name="业务批次"/>
    <x:tableColumn id="12" name="现有依据"/>
    <x:tableColumn id="13" name="可选方案"/>
    <x:tableColumn id="14" name="阻塞定版"/>
    <x:tableColumn id="15" name="实际决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hyperlink" Target="../../docs/review/2026-10-14-sr-finance/SR-FINANCE-WALKTHROUGH.md" TargetMode="External" Id="R93ca5cbea6ab4396" /><ns0:Relationship Type="http://schemas.openxmlformats.org/officeDocument/2006/relationships/hyperlink" Target="../../docs/review/2026-10-14-sr-finance/SR-FINANCE-WALKTHROUGH.md" TargetMode="External" Id="R602921373fb6490d" /><ns0:Relationship Type="http://schemas.openxmlformats.org/officeDocument/2006/relationships/hyperlink" Target="../../prototype/index.html" TargetMode="External" Id="R09fc91f8b16049a5" /><ns0:Relationship Type="http://schemas.openxmlformats.org/officeDocument/2006/relationships/hyperlink" Target="../../project-hub/index.html" TargetMode="External" Id="Rba13a5860ba040cf" /><ns0:Relationship Type="http://schemas.openxmlformats.org/officeDocument/2006/relationships/hyperlink" Target="../../prototype/index.html" TargetMode="External" Id="R3833928f10d34eef" /><ns0:Relationship Type="http://schemas.openxmlformats.org/officeDocument/2006/relationships/table" Target="/xl/tables/table1.xml" Id="R85e06c37fa3643b1" /><ns0:Relationship Id="rIdHomeLink1" Type="http://schemas.openxmlformats.org/officeDocument/2006/relationships/hyperlink" Target="../../docs/review/2026-10-14-user-review/INTERNAL-REVIEW-CHECKLIST.md" TargetMode="External" /><ns0:Relationship Id="rIdHomeLink2" Type="http://schemas.openxmlformats.org/officeDocument/2006/relationships/hyperlink" Target="../../docs/review/2026-10-14-sr-finance/SR-FINANCE-WALKTHROUGH.md" TargetMode="External" /><ns0:Relationship Id="rIdHomeLink3" Type="http://schemas.openxmlformats.org/officeDocument/2006/relationships/hyperlink" Target="../../prototype/index.html" TargetMode="External" /><ns0:Relationship Id="rIdHomeLink4" Type="http://schemas.openxmlformats.org/officeDocument/2006/relationships/hyperlink" Target="../../project-hub/index.html" TargetMode="External" /><ns0:Relationship Id="rIdHomeLink5" Type="http://schemas.openxmlformats.org/officeDocument/2006/relationships/hyperlink" Target="../../prototype/index.html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f128e95e314234" /><Relationship Type="http://schemas.openxmlformats.org/officeDocument/2006/relationships/table" Target="/xl/tables/table3.xml" Id="R359724170c4044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bb28dcb4014c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1e16d92ddc47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e485a3721ef4b15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1" max="1" width="4.440000057220459" hidden="0" customWidth="1"/>
    <col min="2" max="2" width="23.329999923706055" hidden="0" customWidth="1"/>
    <col min="3" max="3" width="21.670000076293945" hidden="0" customWidth="1"/>
    <col min="4" max="4" width="13.109999656677246" hidden="0" customWidth="1"/>
    <col min="5" max="5" width="35.560001373291016" hidden="0" customWidth="1"/>
    <col min="6" max="6" width="16.110000610351562" hidden="0" customWidth="1"/>
    <col min="7" max="7" width="12.220000267028809" hidden="0" customWidth="1"/>
    <col min="8" max="8" width="34" hidden="0" customWidth="1"/>
  </cols>
  <sheetData>
    <row r="1" ht="23" customHeight="1">
      <c r="A1" s="201"/>
      <c r="B1" s="201"/>
      <c r="C1" s="201"/>
      <c r="D1" s="201"/>
      <c r="E1" s="201"/>
      <c r="F1" s="201"/>
      <c r="G1" s="201"/>
      <c r="H1"/>
    </row>
    <row r="2" ht="32" customHeight="1">
      <c r="A2" s="202" t="str">
        <v>EC项目推进</v>
      </c>
      <c r="B2" s="202"/>
      <c r="C2" s="202"/>
      <c r="D2" s="202"/>
      <c r="E2" s="202"/>
      <c r="F2" s="202"/>
      <c r="G2" s="202"/>
      <c r="H2"/>
    </row>
    <row r="3" ht="32" customHeight="1">
      <c r="A3" s="203" t="str">
        <v>当前：7组已整改局部流程已列供你审查；我继续核打印/领单并修无物料显示。整链未通过，0批冻结。</v>
      </c>
      <c r="B3" s="203"/>
      <c r="C3" s="203"/>
      <c r="D3" s="203"/>
      <c r="E3" s="203"/>
      <c r="F3" s="203"/>
      <c r="G3" s="203"/>
    </row>
    <row r="4" ht="23" customHeight="1">
      <c r="A4" s="201"/>
      <c r="B4" s="201"/>
      <c r="C4" s="201"/>
      <c r="D4" s="201"/>
      <c r="E4" s="201"/>
      <c r="F4" s="201"/>
      <c r="G4" s="201"/>
      <c r="H4"/>
    </row>
    <row r="5" ht="30" customHeight="1">
      <c r="A5" s="229" t="str">
        <v>本轮三件事</v>
      </c>
      <c r="B5" s="229"/>
      <c r="C5" s="229"/>
      <c r="D5" s="229"/>
      <c r="E5" s="229"/>
      <c r="F5" s="229"/>
      <c r="G5" s="229"/>
      <c r="H5"/>
    </row>
    <row r="6" ht="32" customHeight="1">
      <c r="A6" s="203" t="str">
        <v>先内部走通，再客户定稿，顺序已确认。技术验证由我完成，你一次只看一个具体问题。</v>
      </c>
      <c r="B6" s="203"/>
      <c r="C6" s="203"/>
      <c r="D6" s="203"/>
      <c r="E6" s="203"/>
      <c r="F6" s="203"/>
      <c r="G6" s="203"/>
      <c r="H6"/>
    </row>
    <row r="7" ht="23" customHeight="1">
      <c r="A7" s="201"/>
      <c r="B7" s="201"/>
      <c r="C7" s="201"/>
      <c r="D7" s="201"/>
      <c r="E7" s="201"/>
      <c r="F7" s="201"/>
      <c r="G7" s="201"/>
      <c r="H7"/>
    </row>
    <row r="8" ht="34" customHeight="1">
      <c r="A8" s="232" t="str">
        <v>顺序</v>
      </c>
      <c r="B8" s="232" t="str">
        <v>做什么</v>
      </c>
      <c r="C8" s="232" t="str">
        <v>谁来做</v>
      </c>
      <c r="D8" s="232" t="str">
        <v>任务状态</v>
      </c>
      <c r="E8" s="232" t="str">
        <v>本轮怎样算完成</v>
      </c>
      <c r="F8" s="232" t="str">
        <v>打开哪里</v>
      </c>
      <c r="G8" s="232" t="str">
        <v>计划完成</v>
      </c>
    </row>
    <row r="9" ht="94" customHeight="1">
      <c r="A9" s="233" t="n">
        <v>1</v>
      </c>
      <c r="B9" s="233" t="str">
        <v>你审查7组局部流程</v>
      </c>
      <c r="C9" s="233" t="str">
        <v>你审查业务表达
Codex整理复核</v>
      </c>
      <c r="D9" s="233" t="str">
        <f>INDEX('推进明细'!$G$5:$G$49,MATCH("TASK-041",'推进明细'!$A$5:$A$49,0))</f>
        <v>进行中</v>
      </c>
      <c r="E9" s="233" t="str">
        <v>先看A5派工备注、A6维修CP；按清单入口/岗位/样例检查，回复认可/有问题/未看。意见未取得，不代签客户UAT。</v>
      </c>
      <c r="F9" s="234" t="str">
        <v>打开审查清单</v>
      </c>
      <c r="G9" s="235" t="str">
        <f>IF(INDEX('推进明细'!$I$5:$I$49,MATCH("TASK-041",'推进明细'!$A$5:$A$49,0))="","待排期",INDEX('推进明细'!$I$5:$I$49,MATCH("TASK-041",'推进明细'!$A$5:$A$49,0)))</f>
        <v>待排期</v>
      </c>
      <c r="H9"/>
    </row>
    <row r="10" ht="94" customHeight="1">
      <c r="A10" s="236" t="n">
        <v>2</v>
      </c>
      <c r="B10" s="236" t="str">
        <v>我继续修明确缺口</v>
      </c>
      <c r="C10" s="236" t="str">
        <v>Codex走查与修复</v>
      </c>
      <c r="D10" s="236" t="str">
        <f>INDEX('推进明细'!$G$5:$G$49,MATCH("TASK-040",'推进明细'!$A$5:$A$49,0))</f>
        <v>进行中</v>
      </c>
      <c r="E10" s="236" t="str">
        <v>SF-06无物料已成交报价列表/交付统一显示无需物料，002只读复测；材料003待备货保持，不自动置齐。</v>
      </c>
      <c r="F10" s="237" t="str">
        <v>查看本轮证据</v>
      </c>
      <c r="G10" s="238" t="str">
        <f>IF(INDEX('推进明细'!$I$5:$I$49,MATCH("TASK-040",'推进明细'!$A$5:$A$49,0))="","待排期",INDEX('推进明细'!$I$5:$I$49,MATCH("TASK-040",'推进明细'!$A$5:$A$49,0)))</f>
        <v>待排期</v>
      </c>
      <c r="H10"/>
    </row>
    <row r="11" ht="94" customHeight="1">
      <c r="A11" s="233" t="n">
        <v>3</v>
      </c>
      <c r="B11" s="233" t="str">
        <v>我继续材料和服务单</v>
      </c>
      <c r="C11" s="233" t="str">
        <v>Codex整理与整合</v>
      </c>
      <c r="D11" s="233" t="str">
        <f>INDEX('推进明细'!$G$5:$G$49,MATCH("TASK-044",'推进明细'!$A$5:$A$49,0))</f>
        <v>进行中</v>
      </c>
      <c r="E11" s="233" t="str">
        <v>打印已核源数据/现场空白区；报价打印与CP/SR打印区分。C-08打印交付岗位、C-09号段细则未决；先准备只读样张。</v>
      </c>
      <c r="F11" s="234" t="str">
        <v>打开当前原型</v>
      </c>
      <c r="G11" s="235" t="str">
        <f>IF(INDEX('推进明细'!$I$5:$I$49,MATCH("TASK-044",'推进明细'!$A$5:$A$49,0))="","待排期",INDEX('推进明细'!$I$5:$I$49,MATCH("TASK-044",'推进明细'!$A$5:$A$49,0)))</f>
        <v>待排期</v>
      </c>
      <c r="H11"/>
    </row>
    <row r="12" ht="32" customHeight="1">
      <c r="A12" s="203" t="str">
        <v>看法：推进表看责任和完成条件，原型看操作，Hub看依据。局部通过不算整批验收；测试成交/笔迹/照片不是真实签批。</v>
      </c>
      <c r="B12" s="203"/>
      <c r="C12" s="203"/>
      <c r="D12" s="203"/>
      <c r="E12" s="203"/>
      <c r="F12" s="203"/>
      <c r="G12" s="203"/>
      <c r="H12"/>
    </row>
    <row r="13" ht="23" customHeight="1">
      <c r="A13" s="201"/>
      <c r="B13" s="201"/>
      <c r="C13" s="201"/>
      <c r="D13" s="201"/>
      <c r="E13" s="201"/>
      <c r="F13" s="201"/>
      <c r="G13" s="201"/>
      <c r="H13"/>
    </row>
    <row r="14" ht="30" customHeight="1">
      <c r="A14" s="229" t="str">
        <v>三个入口怎么结合看</v>
      </c>
      <c r="B14" s="229"/>
      <c r="C14" s="229"/>
      <c r="D14" s="229"/>
      <c r="E14" s="229"/>
      <c r="F14" s="229"/>
      <c r="G14" s="229"/>
      <c r="H14"/>
    </row>
    <row r="15" ht="23" customHeight="1">
      <c r="A15" s="201"/>
      <c r="B15" s="209" t="str">
        <v>推进表：看本轮动作</v>
      </c>
      <c r="C15" s="209" t="str">
        <v>知识库：查规则依据</v>
      </c>
      <c r="D15" s="201"/>
      <c r="E15" s="209" t="str">
        <v>原型：验证实际操作</v>
      </c>
      <c r="F15" s="201"/>
      <c r="G15" s="201"/>
      <c r="H15"/>
    </row>
    <row r="16" ht="32" customHeight="1">
      <c r="A16" s="203" t="str">
        <v>用Hub核对规则，实际操作原型，结果与证据回填推进表。技术问题由团队处理，业务未决项留待客户。</v>
      </c>
      <c r="B16" s="203"/>
      <c r="C16" s="203"/>
      <c r="D16" s="203"/>
      <c r="E16" s="203"/>
      <c r="F16" s="203"/>
      <c r="G16" s="203"/>
      <c r="H16"/>
    </row>
    <row r="17" ht="23" customHeight="1">
      <c r="A17" s="201"/>
      <c r="B17" s="201"/>
      <c r="C17" s="201"/>
      <c r="D17" s="201"/>
      <c r="E17" s="201"/>
      <c r="F17" s="201"/>
      <c r="G17" s="201"/>
      <c r="H17"/>
    </row>
    <row r="18" ht="30" customHeight="1">
      <c r="A18" s="229" t="str">
        <v>已有内部成果（本轮保持）</v>
      </c>
      <c r="B18" s="229"/>
      <c r="C18" s="229"/>
      <c r="D18" s="229"/>
      <c r="E18" s="229"/>
      <c r="F18" s="229"/>
      <c r="G18" s="229"/>
      <c r="H18"/>
    </row>
    <row r="19" ht="23" customHeight="1">
      <c r="A19" s="201"/>
      <c r="B19" s="201" t="str">
        <v>27个基础/主链/异常点资料核对</v>
      </c>
      <c r="C19" s="201"/>
      <c r="D19" s="201" t="str">
        <f>INDEX('推进明细'!$G$5:$G$49,MATCH("TASK-039",'推进明细'!$A$5:$A$49,0))</f>
        <v>已完成</v>
      </c>
      <c r="E19" s="201" t="str">
        <v>2组明确整改及限定场景复测</v>
      </c>
      <c r="F19" s="201"/>
      <c r="G19" s="201" t="str">
        <v>局部通过；整链未通过</v>
      </c>
      <c r="H19"/>
    </row>
    <row r="20" ht="32" customHeight="1">
      <c r="A20" s="203" t="str">
        <v>本轮新增7组用户审查清单/Hub入口；修SF-06并核打印来源。原7组历史成果不重计，用户意见/客户验收未取得。</v>
      </c>
      <c r="B20" s="203"/>
      <c r="C20" s="203"/>
      <c r="D20" s="203"/>
      <c r="E20" s="203"/>
      <c r="F20" s="203"/>
      <c r="G20" s="203"/>
      <c r="H20"/>
    </row>
    <row r="21" ht="23" customHeight="1">
      <c r="A21" s="201"/>
      <c r="B21" s="201"/>
      <c r="C21" s="201"/>
      <c r="D21" s="201"/>
      <c r="E21" s="201"/>
      <c r="F21" s="201"/>
      <c r="G21" s="201"/>
      <c r="H21"/>
    </row>
    <row r="22" ht="30" customHeight="1">
      <c r="A22" s="229" t="str">
        <v>后续七批：按顺序推进，需要时再看</v>
      </c>
      <c r="B22" s="229"/>
      <c r="C22" s="229"/>
      <c r="D22" s="229"/>
      <c r="E22" s="229"/>
      <c r="F22" s="229"/>
      <c r="G22" s="229"/>
      <c r="H22"/>
    </row>
    <row r="23" ht="23" customHeight="1">
      <c r="A23" s="201"/>
      <c r="B23" s="201"/>
      <c r="C23" s="201"/>
      <c r="D23" s="201"/>
      <c r="E23" s="201"/>
      <c r="F23" s="201"/>
      <c r="G23" s="201"/>
      <c r="H23"/>
    </row>
    <row r="24" ht="34" customHeight="1">
      <c r="A24" s="232" t="str">
        <v>批次</v>
      </c>
      <c r="B24" s="232" t="str">
        <v>业务</v>
      </c>
      <c r="C24" s="232" t="str">
        <v>当前阶段</v>
      </c>
      <c r="D24" s="232" t="str">
        <v>客户确认</v>
      </c>
      <c r="E24" s="232" t="str">
        <v>原型修改</v>
      </c>
      <c r="F24" s="232" t="str">
        <v>业务验收</v>
      </c>
      <c r="G24" s="232" t="str">
        <v>明细</v>
      </c>
      <c r="H24"/>
    </row>
    <row r="25" ht="38" customHeight="1">
      <c r="A25" s="201" t="str">
        <f>'功能模块'!A25</f>
        <v>B01</v>
      </c>
      <c r="B25" s="201" t="str">
        <f>'功能模块'!B25</f>
        <v>公共基础</v>
      </c>
      <c r="C25" s="201" t="str">
        <f>'功能模块'!E25</f>
        <v>走查中</v>
      </c>
      <c r="D25" s="201" t="str">
        <f>'功能模块'!F25</f>
        <v>待确认</v>
      </c>
      <c r="E25" s="201" t="str">
        <f>'功能模块'!G25</f>
        <v>整改中</v>
      </c>
      <c r="F25" s="201" t="str">
        <f>'功能模块'!H25</f>
        <v>未业务验收</v>
      </c>
      <c r="G25" s="209" t="str">
        <v>查看本批</v>
      </c>
      <c r="H25"/>
    </row>
    <row r="26" ht="38" customHeight="1">
      <c r="A26" s="201" t="str">
        <f>'功能模块'!A26</f>
        <v>B02</v>
      </c>
      <c r="B26" s="201" t="str">
        <f>'功能模块'!B26</f>
        <v>第一条维修链</v>
      </c>
      <c r="C26" s="201" t="str">
        <f>'功能模块'!E26</f>
        <v>走查中</v>
      </c>
      <c r="D26" s="201" t="str">
        <f>'功能模块'!F26</f>
        <v>待确认</v>
      </c>
      <c r="E26" s="201" t="str">
        <f>'功能模块'!G26</f>
        <v>整改中</v>
      </c>
      <c r="F26" s="201" t="str">
        <f>'功能模块'!H26</f>
        <v>未业务验收</v>
      </c>
      <c r="G26" s="209" t="str">
        <v>查看本批</v>
      </c>
      <c r="H26"/>
    </row>
    <row r="27" ht="38" customHeight="1">
      <c r="A27" s="201" t="str">
        <f>'功能模块'!A27</f>
        <v>B03</v>
      </c>
      <c r="B27" s="201" t="str">
        <f>'功能模块'!B27</f>
        <v>保养与二次维修</v>
      </c>
      <c r="C27" s="201" t="str">
        <f>'功能模块'!E27</f>
        <v>待内部梳理/走查</v>
      </c>
      <c r="D27" s="201" t="str">
        <f>'功能模块'!F27</f>
        <v>待确认</v>
      </c>
      <c r="E27" s="201" t="str">
        <f>'功能模块'!G27</f>
        <v>未整改</v>
      </c>
      <c r="F27" s="201" t="str">
        <f>'功能模块'!H27</f>
        <v>未业务验收</v>
      </c>
      <c r="G27" s="209" t="str">
        <v>查看本批</v>
      </c>
    </row>
    <row r="28" ht="38" customHeight="1">
      <c r="A28" s="201" t="str">
        <f>'功能模块'!A28</f>
        <v>B04</v>
      </c>
      <c r="B28" s="201" t="str">
        <f>'功能模块'!B28</f>
        <v>标书业务</v>
      </c>
      <c r="C28" s="201" t="str">
        <f>'功能模块'!E28</f>
        <v>待内部梳理/走查</v>
      </c>
      <c r="D28" s="201" t="str">
        <f>'功能模块'!F28</f>
        <v>待确认</v>
      </c>
      <c r="E28" s="201" t="str">
        <f>'功能模块'!G28</f>
        <v>未整改</v>
      </c>
      <c r="F28" s="201" t="str">
        <f>'功能模块'!H28</f>
        <v>未业务验收</v>
      </c>
      <c r="G28" s="209" t="str">
        <v>查看本批</v>
      </c>
      <c r="H28"/>
    </row>
    <row r="29" ht="38" customHeight="1">
      <c r="A29" s="201" t="str">
        <f>'功能模块'!A29</f>
        <v>B05</v>
      </c>
      <c r="B29" s="201" t="str">
        <f>'功能模块'!B29</f>
        <v>财务业务</v>
      </c>
      <c r="C29" s="201" t="str">
        <f>'功能模块'!E29</f>
        <v>走查中</v>
      </c>
      <c r="D29" s="201" t="str">
        <f>'功能模块'!F29</f>
        <v>待确认</v>
      </c>
      <c r="E29" s="201" t="str">
        <f>'功能模块'!G29</f>
        <v>整改中</v>
      </c>
      <c r="F29" s="201" t="str">
        <f>'功能模块'!H29</f>
        <v>未业务验收</v>
      </c>
      <c r="G29" s="209" t="str">
        <v>查看本批</v>
      </c>
      <c r="H29"/>
    </row>
    <row r="30" ht="38" customHeight="1">
      <c r="A30" s="201" t="str">
        <f>'功能模块'!A30</f>
        <v>B06</v>
      </c>
      <c r="B30" s="201" t="str">
        <f>'功能模块'!B30</f>
        <v>跨流程例外</v>
      </c>
      <c r="C30" s="201" t="str">
        <f>'功能模块'!E30</f>
        <v>待内部梳理/走查</v>
      </c>
      <c r="D30" s="201" t="str">
        <f>'功能模块'!F30</f>
        <v>待确认</v>
      </c>
      <c r="E30" s="201" t="str">
        <f>'功能模块'!G30</f>
        <v>未整改</v>
      </c>
      <c r="F30" s="201" t="str">
        <f>'功能模块'!H30</f>
        <v>未业务验收</v>
      </c>
      <c r="G30" s="209" t="str">
        <v>查看本批</v>
      </c>
    </row>
    <row r="31" ht="38" customHeight="1">
      <c r="A31" s="201" t="str">
        <f>'功能模块'!A31</f>
        <v>B07</v>
      </c>
      <c r="B31" s="201" t="str">
        <f>'功能模块'!B31</f>
        <v>全链定版</v>
      </c>
      <c r="C31" s="201" t="str">
        <f>'功能模块'!E31</f>
        <v>待内部梳理/走查</v>
      </c>
      <c r="D31" s="201" t="str">
        <f>'功能模块'!F31</f>
        <v>待确认</v>
      </c>
      <c r="E31" s="201" t="str">
        <f>'功能模块'!G31</f>
        <v>未整改</v>
      </c>
      <c r="F31" s="201" t="str">
        <f>'功能模块'!H31</f>
        <v>未业务验收</v>
      </c>
      <c r="G31" s="209" t="str">
        <v>查看本批</v>
      </c>
    </row>
    <row r="32" ht="23" customHeight="1">
      <c r="A32" s="201"/>
      <c r="B32" s="201"/>
      <c r="C32" s="201"/>
      <c r="D32" s="201"/>
      <c r="E32" s="201"/>
      <c r="F32" s="201"/>
      <c r="G32" s="201"/>
    </row>
    <row r="33" ht="32" customHeight="1">
      <c r="A33" s="203" t="str">
        <v>定稿条件：客户确认、原型修改、业务验收均完成，且签收与证据齐全、阻塞问题已关闭。</v>
      </c>
      <c r="B33" s="203"/>
      <c r="C33" s="203"/>
      <c r="D33" s="203"/>
      <c r="E33" s="203"/>
      <c r="F33" s="203"/>
      <c r="G33" s="203"/>
    </row>
    <row r="34" ht="23" customHeight="1">
      <c r="A34" s="201"/>
      <c r="B34" s="201"/>
      <c r="C34" s="201"/>
      <c r="D34" s="201"/>
      <c r="E34" s="201"/>
      <c r="F34" s="201"/>
      <c r="G34" s="201"/>
    </row>
    <row r="35" ht="23" customHeight="1">
      <c r="A35" s="201"/>
      <c r="B35" s="201" t="str">
        <f>COUNTIFS('待确认与上线'!$D$20:$D$35,"待确认")&amp;" 个客户决策主题待确认"</f>
        <v>16 个客户决策主题待确认</v>
      </c>
      <c r="C35" s="201"/>
      <c r="D35" s="201"/>
      <c r="E35" s="201"/>
      <c r="F35" s="201" t="str">
        <f>COUNTIFS('功能模块'!$E$25:$E$31,"已冻结")&amp;" 个批次已冻结"</f>
        <v>0 个批次已冻结</v>
      </c>
      <c r="G35" s="201"/>
    </row>
    <row r="36" ht="23" customHeight="1">
      <c r="A36" s="201"/>
      <c r="B36" s="201"/>
      <c r="C36" s="201"/>
      <c r="D36" s="201"/>
      <c r="E36" s="201"/>
      <c r="F36" s="201"/>
      <c r="G36" s="201"/>
    </row>
    <row r="37" ht="32" customHeight="1">
      <c r="A37" s="203" t="str">
        <v>维护方式：任务状态、负责人和日期只在“推进明细”回填。首页按任务编号读取，不另维护进度。</v>
      </c>
      <c r="B37" s="203"/>
      <c r="C37" s="203"/>
      <c r="D37" s="203"/>
      <c r="E37" s="203"/>
      <c r="F37" s="203"/>
      <c r="G37" s="203"/>
    </row>
    <row r="38" ht="23" customHeight="1">
      <c r="A38" s="201"/>
      <c r="B38" s="201"/>
      <c r="C38" s="201"/>
      <c r="D38" s="201"/>
      <c r="E38" s="201"/>
      <c r="F38" s="201"/>
      <c r="G38" s="201"/>
    </row>
    <row r="39" ht="23" customHeight="1">
      <c r="A39" s="201"/>
      <c r="B39" s="201"/>
      <c r="C39" s="201"/>
      <c r="D39" s="201"/>
      <c r="E39" s="201"/>
      <c r="F39" s="201"/>
      <c r="G39" s="201"/>
    </row>
    <row r="40" ht="23" customHeight="1">
      <c r="A40" s="201"/>
      <c r="B40" s="201"/>
      <c r="C40" s="201"/>
      <c r="D40" s="201"/>
      <c r="E40" s="201"/>
      <c r="F40" s="201"/>
      <c r="G40" s="201"/>
    </row>
  </sheetData>
  <mergeCells>
    <mergeCell ref="A2:G2"/>
    <mergeCell ref="A3:G3"/>
    <mergeCell ref="A5:G5"/>
    <mergeCell ref="A6:G6"/>
    <mergeCell ref="A12:G12"/>
    <mergeCell ref="A14:G14"/>
    <mergeCell ref="A16:G16"/>
    <mergeCell ref="A18:G18"/>
    <mergeCell ref="A20:G20"/>
    <mergeCell ref="A22:G22"/>
    <mergeCell ref="A33:G33"/>
    <mergeCell ref="B35:E35"/>
    <mergeCell ref="F35:G35"/>
    <mergeCell ref="A37:G37"/>
  </mergeCells>
  <conditionalFormatting sqref="D9:D11">
    <cfRule type="containsText" dxfId="80" priority="1" operator="containsText" text="待"/>
    <cfRule type="cellIs" dxfId="81" priority="2" operator="equal">
      <formula>"已完成"</formula>
    </cfRule>
  </conditionalFormatting>
  <hyperlinks>
    <hyperlink ref="F9" display="打开审查清单" r:id="rIdHomeLink1"/>
    <hyperlink ref="F10" display="查看本轮证据" r:id="rIdHomeLink2"/>
    <hyperlink ref="F11" display="打开当前原型" r:id="rIdHomeLink3"/>
    <hyperlink ref="B15" display="推进表：看本轮动作" location="'项目总览'!A5"/>
    <hyperlink ref="C15" display="知识库：查规则依据" r:id="rIdHomeLink4"/>
    <hyperlink ref="E15" display="原型：验证实际操作" r:id="rIdHomeLink5"/>
    <hyperlink ref="G25" display="查看本批" location="'功能模块'!A25"/>
    <hyperlink ref="G26" display="查看本批" location="'功能模块'!A26"/>
    <hyperlink ref="G27" display="查看本批" location="'功能模块'!A27"/>
    <hyperlink ref="G28" display="查看本批" location="'功能模块'!A28"/>
    <hyperlink ref="G29" display="查看本批" location="'功能模块'!A29"/>
    <hyperlink ref="G30" display="查看本批" location="'功能模块'!A30"/>
    <hyperlink ref="G31" display="查看本批" location="'功能模块'!A31"/>
  </hyperlinks>
  <pageMargins left="0.7" right="0.7" top="0.75" bottom="0.75" header="0.3" footer="0.3"/>
  <tableParts count="1">
    <tablePart r:id="R85e06c37fa3643b1"/>
  </tableParts>
</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2" hidden="0" customWidth="1"/>
    <x:col min="4" max="4" width="20" hidden="0" customWidth="1"/>
    <x:col min="5" max="5" width="38" hidden="0" customWidth="1"/>
    <x:col min="6" max="6" width="46" hidden="0" customWidth="1"/>
    <x:col min="7" max="7" width="13" hidden="0" customWidth="1"/>
    <x:col min="8" max="8" width="10" hidden="0" customWidth="1"/>
    <x:col min="9" max="9" width="14" hidden="0" customWidth="1"/>
    <x:col min="10" max="10" width="4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4" hidden="0" customWidth="1"/>
    <x:col min="18" max="18" width="28" hidden="0" customWidth="1"/>
    <x:col min="19" max="19" width="18" hidden="0" customWidth="1"/>
    <x:col min="20" max="20" width="18" hidden="0" customWidth="1"/>
  </x:cols>
  <x:sheetData>
    <x:row r="1" ht="34" customHeight="1">
      <x:c r="A1" s="3" t="str">
        <x:v>需求明细｜按模块与功能拆分</x:v>
      </x:c>
      <x:c r="B1" s="3" t="str">
        <x:v>需求明细｜按模块与功能拆分</x:v>
      </x:c>
      <x:c r="C1" s="3" t="str">
        <x:v>需求明细｜按模块与功能拆分</x:v>
      </x:c>
      <x:c r="D1" s="3" t="str">
        <x:v>需求明细｜按模块与功能拆分</x:v>
      </x:c>
      <x:c r="E1" s="3" t="str">
        <x:v>需求明细｜按模块与功能拆分</x:v>
      </x:c>
      <x:c r="F1" s="3" t="str">
        <x:v>需求明细｜按模块与功能拆分</x:v>
      </x:c>
      <x:c r="G1" s="3" t="str">
        <x:v>需求明细｜按模块与功能拆分</x:v>
      </x:c>
      <x:c r="H1" s="3" t="str">
        <x:v>需求明细｜按模块与功能拆分</x:v>
      </x:c>
      <x:c r="I1" s="3" t="str">
        <x:v>需求明细｜按模块与功能拆分</x:v>
      </x:c>
      <x:c r="J1" s="3" t="str">
        <x:v>需求明细｜按模块与功能拆分</x:v>
      </x:c>
      <x:c r="K1" s="3" t="str">
        <x:v>需求明细｜按模块与功能拆分</x:v>
      </x:c>
    </x:row>
    <x:row r="2" ht="25" customHeight="1">
      <x:c r="A2" s="113" t="str">
        <x:v>2026-10-12定稿准备：保留旧功能编号；旧状态不代表本期批准，新要求按原文登记，客户确认/原型修改/业务验收分别记录。</x:v>
      </x:c>
      <x:c r="B2" s="113" t="str">
        <x:v>两级结构：功能模块 → 具体功能。当前状态基于 2026-08-31 仓库、PRD、原型与 GitHub 证据；未确认内容明确标记，原型能力不等同生产交付。</x:v>
      </x:c>
      <x:c r="C2" s="113" t="str">
        <x:v>两级结构：功能模块 → 具体功能。当前状态基于 2026-08-31 仓库、PRD、原型与 GitHub 证据；未确认内容明确标记，原型能力不等同生产交付。</x:v>
      </x:c>
      <x:c r="D2" s="113" t="str">
        <x:v>两级结构：功能模块 → 具体功能。当前状态基于 2026-08-31 仓库、PRD、原型与 GitHub 证据；未确认内容明确标记，原型能力不等同生产交付。</x:v>
      </x:c>
      <x:c r="E2" s="113" t="str">
        <x:v>两级结构：功能模块 → 具体功能。当前状态基于 2026-08-31 仓库、PRD、原型与 GitHub 证据；未确认内容明确标记，原型能力不等同生产交付。</x:v>
      </x:c>
      <x:c r="F2" s="113" t="str">
        <x:v>两级结构：功能模块 → 具体功能。当前状态基于 2026-08-31 仓库、PRD、原型与 GitHub 证据；未确认内容明确标记，原型能力不等同生产交付。</x:v>
      </x:c>
      <x:c r="G2" s="113" t="str">
        <x:v>两级结构：功能模块 → 具体功能。当前状态基于 2026-08-31 仓库、PRD、原型与 GitHub 证据；未确认内容明确标记，原型能力不等同生产交付。</x:v>
      </x:c>
      <x:c r="H2" s="113" t="str">
        <x:v>两级结构：功能模块 → 具体功能。当前状态基于 2026-08-31 仓库、PRD、原型与 GitHub 证据；未确认内容明确标记，原型能力不等同生产交付。</x:v>
      </x:c>
      <x:c r="I2" s="113" t="str">
        <x:v>两级结构：功能模块 → 具体功能。当前状态基于 2026-08-31 仓库、PRD、原型与 GitHub 证据；未确认内容明确标记，原型能力不等同生产交付。</x:v>
      </x:c>
      <x:c r="J2" s="113" t="str">
        <x:v>两级结构：功能模块 → 具体功能。当前状态基于 2026-08-31 仓库、PRD、原型与 GitHub 证据；未确认内容明确标记，原型能力不等同生产交付。</x:v>
      </x:c>
      <x:c r="K2" s="113" t="str">
        <x:v>两级结构：功能模块 → 具体功能。当前状态基于 2026-08-31 仓库、PRD、原型与 GitHub 证据；未确认内容明确标记，原型能力不等同生产交付。</x:v>
      </x:c>
    </x:row>
    <x:row r="3" ht="8" customHeight="1"/>
    <x:row r="4" ht="34" customHeight="1">
      <x:c r="A4" s="90" t="str">
        <x:v>模块ID</x:v>
      </x:c>
      <x:c r="B4" s="91" t="str">
        <x:v>功能模块</x:v>
      </x:c>
      <x:c r="C4" s="91" t="str">
        <x:v>功能ID</x:v>
      </x:c>
      <x:c r="D4" s="91" t="str">
        <x:v>功能名称</x:v>
      </x:c>
      <x:c r="E4" s="91" t="str">
        <x:v>功能需求</x:v>
      </x:c>
      <x:c r="F4" s="91" t="str">
        <x:v>业务规则／边界</x:v>
      </x:c>
      <x:c r="G4" s="91" t="str">
        <x:v>范围</x:v>
      </x:c>
      <x:c r="H4" s="91" t="str">
        <x:v>优先级</x:v>
      </x:c>
      <x:c r="I4" s="91" t="str">
        <x:v>当前状态</x:v>
      </x:c>
      <x:c r="J4" s="91" t="str">
        <x:v>验收标准</x:v>
      </x:c>
      <x:c r="K4" s="92" t="str">
        <x:v>关联任务／验收</x:v>
      </x:c>
      <x:c r="L4" s="167" t="str">
        <x:v>客户确认</x:v>
      </x:c>
      <x:c r="M4" s="167" t="str">
        <x:v>原型修改</x:v>
      </x:c>
      <x:c r="N4" s="167" t="str">
        <x:v>业务验收</x:v>
      </x:c>
      <x:c r="O4" s="167" t="str">
        <x:v>业务批次</x:v>
      </x:c>
      <x:c r="P4" s="167" t="str">
        <x:v>证据状态</x:v>
      </x:c>
      <x:c r="Q4" s="167" t="str">
        <x:v>来源文件及位置</x:v>
      </x:c>
      <x:c r="R4" s="167" t="str">
        <x:v>关联旧REQ</x:v>
      </x:c>
      <x:c r="S4" s="167" t="str">
        <x:v>实际确认人</x:v>
      </x:c>
      <x:c r="T4" s="167" t="str">
        <x:v>确认日期</x:v>
      </x:c>
    </x:row>
    <x:row r="5" ht="34" customHeight="1">
      <x:c r="A5" s="114" t="str">
        <x:v>M01</x:v>
      </x:c>
      <x:c r="B5" s="142" t="str">
        <x:v>需求与范围治理</x:v>
      </x:c>
      <x:c r="C5" s="114" t="str">
        <x:v>F01-01</x:v>
      </x:c>
      <x:c r="D5" s="114" t="str">
        <x:v>材料与需求归档</x:v>
      </x:c>
      <x:c r="E5" s="114" t="str">
        <x:v>整理会议纪要、纸质表单、流程材料及来源索引</x:v>
      </x:c>
      <x:c r="F5" s="114" t="str">
        <x:v>历史材料仅作证据，不自动等同客户确认</x:v>
      </x:c>
      <x:c r="G5" s="114" t="str">
        <x:v>历史范围表述，待本期确认</x:v>
      </x:c>
      <x:c r="H5" s="114" t="str">
        <x:v>P0</x:v>
      </x:c>
      <x:c r="I5" s="114" t="str">
        <x:v>历史条目待内容复核</x:v>
      </x:c>
      <x:c r="J5" s="114" t="str">
        <x:v>材料索引可追溯到原始来源</x:v>
      </x:c>
      <x:c r="K5" s="114" t="str">
        <x:v>TASK-001／A01</x:v>
      </x:c>
      <x:c r="L5" s="170" t="str">
        <x:v>待确认</x:v>
      </x:c>
      <x:c r="M5" s="170" t="str">
        <x:v>待当前版本复核</x:v>
      </x:c>
      <x:c r="N5" s="170" t="str">
        <x:v>未业务验收</x:v>
      </x:c>
      <x:c r="O5" s="170" t="str">
        <x:v>待逐项归批</x:v>
      </x:c>
      <x:c r="P5" s="170" t="str">
        <x:v>历史条目</x:v>
      </x:c>
      <x:c r="Q5" s="170" t="str">
        <x:v>旧主台账2026-08-31；最新差异见UPD条目</x:v>
      </x:c>
      <x:c r="R5" s="170" t="str">
        <x:v>待内容级映射</x:v>
      </x:c>
      <x:c r="S5" s="170" t="str"/>
      <x:c r="T5" s="178"/>
    </x:row>
    <x:row r="6" ht="34" customHeight="1">
      <x:c r="A6" s="115" t="str">
        <x:v>M01</x:v>
      </x:c>
      <x:c r="B6" s="142" t="str">
        <x:v>需求与范围治理</x:v>
      </x:c>
      <x:c r="C6" s="115" t="str">
        <x:v>F01-02</x:v>
      </x:c>
      <x:c r="D6" s="115" t="str">
        <x:v>一期 MVP PRD</x:v>
      </x:c>
      <x:c r="E6" s="115" t="str">
        <x:v>收敛目标、角色、流程、字段、验收与边界</x:v>
      </x:c>
      <x:c r="F6" s="115" t="str">
        <x:v>只有客户批准版本可进入生产计划</x:v>
      </x:c>
      <x:c r="G6" s="115" t="str">
        <x:v>历史范围表述，待本期确认</x:v>
      </x:c>
      <x:c r="H6" s="115" t="str">
        <x:v>P0</x:v>
      </x:c>
      <x:c r="I6" s="115" t="str">
        <x:v>历史条目待内容复核</x:v>
      </x:c>
      <x:c r="J6" s="115" t="str">
        <x:v>PRD 内容完整且客户书面批准</x:v>
      </x:c>
      <x:c r="K6" s="115" t="str">
        <x:v>TASK-002／A01</x:v>
      </x:c>
      <x:c r="L6" s="170" t="str">
        <x:v>待确认</x:v>
      </x:c>
      <x:c r="M6" s="170" t="str">
        <x:v>待当前版本复核</x:v>
      </x:c>
      <x:c r="N6" s="170" t="str">
        <x:v>未业务验收</x:v>
      </x:c>
      <x:c r="O6" s="170" t="str">
        <x:v>待逐项归批</x:v>
      </x:c>
      <x:c r="P6" s="170" t="str">
        <x:v>历史条目</x:v>
      </x:c>
      <x:c r="Q6" s="170" t="str">
        <x:v>旧主台账2026-08-31；最新差异见UPD条目</x:v>
      </x:c>
      <x:c r="R6" s="170" t="str">
        <x:v>待内容级映射</x:v>
      </x:c>
      <x:c r="S6" s="170" t="str"/>
      <x:c r="T6" s="178"/>
    </x:row>
    <x:row r="7" ht="34" customHeight="1">
      <x:c r="A7" s="116" t="str">
        <x:v>M01</x:v>
      </x:c>
      <x:c r="B7" s="142" t="str">
        <x:v>需求与范围治理</x:v>
      </x:c>
      <x:c r="C7" s="116" t="str">
        <x:v>F01-03</x:v>
      </x:c>
      <x:c r="D7" s="116" t="str">
        <x:v>范围与状态冻结</x:v>
      </x:c>
      <x:c r="E7" s="116" t="str">
        <x:v>确认 P0/P1/P2 及 7 状态／10 状态模型</x:v>
      </x:c>
      <x:c r="F7" s="116" t="str">
        <x:v>报价采购财务不得因原型存在而自动纳入一期</x:v>
      </x:c>
      <x:c r="G7" s="116" t="str">
        <x:v>历史范围表述，待本期确认</x:v>
      </x:c>
      <x:c r="H7" s="116" t="str">
        <x:v>P0</x:v>
      </x:c>
      <x:c r="I7" s="116" t="str">
        <x:v>历史条目待内容复核</x:v>
      </x:c>
      <x:c r="J7" s="116" t="str">
        <x:v>范围、状态及页面清单形成批准基线</x:v>
      </x:c>
      <x:c r="K7" s="116" t="str">
        <x:v>TASK-011～013／A02</x:v>
      </x:c>
      <x:c r="L7" s="170" t="str">
        <x:v>待确认</x:v>
      </x:c>
      <x:c r="M7" s="170" t="str">
        <x:v>待当前版本复核</x:v>
      </x:c>
      <x:c r="N7" s="170" t="str">
        <x:v>未业务验收</x:v>
      </x:c>
      <x:c r="O7" s="170" t="str">
        <x:v>待逐项归批</x:v>
      </x:c>
      <x:c r="P7" s="170" t="str">
        <x:v>历史条目</x:v>
      </x:c>
      <x:c r="Q7" s="170" t="str">
        <x:v>旧主台账2026-08-31；最新差异见UPD条目</x:v>
      </x:c>
      <x:c r="R7" s="170" t="str">
        <x:v>待内容级映射</x:v>
      </x:c>
      <x:c r="S7" s="170" t="str"/>
      <x:c r="T7" s="178"/>
    </x:row>
    <x:row r="8" ht="34" customHeight="1">
      <x:c r="A8" s="115" t="str">
        <x:v>M01</x:v>
      </x:c>
      <x:c r="B8" s="142" t="str">
        <x:v>需求与范围治理</x:v>
      </x:c>
      <x:c r="C8" s="115" t="str">
        <x:v>F01-04</x:v>
      </x:c>
      <x:c r="D8" s="115" t="str">
        <x:v>实施包补全</x:v>
      </x:c>
      <x:c r="E8" s="115" t="str">
        <x:v>形成 plan.md、tasks.md 与可重复验收记录</x:v>
      </x:c>
      <x:c r="F8" s="115" t="str">
        <x:v>必须基于已批准 PRD，不新增未确认内容</x:v>
      </x:c>
      <x:c r="G8" s="115" t="str">
        <x:v>后续阶段（本轮不执行）</x:v>
      </x:c>
      <x:c r="H8" s="115" t="str">
        <x:v>P0</x:v>
      </x:c>
      <x:c r="I8" s="115" t="str">
        <x:v>历史条目待内容复核</x:v>
      </x:c>
      <x:c r="J8" s="115" t="str">
        <x:v>Feature 包完整且任务可追溯</x:v>
      </x:c>
      <x:c r="K8" s="115" t="str">
        <x:v>TASK-019～020／A01</x:v>
      </x:c>
      <x:c r="L8" s="170" t="str">
        <x:v>待确认</x:v>
      </x:c>
      <x:c r="M8" s="170" t="str">
        <x:v>待当前版本复核</x:v>
      </x:c>
      <x:c r="N8" s="170" t="str">
        <x:v>未业务验收</x:v>
      </x:c>
      <x:c r="O8" s="170" t="str">
        <x:v>待逐项归批</x:v>
      </x:c>
      <x:c r="P8" s="170" t="str">
        <x:v>历史条目</x:v>
      </x:c>
      <x:c r="Q8" s="170" t="str">
        <x:v>旧主台账2026-08-31；最新差异见UPD条目</x:v>
      </x:c>
      <x:c r="R8" s="170" t="str">
        <x:v>待内容级映射</x:v>
      </x:c>
      <x:c r="S8" s="170" t="str"/>
      <x:c r="T8" s="178"/>
    </x:row>
    <x:row r="9" ht="34" customHeight="1">
      <x:c r="A9" s="116" t="str">
        <x:v>M02</x:v>
      </x:c>
      <x:c r="B9" s="144" t="str">
        <x:v>交互原型与公网发布</x:v>
      </x:c>
      <x:c r="C9" s="116" t="str">
        <x:v>F02-01</x:v>
      </x:c>
      <x:c r="D9" s="116" t="str">
        <x:v>多角色 PC 原型</x:v>
      </x:c>
      <x:c r="E9" s="116" t="str">
        <x:v>展示 CS、CR、Leader、报价、采购、会计、管理层视图</x:v>
      </x:c>
      <x:c r="F9" s="116" t="str">
        <x:v>角色与页面仅用于评审，不代表真实权限已实现</x:v>
      </x:c>
      <x:c r="G9" s="116" t="str">
        <x:v>历史范围表述，待本期确认</x:v>
      </x:c>
      <x:c r="H9" s="116" t="str">
        <x:v>P0</x:v>
      </x:c>
      <x:c r="I9" s="116" t="str">
        <x:v>历史条目待内容复核</x:v>
      </x:c>
      <x:c r="J9" s="116" t="str">
        <x:v>主要角色与页面可切换演示</x:v>
      </x:c>
      <x:c r="K9" s="116" t="str">
        <x:v>TASK-005～007／A03</x:v>
      </x:c>
      <x:c r="L9" s="170" t="str">
        <x:v>待确认</x:v>
      </x:c>
      <x:c r="M9" s="170" t="str">
        <x:v>待当前版本复核</x:v>
      </x:c>
      <x:c r="N9" s="170" t="str">
        <x:v>未业务验收</x:v>
      </x:c>
      <x:c r="O9" s="170" t="str">
        <x:v>待逐项归批</x:v>
      </x:c>
      <x:c r="P9" s="170" t="str">
        <x:v>历史条目</x:v>
      </x:c>
      <x:c r="Q9" s="170" t="str">
        <x:v>旧主台账2026-08-31；最新差异见UPD条目</x:v>
      </x:c>
      <x:c r="R9" s="170" t="str">
        <x:v>待内容级映射</x:v>
      </x:c>
      <x:c r="S9" s="170" t="str"/>
      <x:c r="T9" s="178"/>
    </x:row>
    <x:row r="10" ht="34" customHeight="1">
      <x:c r="A10" s="115" t="str">
        <x:v>M02</x:v>
      </x:c>
      <x:c r="B10" s="144" t="str">
        <x:v>交互原型与公网发布</x:v>
      </x:c>
      <x:c r="C10" s="115" t="str">
        <x:v>F02-02</x:v>
      </x:c>
      <x:c r="D10" s="115" t="str">
        <x:v>移动端工作台</x:v>
      </x:c>
      <x:c r="E10" s="115" t="str">
        <x:v>展示师傅执行和主管分派的移动路径</x:v>
      </x:c>
      <x:c r="F10" s="115" t="str">
        <x:v>真实终端、网络和权限需在 POC 验证</x:v>
      </x:c>
      <x:c r="G10" s="115" t="str">
        <x:v>历史范围表述，待本期确认</x:v>
      </x:c>
      <x:c r="H10" s="115" t="str">
        <x:v>P0</x:v>
      </x:c>
      <x:c r="I10" s="115" t="str">
        <x:v>历史条目待内容复核</x:v>
      </x:c>
      <x:c r="J10" s="115" t="str">
        <x:v>移动端核心页面可演示</x:v>
      </x:c>
      <x:c r="K10" s="115" t="str">
        <x:v>TASK-006／A03</x:v>
      </x:c>
      <x:c r="L10" s="170" t="str">
        <x:v>待确认</x:v>
      </x:c>
      <x:c r="M10" s="170" t="str">
        <x:v>待当前版本复核</x:v>
      </x:c>
      <x:c r="N10" s="170" t="str">
        <x:v>未业务验收</x:v>
      </x:c>
      <x:c r="O10" s="170" t="str">
        <x:v>待逐项归批</x:v>
      </x:c>
      <x:c r="P10" s="170" t="str">
        <x:v>历史条目</x:v>
      </x:c>
      <x:c r="Q10" s="170" t="str">
        <x:v>旧主台账2026-08-31；最新差异见UPD条目</x:v>
      </x:c>
      <x:c r="R10" s="170" t="str">
        <x:v>待内容级映射</x:v>
      </x:c>
      <x:c r="S10" s="170" t="str"/>
      <x:c r="T10" s="178"/>
    </x:row>
    <x:row r="11" ht="34" customHeight="1">
      <x:c r="A11" s="116" t="str">
        <x:v>M02</x:v>
      </x:c>
      <x:c r="B11" s="144" t="str">
        <x:v>交互原型与公网发布</x:v>
      </x:c>
      <x:c r="C11" s="116" t="str">
        <x:v>F02-03</x:v>
      </x:c>
      <x:c r="D11" s="116" t="str">
        <x:v>GitHub Pages 发布</x:v>
      </x:c>
      <x:c r="E11" s="116" t="str">
        <x:v>自动发布 main 分支中的最新 ui-prototype</x:v>
      </x:c>
      <x:c r="F11" s="116" t="str">
        <x:v>公网发布只证明静态页面可访问</x:v>
      </x:c>
      <x:c r="G11" s="116" t="str">
        <x:v>历史范围表述，待本期确认</x:v>
      </x:c>
      <x:c r="H11" s="116" t="str">
        <x:v>P0</x:v>
      </x:c>
      <x:c r="I11" s="116" t="str">
        <x:v>历史条目待内容复核</x:v>
      </x:c>
      <x:c r="J11" s="116" t="str">
        <x:v>公网原型 HTTP 200 且对应提交 c2d9c4b</x:v>
      </x:c>
      <x:c r="K11" s="116" t="str">
        <x:v>TASK-006／A04</x:v>
      </x:c>
      <x:c r="L11" s="170" t="str">
        <x:v>待确认</x:v>
      </x:c>
      <x:c r="M11" s="170" t="str">
        <x:v>待当前版本复核</x:v>
      </x:c>
      <x:c r="N11" s="170" t="str">
        <x:v>未业务验收</x:v>
      </x:c>
      <x:c r="O11" s="170" t="str">
        <x:v>待逐项归批</x:v>
      </x:c>
      <x:c r="P11" s="170" t="str">
        <x:v>历史条目</x:v>
      </x:c>
      <x:c r="Q11" s="170" t="str">
        <x:v>旧主台账2026-08-31；最新差异见UPD条目</x:v>
      </x:c>
      <x:c r="R11" s="170" t="str">
        <x:v>待内容级映射</x:v>
      </x:c>
      <x:c r="S11" s="170" t="str"/>
      <x:c r="T11" s="178"/>
    </x:row>
    <x:row r="12" ht="34" customHeight="1">
      <x:c r="A12" s="115" t="str">
        <x:v>M02</x:v>
      </x:c>
      <x:c r="B12" s="144" t="str">
        <x:v>交互原型与公网发布</x:v>
      </x:c>
      <x:c r="C12" s="115" t="str">
        <x:v>F02-04</x:v>
      </x:c>
      <x:c r="D12" s="115" t="str">
        <x:v>原型与 PRD 复核</x:v>
      </x:c>
      <x:c r="E12" s="115" t="str">
        <x:v>逐页核对已确认范围、状态、角色和按钮</x:v>
      </x:c>
      <x:c r="F12" s="115" t="str">
        <x:v>超范围功能标为变更池或移出一期评审路径</x:v>
      </x:c>
      <x:c r="G12" s="115" t="str">
        <x:v>历史范围表述，待本期确认</x:v>
      </x:c>
      <x:c r="H12" s="115" t="str">
        <x:v>P0</x:v>
      </x:c>
      <x:c r="I12" s="115" t="str">
        <x:v>历史条目待内容复核</x:v>
      </x:c>
      <x:c r="J12" s="115" t="str">
        <x:v>评审记录覆盖角色、主流程、移动端和未验证项</x:v>
      </x:c>
      <x:c r="K12" s="115" t="str">
        <x:v>TASK-010／A03</x:v>
      </x:c>
      <x:c r="L12" s="170" t="str">
        <x:v>待确认</x:v>
      </x:c>
      <x:c r="M12" s="170" t="str">
        <x:v>待当前版本复核</x:v>
      </x:c>
      <x:c r="N12" s="170" t="str">
        <x:v>未业务验收</x:v>
      </x:c>
      <x:c r="O12" s="170" t="str">
        <x:v>待逐项归批</x:v>
      </x:c>
      <x:c r="P12" s="170" t="str">
        <x:v>历史条目</x:v>
      </x:c>
      <x:c r="Q12" s="170" t="str">
        <x:v>旧主台账2026-08-31；最新差异见UPD条目</x:v>
      </x:c>
      <x:c r="R12" s="170" t="str">
        <x:v>待内容级映射</x:v>
      </x:c>
      <x:c r="S12" s="170" t="str"/>
      <x:c r="T12" s="178"/>
    </x:row>
    <x:row r="13" ht="34" customHeight="1">
      <x:c r="A13" s="116" t="str">
        <x:v>M03</x:v>
      </x:c>
      <x:c r="B13" s="146" t="str">
        <x:v>工单受理与闭环</x:v>
      </x:c>
      <x:c r="C13" s="116" t="str">
        <x:v>F03-01</x:v>
      </x:c>
      <x:c r="D13" s="116" t="str">
        <x:v>CS／CR 建单</x:v>
      </x:c>
      <x:c r="E13" s="116" t="str">
        <x:v>记录客户、联系人、地址、问题、来源、附件和 PM/CM</x:v>
      </x:c>
      <x:c r="F13" s="116" t="str">
        <x:v>即时解决与现场处理需分流</x:v>
      </x:c>
      <x:c r="G13" s="116" t="str">
        <x:v>历史范围表述，待本期确认</x:v>
      </x:c>
      <x:c r="H13" s="116" t="str">
        <x:v>P0</x:v>
      </x:c>
      <x:c r="I13" s="116" t="str">
        <x:v>历史条目待内容复核</x:v>
      </x:c>
      <x:c r="J13" s="116" t="str">
        <x:v>普通工单 3 分钟内完成并进入待分派</x:v>
      </x:c>
      <x:c r="K13" s="116" t="str">
        <x:v>TASK-021／A05</x:v>
      </x:c>
      <x:c r="L13" s="170" t="str">
        <x:v>待确认</x:v>
      </x:c>
      <x:c r="M13" s="170" t="str">
        <x:v>待当前版本复核</x:v>
      </x:c>
      <x:c r="N13" s="170" t="str">
        <x:v>未业务验收</x:v>
      </x:c>
      <x:c r="O13" s="170" t="str">
        <x:v>待逐项归批</x:v>
      </x:c>
      <x:c r="P13" s="170" t="str">
        <x:v>历史条目</x:v>
      </x:c>
      <x:c r="Q13" s="170" t="str">
        <x:v>旧主台账2026-08-31；最新差异见UPD条目</x:v>
      </x:c>
      <x:c r="R13" s="170" t="str">
        <x:v>待内容级映射</x:v>
      </x:c>
      <x:c r="S13" s="170" t="str"/>
      <x:c r="T13" s="178"/>
    </x:row>
    <x:row r="14" ht="34" customHeight="1">
      <x:c r="A14" s="115" t="str">
        <x:v>M03</x:v>
      </x:c>
      <x:c r="B14" s="146" t="str">
        <x:v>工单受理与闭环</x:v>
      </x:c>
      <x:c r="C14" s="115" t="str">
        <x:v>F03-02</x:v>
      </x:c>
      <x:c r="D14" s="115" t="str">
        <x:v>工单与项目编号</x:v>
      </x:c>
      <x:c r="E14" s="115" t="str">
        <x:v>生成唯一工单号并独立关联项目编号</x:v>
      </x:c>
      <x:c r="F14" s="115" t="str">
        <x:v>政府前缀未确认时不得推测生成</x:v>
      </x:c>
      <x:c r="G14" s="115" t="str">
        <x:v>历史范围表述，待本期确认</x:v>
      </x:c>
      <x:c r="H14" s="115" t="str">
        <x:v>P0</x:v>
      </x:c>
      <x:c r="I14" s="115" t="str">
        <x:v>历史条目待内容复核</x:v>
      </x:c>
      <x:c r="J14" s="115" t="str">
        <x:v>普通／政府编号样例唯一且可查询</x:v>
      </x:c>
      <x:c r="K14" s="115" t="str">
        <x:v>TASK-012／A05</x:v>
      </x:c>
      <x:c r="L14" s="170" t="str">
        <x:v>待确认</x:v>
      </x:c>
      <x:c r="M14" s="170" t="str">
        <x:v>待当前版本复核</x:v>
      </x:c>
      <x:c r="N14" s="170" t="str">
        <x:v>未业务验收</x:v>
      </x:c>
      <x:c r="O14" s="170" t="str">
        <x:v>待逐项归批</x:v>
      </x:c>
      <x:c r="P14" s="170" t="str">
        <x:v>历史条目</x:v>
      </x:c>
      <x:c r="Q14" s="170" t="str">
        <x:v>旧主台账2026-08-31；最新差异见UPD条目</x:v>
      </x:c>
      <x:c r="R14" s="170" t="str">
        <x:v>待内容级映射</x:v>
      </x:c>
      <x:c r="S14" s="170" t="str"/>
      <x:c r="T14" s="178"/>
    </x:row>
    <x:row r="15" ht="34" customHeight="1">
      <x:c r="A15" s="116" t="str">
        <x:v>M03</x:v>
      </x:c>
      <x:c r="B15" s="146" t="str">
        <x:v>工单受理与闭环</x:v>
      </x:c>
      <x:c r="C15" s="116" t="str">
        <x:v>F03-03</x:v>
      </x:c>
      <x:c r="D15" s="116" t="str">
        <x:v>列表、详情与筛选</x:v>
      </x:c>
      <x:c r="E15" s="116" t="str">
        <x:v>按状态、负责人、区域、客户、项目号和关键词查询</x:v>
      </x:c>
      <x:c r="F15" s="116" t="str">
        <x:v>结果必须受数据权限约束</x:v>
      </x:c>
      <x:c r="G15" s="116" t="str">
        <x:v>历史范围表述，待本期确认</x:v>
      </x:c>
      <x:c r="H15" s="116" t="str">
        <x:v>P0</x:v>
      </x:c>
      <x:c r="I15" s="116" t="str">
        <x:v>历史条目待内容复核</x:v>
      </x:c>
      <x:c r="J15" s="116" t="str">
        <x:v>组合筛选定位目标工单</x:v>
      </x:c>
      <x:c r="K15" s="116" t="str">
        <x:v>TASK-021／A05</x:v>
      </x:c>
      <x:c r="L15" s="170" t="str">
        <x:v>待确认</x:v>
      </x:c>
      <x:c r="M15" s="170" t="str">
        <x:v>待当前版本复核</x:v>
      </x:c>
      <x:c r="N15" s="170" t="str">
        <x:v>未业务验收</x:v>
      </x:c>
      <x:c r="O15" s="170" t="str">
        <x:v>待逐项归批</x:v>
      </x:c>
      <x:c r="P15" s="170" t="str">
        <x:v>历史条目</x:v>
      </x:c>
      <x:c r="Q15" s="170" t="str">
        <x:v>旧主台账2026-08-31；最新差异见UPD条目</x:v>
      </x:c>
      <x:c r="R15" s="170" t="str">
        <x:v>待内容级映射</x:v>
      </x:c>
      <x:c r="S15" s="170" t="str"/>
      <x:c r="T15" s="178"/>
    </x:row>
    <x:row r="16" ht="34" customHeight="1">
      <x:c r="A16" s="115" t="str">
        <x:v>M03</x:v>
      </x:c>
      <x:c r="B16" s="146" t="str">
        <x:v>工单受理与闭环</x:v>
      </x:c>
      <x:c r="C16" s="115" t="str">
        <x:v>F03-04</x:v>
      </x:c>
      <x:c r="D16" s="115" t="str">
        <x:v>状态流转与时间线</x:v>
      </x:c>
      <x:c r="E16" s="115" t="str">
        <x:v>记录创建、派单、接单、拒单、到场、上传、完成等动作</x:v>
      </x:c>
      <x:c r="F16" s="115" t="str">
        <x:v>新动作不得覆盖历史记录</x:v>
      </x:c>
      <x:c r="G16" s="115" t="str">
        <x:v>历史范围表述，待本期确认</x:v>
      </x:c>
      <x:c r="H16" s="115" t="str">
        <x:v>P0</x:v>
      </x:c>
      <x:c r="I16" s="115" t="str">
        <x:v>历史条目待内容复核</x:v>
      </x:c>
      <x:c r="J16" s="115" t="str">
        <x:v>状态、责任人、原因和时间均可追溯</x:v>
      </x:c>
      <x:c r="K16" s="115" t="str">
        <x:v>TASK-021／A09</x:v>
      </x:c>
      <x:c r="L16" s="170" t="str">
        <x:v>待确认</x:v>
      </x:c>
      <x:c r="M16" s="170" t="str">
        <x:v>待当前版本复核</x:v>
      </x:c>
      <x:c r="N16" s="170" t="str">
        <x:v>未业务验收</x:v>
      </x:c>
      <x:c r="O16" s="170" t="str">
        <x:v>待逐项归批</x:v>
      </x:c>
      <x:c r="P16" s="170" t="str">
        <x:v>历史条目</x:v>
      </x:c>
      <x:c r="Q16" s="170" t="str">
        <x:v>旧主台账2026-08-31；最新差异见UPD条目</x:v>
      </x:c>
      <x:c r="R16" s="170" t="str">
        <x:v>待内容级映射</x:v>
      </x:c>
      <x:c r="S16" s="170" t="str"/>
      <x:c r="T16" s="178"/>
    </x:row>
    <x:row r="17" ht="34" customHeight="1">
      <x:c r="A17" s="116" t="str">
        <x:v>M03</x:v>
      </x:c>
      <x:c r="B17" s="146" t="str">
        <x:v>工单受理与闭环</x:v>
      </x:c>
      <x:c r="C17" s="116" t="str">
        <x:v>F03-05</x:v>
      </x:c>
      <x:c r="D17" s="116" t="str">
        <x:v>服务报告与完工单</x:v>
      </x:c>
      <x:c r="E17" s="116" t="str">
        <x:v>关联 SR／CP 编号、图片、签名和完工信息</x:v>
      </x:c>
      <x:c r="F17" s="116" t="str">
        <x:v>附件规则和归档策略待 POC</x:v>
      </x:c>
      <x:c r="G17" s="116" t="str">
        <x:v>历史范围表述，待本期确认</x:v>
      </x:c>
      <x:c r="H17" s="116" t="str">
        <x:v>P0</x:v>
      </x:c>
      <x:c r="I17" s="116" t="str">
        <x:v>历史条目待内容复核</x:v>
      </x:c>
      <x:c r="J17" s="116" t="str">
        <x:v>报告与工单关联一致且可查询</x:v>
      </x:c>
      <x:c r="K17" s="116" t="str">
        <x:v>TASK-021／A09</x:v>
      </x:c>
      <x:c r="L17" s="170" t="str">
        <x:v>待确认</x:v>
      </x:c>
      <x:c r="M17" s="170" t="str">
        <x:v>待当前版本复核</x:v>
      </x:c>
      <x:c r="N17" s="170" t="str">
        <x:v>未业务验收</x:v>
      </x:c>
      <x:c r="O17" s="170" t="str">
        <x:v>待逐项归批</x:v>
      </x:c>
      <x:c r="P17" s="170" t="str">
        <x:v>历史条目</x:v>
      </x:c>
      <x:c r="Q17" s="170" t="str">
        <x:v>旧主台账2026-08-31；最新差异见UPD条目</x:v>
      </x:c>
      <x:c r="R17" s="170" t="str">
        <x:v>待内容级映射</x:v>
      </x:c>
      <x:c r="S17" s="170" t="str"/>
      <x:c r="T17" s="178"/>
    </x:row>
    <x:row r="18" ht="34" customHeight="1">
      <x:c r="A18" s="115" t="str">
        <x:v>M04</x:v>
      </x:c>
      <x:c r="B18" s="148" t="str">
        <x:v>派单、角色与数据权限</x:v>
      </x:c>
      <x:c r="C18" s="115" t="str">
        <x:v>F04-01</x:v>
      </x:c>
      <x:c r="D18" s="115" t="str">
        <x:v>区域与 Leader 推荐</x:v>
      </x:c>
      <x:c r="E18" s="115" t="str">
        <x:v>按客户地址／区域码推荐团队和 Leader</x:v>
      </x:c>
      <x:c r="F18" s="115" t="str">
        <x:v>映射缺失时只能人工分派</x:v>
      </x:c>
      <x:c r="G18" s="115" t="str">
        <x:v>历史范围表述，待本期确认</x:v>
      </x:c>
      <x:c r="H18" s="115" t="str">
        <x:v>P0</x:v>
      </x:c>
      <x:c r="I18" s="115" t="str">
        <x:v>历史条目待内容复核</x:v>
      </x:c>
      <x:c r="J18" s="115" t="str">
        <x:v>缺映射不会产生错误自动指派</x:v>
      </x:c>
      <x:c r="K18" s="115" t="str">
        <x:v>TASK-015／A06</x:v>
      </x:c>
      <x:c r="L18" s="170" t="str">
        <x:v>待确认</x:v>
      </x:c>
      <x:c r="M18" s="170" t="str">
        <x:v>待当前版本复核</x:v>
      </x:c>
      <x:c r="N18" s="170" t="str">
        <x:v>未业务验收</x:v>
      </x:c>
      <x:c r="O18" s="170" t="str">
        <x:v>待逐项归批</x:v>
      </x:c>
      <x:c r="P18" s="170" t="str">
        <x:v>历史条目</x:v>
      </x:c>
      <x:c r="Q18" s="170" t="str">
        <x:v>旧主台账2026-08-31；最新差异见UPD条目</x:v>
      </x:c>
      <x:c r="R18" s="170" t="str">
        <x:v>待内容级映射</x:v>
      </x:c>
      <x:c r="S18" s="170" t="str"/>
      <x:c r="T18" s="178"/>
    </x:row>
    <x:row r="19" ht="34" customHeight="1">
      <x:c r="A19" s="116" t="str">
        <x:v>M04</x:v>
      </x:c>
      <x:c r="B19" s="148" t="str">
        <x:v>派单、角色与数据权限</x:v>
      </x:c>
      <x:c r="C19" s="116" t="str">
        <x:v>F04-02</x:v>
      </x:c>
      <x:c r="D19" s="116" t="str">
        <x:v>派单／拒单／改派</x:v>
      </x:c>
      <x:c r="E19" s="116" t="str">
        <x:v>Leader 派单，师傅可接单或填原因拒单</x:v>
      </x:c>
      <x:c r="F19" s="116" t="str">
        <x:v>拒单、改派、退回必须留原因</x:v>
      </x:c>
      <x:c r="G19" s="116" t="str">
        <x:v>历史范围表述，待本期确认</x:v>
      </x:c>
      <x:c r="H19" s="116" t="str">
        <x:v>P0</x:v>
      </x:c>
      <x:c r="I19" s="116" t="str">
        <x:v>历史条目待内容复核</x:v>
      </x:c>
      <x:c r="J19" s="116" t="str">
        <x:v>责任人和每次动作可追溯</x:v>
      </x:c>
      <x:c r="K19" s="116" t="str">
        <x:v>TASK-021／A06</x:v>
      </x:c>
      <x:c r="L19" s="170" t="str">
        <x:v>待确认</x:v>
      </x:c>
      <x:c r="M19" s="170" t="str">
        <x:v>待当前版本复核</x:v>
      </x:c>
      <x:c r="N19" s="170" t="str">
        <x:v>未业务验收</x:v>
      </x:c>
      <x:c r="O19" s="170" t="str">
        <x:v>待逐项归批</x:v>
      </x:c>
      <x:c r="P19" s="170" t="str">
        <x:v>历史条目</x:v>
      </x:c>
      <x:c r="Q19" s="170" t="str">
        <x:v>旧主台账2026-08-31；最新差异见UPD条目</x:v>
      </x:c>
      <x:c r="R19" s="170" t="str">
        <x:v>待内容级映射</x:v>
      </x:c>
      <x:c r="S19" s="170" t="str"/>
      <x:c r="T19" s="178"/>
    </x:row>
    <x:row r="20" ht="34" customHeight="1">
      <x:c r="A20" s="115" t="str">
        <x:v>M04</x:v>
      </x:c>
      <x:c r="B20" s="148" t="str">
        <x:v>派单、角色与数据权限</x:v>
      </x:c>
      <x:c r="C20" s="115" t="str">
        <x:v>F04-03</x:v>
      </x:c>
      <x:c r="D20" s="115" t="str">
        <x:v>角色页面权限</x:v>
      </x:c>
      <x:c r="E20" s="115" t="str">
        <x:v>按 CS、CR、Leader、师傅等显示可用入口</x:v>
      </x:c>
      <x:c r="F20" s="115" t="str">
        <x:v>前端隐藏不等于服务端权限</x:v>
      </x:c>
      <x:c r="G20" s="115" t="str">
        <x:v>历史范围表述，待本期确认</x:v>
      </x:c>
      <x:c r="H20" s="115" t="str">
        <x:v>P0</x:v>
      </x:c>
      <x:c r="I20" s="115" t="str">
        <x:v>历史条目待内容复核</x:v>
      </x:c>
      <x:c r="J20" s="115" t="str">
        <x:v>页面与操作符合批准权限矩阵</x:v>
      </x:c>
      <x:c r="K20" s="115" t="str">
        <x:v>TASK-017／A08</x:v>
      </x:c>
      <x:c r="L20" s="170" t="str">
        <x:v>待确认</x:v>
      </x:c>
      <x:c r="M20" s="170" t="str">
        <x:v>待当前版本复核</x:v>
      </x:c>
      <x:c r="N20" s="170" t="str">
        <x:v>未业务验收</x:v>
      </x:c>
      <x:c r="O20" s="170" t="str">
        <x:v>待逐项归批</x:v>
      </x:c>
      <x:c r="P20" s="170" t="str">
        <x:v>历史条目</x:v>
      </x:c>
      <x:c r="Q20" s="170" t="str">
        <x:v>旧主台账2026-08-31；最新差异见UPD条目</x:v>
      </x:c>
      <x:c r="R20" s="170" t="str">
        <x:v>待内容级映射</x:v>
      </x:c>
      <x:c r="S20" s="170" t="str"/>
      <x:c r="T20" s="178"/>
    </x:row>
    <x:row r="21" ht="34" customHeight="1">
      <x:c r="A21" s="116" t="str">
        <x:v>M04</x:v>
      </x:c>
      <x:c r="B21" s="148" t="str">
        <x:v>派单、角色与数据权限</x:v>
      </x:c>
      <x:c r="C21" s="116" t="str">
        <x:v>F04-04</x:v>
      </x:c>
      <x:c r="D21" s="116" t="str">
        <x:v>真实数据范围</x:v>
      </x:c>
      <x:c r="E21" s="116" t="str">
        <x:v>按本人、团队、区域或全公司限制数据</x:v>
      </x:c>
      <x:c r="F21" s="116" t="str">
        <x:v>需用真实账号验证越权</x:v>
      </x:c>
      <x:c r="G21" s="116" t="str">
        <x:v>历史范围表述，待本期确认</x:v>
      </x:c>
      <x:c r="H21" s="116" t="str">
        <x:v>P0</x:v>
      </x:c>
      <x:c r="I21" s="116" t="str">
        <x:v>历史条目待内容复核</x:v>
      </x:c>
      <x:c r="J21" s="116" t="str">
        <x:v>师傅不能访问未授权工单</x:v>
      </x:c>
      <x:c r="K21" s="116" t="str">
        <x:v>TASK-017／A08</x:v>
      </x:c>
      <x:c r="L21" s="170" t="str">
        <x:v>待确认</x:v>
      </x:c>
      <x:c r="M21" s="170" t="str">
        <x:v>待当前版本复核</x:v>
      </x:c>
      <x:c r="N21" s="170" t="str">
        <x:v>未业务验收</x:v>
      </x:c>
      <x:c r="O21" s="170" t="str">
        <x:v>待逐项归批</x:v>
      </x:c>
      <x:c r="P21" s="170" t="str">
        <x:v>历史条目</x:v>
      </x:c>
      <x:c r="Q21" s="170" t="str">
        <x:v>旧主台账2026-08-31；最新差异见UPD条目</x:v>
      </x:c>
      <x:c r="R21" s="170" t="str">
        <x:v>待内容级映射</x:v>
      </x:c>
      <x:c r="S21" s="170" t="str"/>
      <x:c r="T21" s="178"/>
    </x:row>
    <x:row r="22" ht="34" customHeight="1">
      <x:c r="A22" s="115" t="str">
        <x:v>M05</x:v>
      </x:c>
      <x:c r="B22" s="150" t="str">
        <x:v>师傅移动端与现场证据</x:v>
      </x:c>
      <x:c r="C22" s="115" t="str">
        <x:v>F05-01</x:v>
      </x:c>
      <x:c r="D22" s="115" t="str">
        <x:v>我的待办</x:v>
      </x:c>
      <x:c r="E22" s="115" t="str">
        <x:v>展示待接单、处理中和退回工单</x:v>
      </x:c>
      <x:c r="F22" s="115" t="str">
        <x:v>只显示本人授权任务</x:v>
      </x:c>
      <x:c r="G22" s="115" t="str">
        <x:v>历史范围表述，待本期确认</x:v>
      </x:c>
      <x:c r="H22" s="115" t="str">
        <x:v>P0</x:v>
      </x:c>
      <x:c r="I22" s="115" t="str">
        <x:v>历史条目待内容复核</x:v>
      </x:c>
      <x:c r="J22" s="115" t="str">
        <x:v>师傅能在 2 分钟内接单或拒单</x:v>
      </x:c>
      <x:c r="K22" s="115" t="str">
        <x:v>TASK-021／A07</x:v>
      </x:c>
      <x:c r="L22" s="170" t="str">
        <x:v>待确认</x:v>
      </x:c>
      <x:c r="M22" s="170" t="str">
        <x:v>待当前版本复核</x:v>
      </x:c>
      <x:c r="N22" s="170" t="str">
        <x:v>未业务验收</x:v>
      </x:c>
      <x:c r="O22" s="170" t="str">
        <x:v>待逐项归批</x:v>
      </x:c>
      <x:c r="P22" s="170" t="str">
        <x:v>历史条目</x:v>
      </x:c>
      <x:c r="Q22" s="170" t="str">
        <x:v>旧主台账2026-08-31；最新差异见UPD条目</x:v>
      </x:c>
      <x:c r="R22" s="170" t="str">
        <x:v>待内容级映射</x:v>
      </x:c>
      <x:c r="S22" s="170" t="str"/>
      <x:c r="T22" s="178"/>
    </x:row>
    <x:row r="23" ht="34" customHeight="1">
      <x:c r="A23" s="116" t="str">
        <x:v>M05</x:v>
      </x:c>
      <x:c r="B23" s="150" t="str">
        <x:v>师傅移动端与现场证据</x:v>
      </x:c>
      <x:c r="C23" s="116" t="str">
        <x:v>F05-02</x:v>
      </x:c>
      <x:c r="D23" s="116" t="str">
        <x:v>到场与处理结果</x:v>
      </x:c>
      <x:c r="E23" s="116" t="str">
        <x:v>记录到场时间、处理内容和后续需要</x:v>
      </x:c>
      <x:c r="F23" s="116" t="str">
        <x:v>不采集实时轨迹</x:v>
      </x:c>
      <x:c r="G23" s="116" t="str">
        <x:v>历史范围表述，待本期确认</x:v>
      </x:c>
      <x:c r="H23" s="116" t="str">
        <x:v>P0</x:v>
      </x:c>
      <x:c r="I23" s="116" t="str">
        <x:v>历史条目待内容复核</x:v>
      </x:c>
      <x:c r="J23" s="116" t="str">
        <x:v>到场与处理记录写入时间线</x:v>
      </x:c>
      <x:c r="K23" s="116" t="str">
        <x:v>TASK-021／A07</x:v>
      </x:c>
      <x:c r="L23" s="170" t="str">
        <x:v>待确认</x:v>
      </x:c>
      <x:c r="M23" s="170" t="str">
        <x:v>待当前版本复核</x:v>
      </x:c>
      <x:c r="N23" s="170" t="str">
        <x:v>未业务验收</x:v>
      </x:c>
      <x:c r="O23" s="170" t="str">
        <x:v>待逐项归批</x:v>
      </x:c>
      <x:c r="P23" s="170" t="str">
        <x:v>历史条目</x:v>
      </x:c>
      <x:c r="Q23" s="170" t="str">
        <x:v>旧主台账2026-08-31；最新差异见UPD条目</x:v>
      </x:c>
      <x:c r="R23" s="170" t="str">
        <x:v>待内容级映射</x:v>
      </x:c>
      <x:c r="S23" s="170" t="str"/>
      <x:c r="T23" s="178"/>
    </x:row>
    <x:row r="24" ht="34" customHeight="1">
      <x:c r="A24" s="115" t="str">
        <x:v>M05</x:v>
      </x:c>
      <x:c r="B24" s="150" t="str">
        <x:v>师傅移动端与现场证据</x:v>
      </x:c>
      <x:c r="C24" s="115" t="str">
        <x:v>F05-03</x:v>
      </x:c>
      <x:c r="D24" s="115" t="str">
        <x:v>照片与豁免</x:v>
      </x:c>
      <x:c r="E24" s="115" t="str">
        <x:v>可拍照工单上传证据；不可拍照填写原因和替代说明</x:v>
      </x:c>
      <x:c r="F24" s="115" t="str">
        <x:v>不可拍照清单和授权豁免规则待确认</x:v>
      </x:c>
      <x:c r="G24" s="115" t="str">
        <x:v>历史范围表述，待本期确认</x:v>
      </x:c>
      <x:c r="H24" s="115" t="str">
        <x:v>P0</x:v>
      </x:c>
      <x:c r="I24" s="115" t="str">
        <x:v>历史条目待内容复核</x:v>
      </x:c>
      <x:c r="J24" s="115" t="str">
        <x:v>可拍照／不可拍照各一单通过</x:v>
      </x:c>
      <x:c r="K24" s="115" t="str">
        <x:v>TASK-012／A07</x:v>
      </x:c>
      <x:c r="L24" s="170" t="str">
        <x:v>待确认</x:v>
      </x:c>
      <x:c r="M24" s="170" t="str">
        <x:v>待当前版本复核</x:v>
      </x:c>
      <x:c r="N24" s="170" t="str">
        <x:v>未业务验收</x:v>
      </x:c>
      <x:c r="O24" s="170" t="str">
        <x:v>待逐项归批</x:v>
      </x:c>
      <x:c r="P24" s="170" t="str">
        <x:v>历史条目</x:v>
      </x:c>
      <x:c r="Q24" s="170" t="str">
        <x:v>旧主台账2026-08-31；最新差异见UPD条目</x:v>
      </x:c>
      <x:c r="R24" s="170" t="str">
        <x:v>待内容级映射</x:v>
      </x:c>
      <x:c r="S24" s="170" t="str"/>
      <x:c r="T24" s="178"/>
    </x:row>
    <x:row r="25" ht="34" customHeight="1">
      <x:c r="A25" s="116" t="str">
        <x:v>M05</x:v>
      </x:c>
      <x:c r="B25" s="150" t="str">
        <x:v>师傅移动端与现场证据</x:v>
      </x:c>
      <x:c r="C25" s="116" t="str">
        <x:v>F05-04</x:v>
      </x:c>
      <x:c r="D25" s="116" t="str">
        <x:v>Leader 完工确认</x:v>
      </x:c>
      <x:c r="E25" s="116" t="str">
        <x:v>按配置直接完成或进入待主管确认</x:v>
      </x:c>
      <x:c r="F25" s="116" t="str">
        <x:v>是否强制确认由客户决定</x:v>
      </x:c>
      <x:c r="G25" s="116" t="str">
        <x:v>历史范围表述，待本期确认</x:v>
      </x:c>
      <x:c r="H25" s="116" t="str">
        <x:v>P0</x:v>
      </x:c>
      <x:c r="I25" s="116" t="str">
        <x:v>历史条目待内容复核</x:v>
      </x:c>
      <x:c r="J25" s="116" t="str">
        <x:v>两种配置均按状态矩阵正确流转</x:v>
      </x:c>
      <x:c r="K25" s="116" t="str">
        <x:v>TASK-012／A07</x:v>
      </x:c>
      <x:c r="L25" s="170" t="str">
        <x:v>待确认</x:v>
      </x:c>
      <x:c r="M25" s="170" t="str">
        <x:v>待当前版本复核</x:v>
      </x:c>
      <x:c r="N25" s="170" t="str">
        <x:v>未业务验收</x:v>
      </x:c>
      <x:c r="O25" s="170" t="str">
        <x:v>待逐项归批</x:v>
      </x:c>
      <x:c r="P25" s="170" t="str">
        <x:v>历史条目</x:v>
      </x:c>
      <x:c r="Q25" s="170" t="str">
        <x:v>旧主台账2026-08-31；最新差异见UPD条目</x:v>
      </x:c>
      <x:c r="R25" s="170" t="str">
        <x:v>待内容级映射</x:v>
      </x:c>
      <x:c r="S25" s="170" t="str"/>
      <x:c r="T25" s="178"/>
    </x:row>
    <x:row r="26" ht="34" customHeight="1">
      <x:c r="A26" s="115" t="str">
        <x:v>M05</x:v>
      </x:c>
      <x:c r="B26" s="150" t="str">
        <x:v>师傅移动端与现场证据</x:v>
      </x:c>
      <x:c r="C26" s="115" t="str">
        <x:v>F05-05</x:v>
      </x:c>
      <x:c r="D26" s="115" t="str">
        <x:v>真实手机与容量验证</x:v>
      </x:c>
      <x:c r="E26" s="115" t="str">
        <x:v>验证拍照、上传、弱网、存储和归档</x:v>
      </x:c>
      <x:c r="F26" s="115" t="str">
        <x:v>容量数字不得在 POC 前作为承诺</x:v>
      </x:c>
      <x:c r="G26" s="115" t="str">
        <x:v>历史范围表述，待本期确认</x:v>
      </x:c>
      <x:c r="H26" s="115" t="str">
        <x:v>P0</x:v>
      </x:c>
      <x:c r="I26" s="115" t="str">
        <x:v>历史条目待内容复核</x:v>
      </x:c>
      <x:c r="J26" s="115" t="str">
        <x:v>形成成功率、容量与归档策略结论</x:v>
      </x:c>
      <x:c r="K26" s="115" t="str">
        <x:v>TASK-018／A10</x:v>
      </x:c>
      <x:c r="L26" s="170" t="str">
        <x:v>待确认</x:v>
      </x:c>
      <x:c r="M26" s="170" t="str">
        <x:v>待当前版本复核</x:v>
      </x:c>
      <x:c r="N26" s="170" t="str">
        <x:v>未业务验收</x:v>
      </x:c>
      <x:c r="O26" s="170" t="str">
        <x:v>待逐项归批</x:v>
      </x:c>
      <x:c r="P26" s="170" t="str">
        <x:v>历史条目</x:v>
      </x:c>
      <x:c r="Q26" s="170" t="str">
        <x:v>旧主台账2026-08-31；最新差异见UPD条目</x:v>
      </x:c>
      <x:c r="R26" s="170" t="str">
        <x:v>待内容级映射</x:v>
      </x:c>
      <x:c r="S26" s="170" t="str"/>
      <x:c r="T26" s="178"/>
    </x:row>
    <x:row r="27" ht="34" customHeight="1">
      <x:c r="A27" s="116" t="str">
        <x:v>M06</x:v>
      </x:c>
      <x:c r="B27" s="152" t="str">
        <x:v>报价采购财务扩展原型</x:v>
      </x:c>
      <x:c r="C27" s="116" t="str">
        <x:v>F06-01</x:v>
      </x:c>
      <x:c r="D27" s="116" t="str">
        <x:v>报价／标书演示</x:v>
      </x:c>
      <x:c r="E27" s="116" t="str">
        <x:v>展示报价版本、状态、标书和中标记录</x:v>
      </x:c>
      <x:c r="F27" s="116" t="str">
        <x:v>一期 PRD 仅预留报价字段</x:v>
      </x:c>
      <x:c r="G27" s="116" t="str">
        <x:v>历史范围表述，待本期确认</x:v>
      </x:c>
      <x:c r="H27" s="116" t="str">
        <x:v>P2</x:v>
      </x:c>
      <x:c r="I27" s="116" t="str">
        <x:v>历史条目待内容复核</x:v>
      </x:c>
      <x:c r="J27" s="116" t="str">
        <x:v>客户确认纳入或移入二期</x:v>
      </x:c>
      <x:c r="K27" s="116" t="str">
        <x:v>TASK-013／A11</x:v>
      </x:c>
      <x:c r="L27" s="170" t="str">
        <x:v>待确认</x:v>
      </x:c>
      <x:c r="M27" s="170" t="str">
        <x:v>待当前版本复核</x:v>
      </x:c>
      <x:c r="N27" s="170" t="str">
        <x:v>未业务验收</x:v>
      </x:c>
      <x:c r="O27" s="170" t="str">
        <x:v>待逐项归批</x:v>
      </x:c>
      <x:c r="P27" s="170" t="str">
        <x:v>历史条目</x:v>
      </x:c>
      <x:c r="Q27" s="170" t="str">
        <x:v>旧主台账2026-08-31；最新差异见UPD条目</x:v>
      </x:c>
      <x:c r="R27" s="170" t="str">
        <x:v>待内容级映射</x:v>
      </x:c>
      <x:c r="S27" s="170" t="str"/>
      <x:c r="T27" s="178"/>
    </x:row>
    <x:row r="28" ht="34" customHeight="1">
      <x:c r="A28" s="115" t="str">
        <x:v>M06</x:v>
      </x:c>
      <x:c r="B28" s="152" t="str">
        <x:v>报价采购财务扩展原型</x:v>
      </x:c>
      <x:c r="C28" s="115" t="str">
        <x:v>F06-02</x:v>
      </x:c>
      <x:c r="D28" s="115" t="str">
        <x:v>采购／备货演示</x:v>
      </x:c>
      <x:c r="E28" s="115" t="str">
        <x:v>展示采购单、供应商、到货、验收和完工纸</x:v>
      </x:c>
      <x:c r="F28" s="115" t="str">
        <x:v>一期不得扩展为库存系统</x:v>
      </x:c>
      <x:c r="G28" s="115" t="str">
        <x:v>历史范围表述，待本期确认</x:v>
      </x:c>
      <x:c r="H28" s="115" t="str">
        <x:v>P2</x:v>
      </x:c>
      <x:c r="I28" s="115" t="str">
        <x:v>历史条目待内容复核</x:v>
      </x:c>
      <x:c r="J28" s="115" t="str">
        <x:v>范围边界与工单关联规则确认</x:v>
      </x:c>
      <x:c r="K28" s="115" t="str">
        <x:v>TASK-013／A11</x:v>
      </x:c>
      <x:c r="L28" s="170" t="str">
        <x:v>待确认</x:v>
      </x:c>
      <x:c r="M28" s="170" t="str">
        <x:v>待当前版本复核</x:v>
      </x:c>
      <x:c r="N28" s="170" t="str">
        <x:v>未业务验收</x:v>
      </x:c>
      <x:c r="O28" s="170" t="str">
        <x:v>待逐项归批</x:v>
      </x:c>
      <x:c r="P28" s="170" t="str">
        <x:v>历史条目</x:v>
      </x:c>
      <x:c r="Q28" s="170" t="str">
        <x:v>旧主台账2026-08-31；最新差异见UPD条目</x:v>
      </x:c>
      <x:c r="R28" s="170" t="str">
        <x:v>待内容级映射</x:v>
      </x:c>
      <x:c r="S28" s="170" t="str"/>
      <x:c r="T28" s="178"/>
    </x:row>
    <x:row r="29" ht="34" customHeight="1">
      <x:c r="A29" s="116" t="str">
        <x:v>M06</x:v>
      </x:c>
      <x:c r="B29" s="152" t="str">
        <x:v>报价采购财务扩展原型</x:v>
      </x:c>
      <x:c r="C29" s="116" t="str">
        <x:v>F06-03</x:v>
      </x:c>
      <x:c r="D29" s="116" t="str">
        <x:v>发票／收款演示</x:v>
      </x:c>
      <x:c r="E29" s="116" t="str">
        <x:v>展示发票开具、收款登记和资料打印</x:v>
      </x:c>
      <x:c r="F29" s="116" t="str">
        <x:v>完整财务流程不在当前 P0</x:v>
      </x:c>
      <x:c r="G29" s="116" t="str">
        <x:v>历史范围表述，待本期确认</x:v>
      </x:c>
      <x:c r="H29" s="116" t="str">
        <x:v>P2</x:v>
      </x:c>
      <x:c r="I29" s="116" t="str">
        <x:v>历史条目待内容复核</x:v>
      </x:c>
      <x:c r="J29" s="116" t="str">
        <x:v>客户确认纳入或移入二期</x:v>
      </x:c>
      <x:c r="K29" s="116" t="str">
        <x:v>TASK-013／A11</x:v>
      </x:c>
      <x:c r="L29" s="170" t="str">
        <x:v>待确认</x:v>
      </x:c>
      <x:c r="M29" s="170" t="str">
        <x:v>待当前版本复核</x:v>
      </x:c>
      <x:c r="N29" s="170" t="str">
        <x:v>未业务验收</x:v>
      </x:c>
      <x:c r="O29" s="170" t="str">
        <x:v>待逐项归批</x:v>
      </x:c>
      <x:c r="P29" s="170" t="str">
        <x:v>历史条目</x:v>
      </x:c>
      <x:c r="Q29" s="170" t="str">
        <x:v>旧主台账2026-08-31；最新差异见UPD条目</x:v>
      </x:c>
      <x:c r="R29" s="170" t="str">
        <x:v>待内容级映射</x:v>
      </x:c>
      <x:c r="S29" s="170" t="str"/>
      <x:c r="T29" s="178"/>
    </x:row>
    <x:row r="30" ht="34" customHeight="1">
      <x:c r="A30" s="115" t="str">
        <x:v>M06</x:v>
      </x:c>
      <x:c r="B30" s="152" t="str">
        <x:v>报价采购财务扩展原型</x:v>
      </x:c>
      <x:c r="C30" s="115" t="str">
        <x:v>F06-04</x:v>
      </x:c>
      <x:c r="D30" s="115" t="str">
        <x:v>一期关联预留</x:v>
      </x:c>
      <x:c r="E30" s="115" t="str">
        <x:v>保留报价号、PO、ML、到货及附件关联字段</x:v>
      </x:c>
      <x:c r="F30" s="115" t="str">
        <x:v>不得让 P0 验收依赖完整子系统</x:v>
      </x:c>
      <x:c r="G30" s="115" t="str">
        <x:v>历史范围表述，待本期确认</x:v>
      </x:c>
      <x:c r="H30" s="115" t="str">
        <x:v>P2</x:v>
      </x:c>
      <x:c r="I30" s="115" t="str">
        <x:v>历史条目待内容复核</x:v>
      </x:c>
      <x:c r="J30" s="115" t="str">
        <x:v>字段与主工单可关联并可追溯</x:v>
      </x:c>
      <x:c r="K30" s="115" t="str">
        <x:v>TASK-021／A11</x:v>
      </x:c>
      <x:c r="L30" s="170" t="str">
        <x:v>待确认</x:v>
      </x:c>
      <x:c r="M30" s="170" t="str">
        <x:v>待当前版本复核</x:v>
      </x:c>
      <x:c r="N30" s="170" t="str">
        <x:v>未业务验收</x:v>
      </x:c>
      <x:c r="O30" s="170" t="str">
        <x:v>待逐项归批</x:v>
      </x:c>
      <x:c r="P30" s="170" t="str">
        <x:v>历史条目</x:v>
      </x:c>
      <x:c r="Q30" s="170" t="str">
        <x:v>旧主台账2026-08-31；最新差异见UPD条目</x:v>
      </x:c>
      <x:c r="R30" s="170" t="str">
        <x:v>待内容级映射</x:v>
      </x:c>
      <x:c r="S30" s="170" t="str"/>
      <x:c r="T30" s="178"/>
    </x:row>
    <x:row r="31" ht="34" customHeight="1">
      <x:c r="A31" s="116" t="str">
        <x:v>M07</x:v>
      </x:c>
      <x:c r="B31" s="154" t="str">
        <x:v>钉钉／宜搭 POC</x:v>
      </x:c>
      <x:c r="C31" s="116" t="str">
        <x:v>F07-01</x:v>
      </x:c>
      <x:c r="D31" s="116" t="str">
        <x:v>许可与容量</x:v>
      </x:c>
      <x:c r="E31" s="116" t="str">
        <x:v>确认钉钉／宜搭许可、账号人数和附件容量</x:v>
      </x:c>
      <x:c r="F31" s="116" t="str">
        <x:v>近 800 人及图片量必须用真实方案核实</x:v>
      </x:c>
      <x:c r="G31" s="116" t="str">
        <x:v>历史范围表述，待本期确认</x:v>
      </x:c>
      <x:c r="H31" s="116" t="str">
        <x:v>P0</x:v>
      </x:c>
      <x:c r="I31" s="116" t="str">
        <x:v>历史条目待内容复核</x:v>
      </x:c>
      <x:c r="J31" s="116" t="str">
        <x:v>许可、容量和费用结论书面确认</x:v>
      </x:c>
      <x:c r="K31" s="116" t="str">
        <x:v>TASK-016／A10</x:v>
      </x:c>
      <x:c r="L31" s="170" t="str">
        <x:v>待确认</x:v>
      </x:c>
      <x:c r="M31" s="170" t="str">
        <x:v>待当前版本复核</x:v>
      </x:c>
      <x:c r="N31" s="170" t="str">
        <x:v>未业务验收</x:v>
      </x:c>
      <x:c r="O31" s="170" t="str">
        <x:v>待逐项归批</x:v>
      </x:c>
      <x:c r="P31" s="170" t="str">
        <x:v>历史条目</x:v>
      </x:c>
      <x:c r="Q31" s="170" t="str">
        <x:v>旧主台账2026-08-31；最新差异见UPD条目</x:v>
      </x:c>
      <x:c r="R31" s="170" t="str">
        <x:v>待内容级映射</x:v>
      </x:c>
      <x:c r="S31" s="170" t="str"/>
      <x:c r="T31" s="178"/>
    </x:row>
    <x:row r="32" ht="34" customHeight="1">
      <x:c r="A32" s="115" t="str">
        <x:v>M07</x:v>
      </x:c>
      <x:c r="B32" s="154" t="str">
        <x:v>钉钉／宜搭 POC</x:v>
      </x:c>
      <x:c r="C32" s="115" t="str">
        <x:v>F07-02</x:v>
      </x:c>
      <x:c r="D32" s="115" t="str">
        <x:v>真实账号与权限</x:v>
      </x:c>
      <x:c r="E32" s="115" t="str">
        <x:v>用 CS、Leader、师傅和管理员账号走查</x:v>
      </x:c>
      <x:c r="F32" s="115" t="str">
        <x:v>不得用本地角色切换代替验收</x:v>
      </x:c>
      <x:c r="G32" s="115" t="str">
        <x:v>历史范围表述，待本期确认</x:v>
      </x:c>
      <x:c r="H32" s="115" t="str">
        <x:v>P0</x:v>
      </x:c>
      <x:c r="I32" s="115" t="str">
        <x:v>历史条目待内容复核</x:v>
      </x:c>
      <x:c r="J32" s="115" t="str">
        <x:v>免登、角色和数据范围通过</x:v>
      </x:c>
      <x:c r="K32" s="115" t="str">
        <x:v>TASK-017／A08</x:v>
      </x:c>
      <x:c r="L32" s="170" t="str">
        <x:v>待确认</x:v>
      </x:c>
      <x:c r="M32" s="170" t="str">
        <x:v>待当前版本复核</x:v>
      </x:c>
      <x:c r="N32" s="170" t="str">
        <x:v>未业务验收</x:v>
      </x:c>
      <x:c r="O32" s="170" t="str">
        <x:v>待逐项归批</x:v>
      </x:c>
      <x:c r="P32" s="170" t="str">
        <x:v>历史条目</x:v>
      </x:c>
      <x:c r="Q32" s="170" t="str">
        <x:v>旧主台账2026-08-31；最新差异见UPD条目</x:v>
      </x:c>
      <x:c r="R32" s="170" t="str">
        <x:v>待内容级映射</x:v>
      </x:c>
      <x:c r="S32" s="170" t="str"/>
      <x:c r="T32" s="178"/>
    </x:row>
    <x:row r="33" ht="34" customHeight="1">
      <x:c r="A33" s="116" t="str">
        <x:v>M07</x:v>
      </x:c>
      <x:c r="B33" s="154" t="str">
        <x:v>钉钉／宜搭 POC</x:v>
      </x:c>
      <x:c r="C33" s="116" t="str">
        <x:v>F07-03</x:v>
      </x:c>
      <x:c r="D33" s="116" t="str">
        <x:v>消息与待办</x:v>
      </x:c>
      <x:c r="E33" s="116" t="str">
        <x:v>验证派单、拒单、退回和完成通知</x:v>
      </x:c>
      <x:c r="F33" s="116" t="str">
        <x:v>通知渠道需客户确认</x:v>
      </x:c>
      <x:c r="G33" s="116" t="str">
        <x:v>历史范围表述，待本期确认</x:v>
      </x:c>
      <x:c r="H33" s="116" t="str">
        <x:v>P0</x:v>
      </x:c>
      <x:c r="I33" s="116" t="str">
        <x:v>历史条目待内容复核</x:v>
      </x:c>
      <x:c r="J33" s="116" t="str">
        <x:v>关键事件按角色到达且可追溯</x:v>
      </x:c>
      <x:c r="K33" s="116" t="str">
        <x:v>TASK-018／A10</x:v>
      </x:c>
      <x:c r="L33" s="170" t="str">
        <x:v>待确认</x:v>
      </x:c>
      <x:c r="M33" s="170" t="str">
        <x:v>待当前版本复核</x:v>
      </x:c>
      <x:c r="N33" s="170" t="str">
        <x:v>未业务验收</x:v>
      </x:c>
      <x:c r="O33" s="170" t="str">
        <x:v>待逐项归批</x:v>
      </x:c>
      <x:c r="P33" s="170" t="str">
        <x:v>历史条目</x:v>
      </x:c>
      <x:c r="Q33" s="170" t="str">
        <x:v>旧主台账2026-08-31；最新差异见UPD条目</x:v>
      </x:c>
      <x:c r="R33" s="170" t="str">
        <x:v>待内容级映射</x:v>
      </x:c>
      <x:c r="S33" s="170" t="str"/>
      <x:c r="T33" s="178"/>
    </x:row>
    <x:row r="34" ht="34" customHeight="1">
      <x:c r="A34" s="115" t="str">
        <x:v>M07</x:v>
      </x:c>
      <x:c r="B34" s="154" t="str">
        <x:v>钉钉／宜搭 POC</x:v>
      </x:c>
      <x:c r="C34" s="115" t="str">
        <x:v>F07-04</x:v>
      </x:c>
      <x:c r="D34" s="115" t="str">
        <x:v>移动网络与图片</x:v>
      </x:c>
      <x:c r="E34" s="115" t="str">
        <x:v>验证真实手机、弱网、图片上传和存储</x:v>
      </x:c>
      <x:c r="F34" s="115" t="str">
        <x:v>形成在线保存与归档周期</x:v>
      </x:c>
      <x:c r="G34" s="115" t="str">
        <x:v>历史范围表述，待本期确认</x:v>
      </x:c>
      <x:c r="H34" s="115" t="str">
        <x:v>P0</x:v>
      </x:c>
      <x:c r="I34" s="115" t="str">
        <x:v>历史条目待内容复核</x:v>
      </x:c>
      <x:c r="J34" s="115" t="str">
        <x:v>照片上传成功率不低于 95%</x:v>
      </x:c>
      <x:c r="K34" s="115" t="str">
        <x:v>TASK-018／A10</x:v>
      </x:c>
      <x:c r="L34" s="170" t="str">
        <x:v>待确认</x:v>
      </x:c>
      <x:c r="M34" s="170" t="str">
        <x:v>待当前版本复核</x:v>
      </x:c>
      <x:c r="N34" s="170" t="str">
        <x:v>未业务验收</x:v>
      </x:c>
      <x:c r="O34" s="170" t="str">
        <x:v>待逐项归批</x:v>
      </x:c>
      <x:c r="P34" s="170" t="str">
        <x:v>历史条目</x:v>
      </x:c>
      <x:c r="Q34" s="170" t="str">
        <x:v>旧主台账2026-08-31；最新差异见UPD条目</x:v>
      </x:c>
      <x:c r="R34" s="170" t="str">
        <x:v>待内容级映射</x:v>
      </x:c>
      <x:c r="S34" s="170" t="str"/>
      <x:c r="T34" s="178"/>
    </x:row>
    <x:row r="35" ht="34" customHeight="1">
      <x:c r="A35" s="116" t="str">
        <x:v>M08</x:v>
      </x:c>
      <x:c r="B35" s="156" t="str">
        <x:v>试点主数据与组织准备</x:v>
      </x:c>
      <x:c r="C35" s="116" t="str">
        <x:v>F08-01</x:v>
      </x:c>
      <x:c r="D35" s="116" t="str">
        <x:v>试点团队</x:v>
      </x:c>
      <x:c r="E35" s="116" t="str">
        <x:v>确定 1 个区域、1 名 Leader、3–5 名师傅和 1–2 名 CS</x:v>
      </x:c>
      <x:c r="F35" s="116" t="str">
        <x:v>人员需具备可用账号与验收时间</x:v>
      </x:c>
      <x:c r="G35" s="116" t="str">
        <x:v>后续阶段（本轮不执行）</x:v>
      </x:c>
      <x:c r="H35" s="116" t="str">
        <x:v>P0</x:v>
      </x:c>
      <x:c r="I35" s="116" t="str">
        <x:v>历史条目待内容复核</x:v>
      </x:c>
      <x:c r="J35" s="116" t="str">
        <x:v>试点名单和负责人签认</x:v>
      </x:c>
      <x:c r="K35" s="116" t="str">
        <x:v>TASK-014／A12</x:v>
      </x:c>
      <x:c r="L35" s="170" t="str">
        <x:v>待确认</x:v>
      </x:c>
      <x:c r="M35" s="170" t="str">
        <x:v>待当前版本复核</x:v>
      </x:c>
      <x:c r="N35" s="170" t="str">
        <x:v>未业务验收</x:v>
      </x:c>
      <x:c r="O35" s="170" t="str">
        <x:v>待逐项归批</x:v>
      </x:c>
      <x:c r="P35" s="170" t="str">
        <x:v>历史条目</x:v>
      </x:c>
      <x:c r="Q35" s="170" t="str">
        <x:v>旧主台账2026-08-31；最新差异见UPD条目</x:v>
      </x:c>
      <x:c r="R35" s="170" t="str">
        <x:v>待内容级映射</x:v>
      </x:c>
      <x:c r="S35" s="170" t="str"/>
      <x:c r="T35" s="178"/>
    </x:row>
    <x:row r="36" ht="34" customHeight="1">
      <x:c r="A36" s="115" t="str">
        <x:v>M08</x:v>
      </x:c>
      <x:c r="B36" s="156" t="str">
        <x:v>试点主数据与组织准备</x:v>
      </x:c>
      <x:c r="C36" s="115" t="str">
        <x:v>F08-02</x:v>
      </x:c>
      <x:c r="D36" s="115" t="str">
        <x:v>客户与组织主数据</x:v>
      </x:c>
      <x:c r="E36" s="115" t="str">
        <x:v>收集客户、地址、区域、团队、人员和技能映射</x:v>
      </x:c>
      <x:c r="F36" s="115" t="str">
        <x:v>导入前需去重和业务签认</x:v>
      </x:c>
      <x:c r="G36" s="115" t="str">
        <x:v>历史范围表述，待本期确认</x:v>
      </x:c>
      <x:c r="H36" s="115" t="str">
        <x:v>P0</x:v>
      </x:c>
      <x:c r="I36" s="115" t="str">
        <x:v>历史条目待内容复核</x:v>
      </x:c>
      <x:c r="J36" s="115" t="str">
        <x:v>试点主数据完整并签认</x:v>
      </x:c>
      <x:c r="K36" s="115" t="str">
        <x:v>TASK-015／A12</x:v>
      </x:c>
      <x:c r="L36" s="170" t="str">
        <x:v>待确认</x:v>
      </x:c>
      <x:c r="M36" s="170" t="str">
        <x:v>待当前版本复核</x:v>
      </x:c>
      <x:c r="N36" s="170" t="str">
        <x:v>未业务验收</x:v>
      </x:c>
      <x:c r="O36" s="170" t="str">
        <x:v>待逐项归批</x:v>
      </x:c>
      <x:c r="P36" s="170" t="str">
        <x:v>历史条目</x:v>
      </x:c>
      <x:c r="Q36" s="170" t="str">
        <x:v>旧主台账2026-08-31；最新差异见UPD条目</x:v>
      </x:c>
      <x:c r="R36" s="170" t="str">
        <x:v>待内容级映射</x:v>
      </x:c>
      <x:c r="S36" s="170" t="str"/>
      <x:c r="T36" s="178"/>
    </x:row>
    <x:row r="37" ht="34" customHeight="1">
      <x:c r="A37" s="116" t="str">
        <x:v>M08</x:v>
      </x:c>
      <x:c r="B37" s="156" t="str">
        <x:v>试点主数据与组织准备</x:v>
      </x:c>
      <x:c r="C37" s="116" t="str">
        <x:v>F08-03</x:v>
      </x:c>
      <x:c r="D37" s="116" t="str">
        <x:v>样例工单与照片策略</x:v>
      </x:c>
      <x:c r="E37" s="116" t="str">
        <x:v>准备 20–30 张真实或脱敏工单及不可拍照清单</x:v>
      </x:c>
      <x:c r="F37" s="116" t="str">
        <x:v>覆盖普通、政府、PM、CM 和异常场景</x:v>
      </x:c>
      <x:c r="G37" s="116" t="str">
        <x:v>历史范围表述，待本期确认</x:v>
      </x:c>
      <x:c r="H37" s="116" t="str">
        <x:v>P0</x:v>
      </x:c>
      <x:c r="I37" s="116" t="str">
        <x:v>历史条目待内容复核</x:v>
      </x:c>
      <x:c r="J37" s="116" t="str">
        <x:v>样例覆盖验收场景且可用于试点</x:v>
      </x:c>
      <x:c r="K37" s="116" t="str">
        <x:v>TASK-015／A12</x:v>
      </x:c>
      <x:c r="L37" s="170" t="str">
        <x:v>待确认</x:v>
      </x:c>
      <x:c r="M37" s="170" t="str">
        <x:v>待当前版本复核</x:v>
      </x:c>
      <x:c r="N37" s="170" t="str">
        <x:v>未业务验收</x:v>
      </x:c>
      <x:c r="O37" s="170" t="str">
        <x:v>待逐项归批</x:v>
      </x:c>
      <x:c r="P37" s="170" t="str">
        <x:v>历史条目</x:v>
      </x:c>
      <x:c r="Q37" s="170" t="str">
        <x:v>旧主台账2026-08-31；最新差异见UPD条目</x:v>
      </x:c>
      <x:c r="R37" s="170" t="str">
        <x:v>待内容级映射</x:v>
      </x:c>
      <x:c r="S37" s="170" t="str"/>
      <x:c r="T37" s="178"/>
    </x:row>
    <x:row r="38" ht="34" customHeight="1">
      <x:c r="A38" s="115" t="str">
        <x:v>M09</x:v>
      </x:c>
      <x:c r="B38" s="158" t="str">
        <x:v>生产开发与集成</x:v>
      </x:c>
      <x:c r="C38" s="115" t="str">
        <x:v>F09-01</x:v>
      </x:c>
      <x:c r="D38" s="115" t="str">
        <x:v>批准实施计划</x:v>
      </x:c>
      <x:c r="E38" s="115" t="str">
        <x:v>基于批准 PRD 和 POC 结论拆分生产任务</x:v>
      </x:c>
      <x:c r="F38" s="115" t="str">
        <x:v>未批准前不进入生产实现</x:v>
      </x:c>
      <x:c r="G38" s="115" t="str">
        <x:v>后续阶段（本轮不执行）</x:v>
      </x:c>
      <x:c r="H38" s="115" t="str">
        <x:v>P0</x:v>
      </x:c>
      <x:c r="I38" s="115" t="str">
        <x:v>历史条目待内容复核</x:v>
      </x:c>
      <x:c r="J38" s="115" t="str">
        <x:v>plan.md 与 tasks.md 完整可追溯</x:v>
      </x:c>
      <x:c r="K38" s="115" t="str">
        <x:v>TASK-019～020／A13</x:v>
      </x:c>
      <x:c r="L38" s="170" t="str">
        <x:v>待确认</x:v>
      </x:c>
      <x:c r="M38" s="170" t="str">
        <x:v>待当前版本复核</x:v>
      </x:c>
      <x:c r="N38" s="170" t="str">
        <x:v>未业务验收</x:v>
      </x:c>
      <x:c r="O38" s="170" t="str">
        <x:v>待逐项归批</x:v>
      </x:c>
      <x:c r="P38" s="170" t="str">
        <x:v>历史条目</x:v>
      </x:c>
      <x:c r="Q38" s="170" t="str">
        <x:v>旧主台账2026-08-31；最新差异见UPD条目</x:v>
      </x:c>
      <x:c r="R38" s="170" t="str">
        <x:v>待内容级映射</x:v>
      </x:c>
      <x:c r="S38" s="170" t="str"/>
      <x:c r="T38" s="178"/>
    </x:row>
    <x:row r="39" ht="34" customHeight="1">
      <x:c r="A39" s="116" t="str">
        <x:v>M09</x:v>
      </x:c>
      <x:c r="B39" s="158" t="str">
        <x:v>生产开发与集成</x:v>
      </x:c>
      <x:c r="C39" s="116" t="str">
        <x:v>F09-02</x:v>
      </x:c>
      <x:c r="D39" s="116" t="str">
        <x:v>P0 生产实现</x:v>
      </x:c>
      <x:c r="E39" s="116" t="str">
        <x:v>建设真实后端、数据、权限、附件、消息和审计</x:v>
      </x:c>
      <x:c r="F39" s="116" t="str">
        <x:v>仅覆盖已批准一期范围</x:v>
      </x:c>
      <x:c r="G39" s="116" t="str">
        <x:v>后续阶段（本轮不执行）</x:v>
      </x:c>
      <x:c r="H39" s="116" t="str">
        <x:v>P0</x:v>
      </x:c>
      <x:c r="I39" s="116" t="str">
        <x:v>历史条目待内容复核</x:v>
      </x:c>
      <x:c r="J39" s="116" t="str">
        <x:v>P0 主流程在真实环境运行</x:v>
      </x:c>
      <x:c r="K39" s="116" t="str">
        <x:v>TASK-021／A13</x:v>
      </x:c>
      <x:c r="L39" s="170" t="str">
        <x:v>待确认</x:v>
      </x:c>
      <x:c r="M39" s="170" t="str">
        <x:v>待当前版本复核</x:v>
      </x:c>
      <x:c r="N39" s="170" t="str">
        <x:v>未业务验收</x:v>
      </x:c>
      <x:c r="O39" s="170" t="str">
        <x:v>待逐项归批</x:v>
      </x:c>
      <x:c r="P39" s="170" t="str">
        <x:v>历史条目</x:v>
      </x:c>
      <x:c r="Q39" s="170" t="str">
        <x:v>旧主台账2026-08-31；最新差异见UPD条目</x:v>
      </x:c>
      <x:c r="R39" s="170" t="str">
        <x:v>待内容级映射</x:v>
      </x:c>
      <x:c r="S39" s="170" t="str"/>
      <x:c r="T39" s="178"/>
    </x:row>
    <x:row r="40" ht="34" customHeight="1">
      <x:c r="A40" s="115" t="str">
        <x:v>M09</x:v>
      </x:c>
      <x:c r="B40" s="158" t="str">
        <x:v>生产开发与集成</x:v>
      </x:c>
      <x:c r="C40" s="115" t="str">
        <x:v>F09-03</x:v>
      </x:c>
      <x:c r="D40" s="115" t="str">
        <x:v>部署与运维</x:v>
      </x:c>
      <x:c r="E40" s="115" t="str">
        <x:v>完成环境、监控、备份、恢复和操作手册</x:v>
      </x:c>
      <x:c r="F40" s="115" t="str">
        <x:v>必须完成恢复演练和责任交接</x:v>
      </x:c>
      <x:c r="G40" s="115" t="str">
        <x:v>历史范围表述，待本期确认</x:v>
      </x:c>
      <x:c r="H40" s="115" t="str">
        <x:v>P0</x:v>
      </x:c>
      <x:c r="I40" s="115" t="str">
        <x:v>历史条目待内容复核</x:v>
      </x:c>
      <x:c r="J40" s="115" t="str">
        <x:v>部署可重复、监控可用、备份可恢复</x:v>
      </x:c>
      <x:c r="K40" s="115" t="str">
        <x:v>TASK-025／A13</x:v>
      </x:c>
      <x:c r="L40" s="170" t="str">
        <x:v>待确认</x:v>
      </x:c>
      <x:c r="M40" s="170" t="str">
        <x:v>待当前版本复核</x:v>
      </x:c>
      <x:c r="N40" s="170" t="str">
        <x:v>未业务验收</x:v>
      </x:c>
      <x:c r="O40" s="170" t="str">
        <x:v>待逐项归批</x:v>
      </x:c>
      <x:c r="P40" s="170" t="str">
        <x:v>历史条目</x:v>
      </x:c>
      <x:c r="Q40" s="170" t="str">
        <x:v>旧主台账2026-08-31；最新差异见UPD条目</x:v>
      </x:c>
      <x:c r="R40" s="170" t="str">
        <x:v>待内容级映射</x:v>
      </x:c>
      <x:c r="S40" s="170" t="str"/>
      <x:c r="T40" s="178"/>
    </x:row>
    <x:row r="41" ht="34" customHeight="1">
      <x:c r="A41" s="116" t="str">
        <x:v>M10</x:v>
      </x:c>
      <x:c r="B41" s="160" t="str">
        <x:v>UAT、试点与上线</x:v>
      </x:c>
      <x:c r="C41" s="116" t="str">
        <x:v>F10-01</x:v>
      </x:c>
      <x:c r="D41" s="116" t="str">
        <x:v>UAT 用例与数据</x:v>
      </x:c>
      <x:c r="E41" s="116" t="str">
        <x:v>将 AT-01～AT-07 转为可重复测试</x:v>
      </x:c>
      <x:c r="F41" s="116" t="str">
        <x:v>每个 P0 场景须有责任人和证据</x:v>
      </x:c>
      <x:c r="G41" s="116" t="str">
        <x:v>历史范围表述，待本期确认</x:v>
      </x:c>
      <x:c r="H41" s="116" t="str">
        <x:v>P0</x:v>
      </x:c>
      <x:c r="I41" s="116" t="str">
        <x:v>历史条目待内容复核</x:v>
      </x:c>
      <x:c r="J41" s="116" t="str">
        <x:v>验收用例、数据和期望结果齐全</x:v>
      </x:c>
      <x:c r="K41" s="116" t="str">
        <x:v>TASK-023／A14</x:v>
      </x:c>
      <x:c r="L41" s="170" t="str">
        <x:v>待确认</x:v>
      </x:c>
      <x:c r="M41" s="170" t="str">
        <x:v>待当前版本复核</x:v>
      </x:c>
      <x:c r="N41" s="170" t="str">
        <x:v>未业务验收</x:v>
      </x:c>
      <x:c r="O41" s="170" t="str">
        <x:v>待逐项归批</x:v>
      </x:c>
      <x:c r="P41" s="170" t="str">
        <x:v>历史条目</x:v>
      </x:c>
      <x:c r="Q41" s="170" t="str">
        <x:v>旧主台账2026-08-31；最新差异见UPD条目</x:v>
      </x:c>
      <x:c r="R41" s="170" t="str">
        <x:v>待内容级映射</x:v>
      </x:c>
      <x:c r="S41" s="170" t="str"/>
      <x:c r="T41" s="178"/>
    </x:row>
    <x:row r="42" ht="34" customHeight="1">
      <x:c r="A42" s="115" t="str">
        <x:v>M10</x:v>
      </x:c>
      <x:c r="B42" s="160" t="str">
        <x:v>UAT、试点与上线</x:v>
      </x:c>
      <x:c r="C42" s="115" t="str">
        <x:v>F10-02</x:v>
      </x:c>
      <x:c r="D42" s="115" t="str">
        <x:v>试点运行</x:v>
      </x:c>
      <x:c r="E42" s="115" t="str">
        <x:v>连续使用 7–10 个工作日并闭环问题</x:v>
      </x:c>
      <x:c r="F42" s="115" t="str">
        <x:v>试点需覆盖 20–30 张工单</x:v>
      </x:c>
      <x:c r="G42" s="115" t="str">
        <x:v>后续阶段（本轮不执行）</x:v>
      </x:c>
      <x:c r="H42" s="115" t="str">
        <x:v>P0</x:v>
      </x:c>
      <x:c r="I42" s="115" t="str">
        <x:v>历史条目待内容复核</x:v>
      </x:c>
      <x:c r="J42" s="115" t="str">
        <x:v>P0 流程稳定且问题有结论</x:v>
      </x:c>
      <x:c r="K42" s="115" t="str">
        <x:v>TASK-024／A14</x:v>
      </x:c>
      <x:c r="L42" s="170" t="str">
        <x:v>待确认</x:v>
      </x:c>
      <x:c r="M42" s="170" t="str">
        <x:v>待当前版本复核</x:v>
      </x:c>
      <x:c r="N42" s="170" t="str">
        <x:v>未业务验收</x:v>
      </x:c>
      <x:c r="O42" s="170" t="str">
        <x:v>待逐项归批</x:v>
      </x:c>
      <x:c r="P42" s="170" t="str">
        <x:v>历史条目</x:v>
      </x:c>
      <x:c r="Q42" s="170" t="str">
        <x:v>旧主台账2026-08-31；最新差异见UPD条目</x:v>
      </x:c>
      <x:c r="R42" s="170" t="str">
        <x:v>待内容级映射</x:v>
      </x:c>
      <x:c r="S42" s="170" t="str"/>
      <x:c r="T42" s="178"/>
    </x:row>
    <x:row r="43" ht="34" customHeight="1">
      <x:c r="A43" s="116" t="str">
        <x:v>M10</x:v>
      </x:c>
      <x:c r="B43" s="160" t="str">
        <x:v>UAT、试点与上线</x:v>
      </x:c>
      <x:c r="C43" s="116" t="str">
        <x:v>F10-03</x:v>
      </x:c>
      <x:c r="D43" s="116" t="str">
        <x:v>上线与签收</x:v>
      </x:c>
      <x:c r="E43" s="116" t="str">
        <x:v>完成上线审批、操作交接和项目签收</x:v>
      </x:c>
      <x:c r="F43" s="116" t="str">
        <x:v>未通过 Gate 不得上线</x:v>
      </x:c>
      <x:c r="G43" s="116" t="str">
        <x:v>后续阶段（本轮不执行）</x:v>
      </x:c>
      <x:c r="H43" s="116" t="str">
        <x:v>P0</x:v>
      </x:c>
      <x:c r="I43" s="116" t="str">
        <x:v>历史条目待内容复核</x:v>
      </x:c>
      <x:c r="J43" s="116" t="str">
        <x:v>客户 UAT、上线记录和签收材料完整</x:v>
      </x:c>
      <x:c r="K43" s="116" t="str">
        <x:v>TASK-025／A14</x:v>
      </x:c>
      <x:c r="L43" s="170" t="str">
        <x:v>待确认</x:v>
      </x:c>
      <x:c r="M43" s="170" t="str">
        <x:v>待当前版本复核</x:v>
      </x:c>
      <x:c r="N43" s="170" t="str">
        <x:v>未业务验收</x:v>
      </x:c>
      <x:c r="O43" s="170" t="str">
        <x:v>待逐项归批</x:v>
      </x:c>
      <x:c r="P43" s="170" t="str">
        <x:v>历史条目</x:v>
      </x:c>
      <x:c r="Q43" s="170" t="str">
        <x:v>旧主台账2026-08-31；最新差异见UPD条目</x:v>
      </x:c>
      <x:c r="R43" s="170" t="str">
        <x:v>待内容级映射</x:v>
      </x:c>
      <x:c r="S43" s="170" t="str"/>
      <x:c r="T43" s="178"/>
    </x:row>
    <x:row r="44" ht="76" customHeight="1">
      <x:c r="A44" s="171" t="str">
        <x:v>LEGACY-REQ</x:v>
      </x:c>
      <x:c r="B44" s="172" t="str">
        <x:v>首页与通知</x:v>
      </x:c>
      <x:c r="C44" s="171" t="str">
        <x:v>REQ-001</x:v>
      </x:c>
      <x:c r="D44" s="171" t="str">
        <x:v>查看 7 个工单状态的数量和分布</x:v>
      </x:c>
      <x:c r="E44" s="171" t="str">
        <x:v>存量功能文本保留；以原文和本期确认核对全部规则</x:v>
      </x:c>
      <x:c r="F44" s="171" t="str">
        <x:v>8态已经取代旧7态；REQ文本仍7态。</x:v>
      </x:c>
      <x:c r="G44" s="171" t="str">
        <x:v>旧范围不自动批准；按本期确认归批</x:v>
      </x:c>
      <x:c r="H44" s="171" t="str">
        <x:v>P1</x:v>
      </x:c>
      <x:c r="I44" s="171" t="str">
        <x:v>存量事实判定：CONFLICT</x:v>
      </x:c>
      <x:c r="J44" s="171" t="str">
        <x:v>按对应业务正常/异常与角色场景确认；旧页面映射不等于覆盖</x:v>
      </x:c>
      <x:c r="K44" s="171" t="str">
        <x:v>对应批次TASK及UAT</x:v>
      </x:c>
      <x:c r="L44" s="170" t="str">
        <x:v>待确认</x:v>
      </x:c>
      <x:c r="M44" s="170" t="str">
        <x:v>当前行为待复核</x:v>
      </x:c>
      <x:c r="N44" s="170" t="str">
        <x:v>未业务验收</x:v>
      </x:c>
      <x:c r="O44" s="170" t="str">
        <x:v>B01</x:v>
      </x:c>
      <x:c r="P44" s="170" t="str">
        <x:v>10/07事实分类；本轮未重用旧行为通过结论</x:v>
      </x:c>
      <x:c r="Q44" s="170" t="str">
        <x:v>docs/audit/LEGACY-80-REQUIREMENT-AUDIT.md REQ-001/F001；原主题索引非批准</x:v>
      </x:c>
      <x:c r="R44" s="170" t="str">
        <x:v>F001</x:v>
      </x:c>
      <x:c r="S44" s="170" t="str"/>
      <x:c r="T44" s="178"/>
    </x:row>
    <x:row r="45" ht="76" customHeight="1">
      <x:c r="A45" s="173" t="str">
        <x:v>LEGACY-REQ</x:v>
      </x:c>
      <x:c r="B45" s="172" t="str">
        <x:v>首页与通知</x:v>
      </x:c>
      <x:c r="C45" s="173" t="str">
        <x:v>REQ-002</x:v>
      </x:c>
      <x:c r="D45" s="173" t="str">
        <x:v>查看本人、团队或管理范围内的今日待办</x:v>
      </x:c>
      <x:c r="E45" s="173" t="str">
        <x:v>存量功能文本保留；以原文和本期确认核对全部规则</x:v>
      </x:c>
      <x:c r="F45" s="173" t="str">
        <x:v>主题有材料或原型支持，完整字段/权限/状态及本期批准不能由索引推定。</x:v>
      </x:c>
      <x:c r="G45" s="173" t="str">
        <x:v>旧范围不自动批准；按本期确认归批</x:v>
      </x:c>
      <x:c r="H45" s="173" t="str">
        <x:v>P1</x:v>
      </x:c>
      <x:c r="I45" s="173" t="str">
        <x:v>存量事实判定：ASSUMPTION</x:v>
      </x:c>
      <x:c r="J45" s="173" t="str">
        <x:v>按对应业务正常/异常与角色场景确认；旧页面映射不等于覆盖</x:v>
      </x:c>
      <x:c r="K45" s="173" t="str">
        <x:v>对应批次TASK及UAT</x:v>
      </x:c>
      <x:c r="L45" s="170" t="str">
        <x:v>待确认</x:v>
      </x:c>
      <x:c r="M45" s="170" t="str">
        <x:v>当前行为待复核</x:v>
      </x:c>
      <x:c r="N45" s="170" t="str">
        <x:v>未业务验收</x:v>
      </x:c>
      <x:c r="O45" s="170" t="str">
        <x:v>B02</x:v>
      </x:c>
      <x:c r="P45" s="170" t="str">
        <x:v>10/07事实分类；本轮未重用旧行为通过结论</x:v>
      </x:c>
      <x:c r="Q45" s="170" t="str">
        <x:v>docs/audit/LEGACY-80-REQUIREMENT-AUDIT.md REQ-002/F002；原主题索引非批准</x:v>
      </x:c>
      <x:c r="R45" s="170" t="str">
        <x:v>F002</x:v>
      </x:c>
      <x:c r="S45" s="170" t="str"/>
      <x:c r="T45" s="178"/>
    </x:row>
    <x:row r="46" ht="76" customHeight="1">
      <x:c r="A46" s="171" t="str">
        <x:v>LEGACY-REQ</x:v>
      </x:c>
      <x:c r="B46" s="172" t="str">
        <x:v>首页与通知</x:v>
      </x:c>
      <x:c r="C46" s="171" t="str">
        <x:v>REQ-003</x:v>
      </x:c>
      <x:c r="D46" s="171" t="str">
        <x:v>查看异常 CALL、紧急事项、拒单和需关注事项</x:v>
      </x:c>
      <x:c r="E46" s="171" t="str">
        <x:v>存量功能文本保留；以原文和本期确认核对全部规则</x:v>
      </x:c>
      <x:c r="F46" s="171" t="str">
        <x:v>主题有材料或原型支持，完整字段/权限/状态及本期批准不能由索引推定。</x:v>
      </x:c>
      <x:c r="G46" s="171" t="str">
        <x:v>旧范围不自动批准；按本期确认归批</x:v>
      </x:c>
      <x:c r="H46" s="171" t="str">
        <x:v>P1</x:v>
      </x:c>
      <x:c r="I46" s="171" t="str">
        <x:v>存量事实判定：ASSUMPTION</x:v>
      </x:c>
      <x:c r="J46" s="171" t="str">
        <x:v>按对应业务正常/异常与角色场景确认；旧页面映射不等于覆盖</x:v>
      </x:c>
      <x:c r="K46" s="171" t="str">
        <x:v>对应批次TASK及UAT</x:v>
      </x:c>
      <x:c r="L46" s="170" t="str">
        <x:v>待确认</x:v>
      </x:c>
      <x:c r="M46" s="170" t="str">
        <x:v>当前行为待复核</x:v>
      </x:c>
      <x:c r="N46" s="170" t="str">
        <x:v>未业务验收</x:v>
      </x:c>
      <x:c r="O46" s="170" t="str">
        <x:v>B02</x:v>
      </x:c>
      <x:c r="P46" s="170" t="str">
        <x:v>10/07事实分类；本轮未重用旧行为通过结论</x:v>
      </x:c>
      <x:c r="Q46" s="170" t="str">
        <x:v>docs/audit/LEGACY-80-REQUIREMENT-AUDIT.md REQ-003/F003；原主题索引非批准</x:v>
      </x:c>
      <x:c r="R46" s="170" t="str">
        <x:v>F003</x:v>
      </x:c>
      <x:c r="S46" s="170" t="str"/>
      <x:c r="T46" s="178"/>
    </x:row>
    <x:row r="47" ht="76" customHeight="1">
      <x:c r="A47" s="173" t="str">
        <x:v>LEGACY-REQ</x:v>
      </x:c>
      <x:c r="B47" s="172" t="str">
        <x:v>首页与通知</x:v>
      </x:c>
      <x:c r="C47" s="173" t="str">
        <x:v>REQ-004</x:v>
      </x:c>
      <x:c r="D47" s="173" t="str">
        <x:v>查看最近业务动态、状态时间线和最近来电</x:v>
      </x:c>
      <x:c r="E47" s="173" t="str">
        <x:v>存量功能文本保留；以原文和本期确认核对全部规则</x:v>
      </x:c>
      <x:c r="F47" s="173" t="str">
        <x:v>主题有材料或原型支持，完整字段/权限/状态及本期批准不能由索引推定。</x:v>
      </x:c>
      <x:c r="G47" s="173" t="str">
        <x:v>旧范围不自动批准；按本期确认归批</x:v>
      </x:c>
      <x:c r="H47" s="173" t="str">
        <x:v>P1</x:v>
      </x:c>
      <x:c r="I47" s="173" t="str">
        <x:v>存量事实判定：ASSUMPTION</x:v>
      </x:c>
      <x:c r="J47" s="173" t="str">
        <x:v>按对应业务正常/异常与角色场景确认；旧页面映射不等于覆盖</x:v>
      </x:c>
      <x:c r="K47" s="173" t="str">
        <x:v>对应批次TASK及UAT</x:v>
      </x:c>
      <x:c r="L47" s="170" t="str">
        <x:v>待确认</x:v>
      </x:c>
      <x:c r="M47" s="170" t="str">
        <x:v>当前行为待复核</x:v>
      </x:c>
      <x:c r="N47" s="170" t="str">
        <x:v>未业务验收</x:v>
      </x:c>
      <x:c r="O47" s="170" t="str">
        <x:v>B02</x:v>
      </x:c>
      <x:c r="P47" s="170" t="str">
        <x:v>10/07事实分类；本轮未重用旧行为通过结论</x:v>
      </x:c>
      <x:c r="Q47" s="170" t="str">
        <x:v>docs/audit/LEGACY-80-REQUIREMENT-AUDIT.md REQ-004/F004；原主题索引非批准</x:v>
      </x:c>
      <x:c r="R47" s="170" t="str">
        <x:v>F004</x:v>
      </x:c>
      <x:c r="S47" s="170" t="str"/>
      <x:c r="T47" s="178"/>
    </x:row>
    <x:row r="48" ht="76" customHeight="1">
      <x:c r="A48" s="171" t="str">
        <x:v>LEGACY-REQ</x:v>
      </x:c>
      <x:c r="B48" s="172" t="str">
        <x:v>首页与通知</x:v>
      </x:c>
      <x:c r="C48" s="171" t="str">
        <x:v>REQ-005</x:v>
      </x:c>
      <x:c r="D48" s="171" t="str">
        <x:v>接收派单、拒单、完成、报价等业务通知</x:v>
      </x:c>
      <x:c r="E48" s="171" t="str">
        <x:v>存量功能文本保留；以原文和本期确认核对全部规则</x:v>
      </x:c>
      <x:c r="F48" s="171" t="str">
        <x:v>有通知模拟，但QUOTE通知目标无权限、CS转交入口断。</x:v>
      </x:c>
      <x:c r="G48" s="171" t="str">
        <x:v>旧范围不自动批准；按本期确认归批</x:v>
      </x:c>
      <x:c r="H48" s="171" t="str">
        <x:v>P1</x:v>
      </x:c>
      <x:c r="I48" s="171" t="str">
        <x:v>存量事实判定：MISSING</x:v>
      </x:c>
      <x:c r="J48" s="171" t="str">
        <x:v>按对应业务正常/异常与角色场景确认；旧页面映射不等于覆盖</x:v>
      </x:c>
      <x:c r="K48" s="171" t="str">
        <x:v>对应批次TASK及UAT</x:v>
      </x:c>
      <x:c r="L48" s="170" t="str">
        <x:v>待确认</x:v>
      </x:c>
      <x:c r="M48" s="170" t="str">
        <x:v>当前行为待复核</x:v>
      </x:c>
      <x:c r="N48" s="170" t="str">
        <x:v>未业务验收</x:v>
      </x:c>
      <x:c r="O48" s="170" t="str">
        <x:v>B02</x:v>
      </x:c>
      <x:c r="P48" s="170" t="str">
        <x:v>10/07事实分类；本轮未重用旧行为通过结论</x:v>
      </x:c>
      <x:c r="Q48" s="170" t="str">
        <x:v>docs/audit/LEGACY-80-REQUIREMENT-AUDIT.md REQ-005/F005；原主题索引非批准</x:v>
      </x:c>
      <x:c r="R48" s="170" t="str">
        <x:v>F005</x:v>
      </x:c>
      <x:c r="S48" s="170" t="str"/>
      <x:c r="T48" s="178"/>
    </x:row>
    <x:row r="49" ht="76" customHeight="1">
      <x:c r="A49" s="173" t="str">
        <x:v>LEGACY-REQ</x:v>
      </x:c>
      <x:c r="B49" s="174" t="str">
        <x:v>CALL受理与工单管理</x:v>
      </x:c>
      <x:c r="C49" s="173" t="str">
        <x:v>REQ-006</x:v>
      </x:c>
      <x:c r="D49" s="173" t="str">
        <x:v>记录来电并判断“仅答疑”或“创建工单”</x:v>
      </x:c>
      <x:c r="E49" s="173" t="str">
        <x:v>存量功能文本保留；以原文和本期确认核对全部规则</x:v>
      </x:c>
      <x:c r="F49" s="173" t="str">
        <x:v>旧来电表单代码存在；当前客户视图只建CALL，答疑记录入口缺。</x:v>
      </x:c>
      <x:c r="G49" s="173" t="str">
        <x:v>旧范围不自动批准；按本期确认归批</x:v>
      </x:c>
      <x:c r="H49" s="173" t="str">
        <x:v>P1</x:v>
      </x:c>
      <x:c r="I49" s="173" t="str">
        <x:v>存量事实判定：MISSING</x:v>
      </x:c>
      <x:c r="J49" s="173" t="str">
        <x:v>按对应业务正常/异常与角色场景确认；旧页面映射不等于覆盖</x:v>
      </x:c>
      <x:c r="K49" s="173" t="str">
        <x:v>对应批次TASK及UAT</x:v>
      </x:c>
      <x:c r="L49" s="170" t="str">
        <x:v>待确认</x:v>
      </x:c>
      <x:c r="M49" s="170" t="str">
        <x:v>当前行为待复核</x:v>
      </x:c>
      <x:c r="N49" s="170" t="str">
        <x:v>未业务验收</x:v>
      </x:c>
      <x:c r="O49" s="170" t="str">
        <x:v>B02</x:v>
      </x:c>
      <x:c r="P49" s="170" t="str">
        <x:v>10/07事实分类；本轮未重用旧行为通过结论</x:v>
      </x:c>
      <x:c r="Q49" s="170" t="str">
        <x:v>docs/audit/LEGACY-80-REQUIREMENT-AUDIT.md REQ-006/F006；原主题索引非批准</x:v>
      </x:c>
      <x:c r="R49" s="170" t="str">
        <x:v>F006</x:v>
      </x:c>
      <x:c r="S49" s="170" t="str"/>
      <x:c r="T49" s="178"/>
    </x:row>
    <x:row r="50" ht="76" customHeight="1">
      <x:c r="A50" s="171" t="str">
        <x:v>LEGACY-REQ</x:v>
      </x:c>
      <x:c r="B50" s="174" t="str">
        <x:v>CALL受理与工单管理</x:v>
      </x:c>
      <x:c r="C50" s="171" t="str">
        <x:v>REQ-007</x:v>
      </x:c>
      <x:c r="D50" s="171" t="str">
        <x:v>新建工单、保存草稿、提交和取消</x:v>
      </x:c>
      <x:c r="E50" s="171" t="str">
        <x:v>存量功能文本保留；以原文和本期确认核对全部规则</x:v>
      </x:c>
      <x:c r="F50" s="171" t="str">
        <x:v>新CALL存在，无草稿状态/保存草稿正常入口。</x:v>
      </x:c>
      <x:c r="G50" s="171" t="str">
        <x:v>旧范围不自动批准；按本期确认归批</x:v>
      </x:c>
      <x:c r="H50" s="171" t="str">
        <x:v>P1</x:v>
      </x:c>
      <x:c r="I50" s="171" t="str">
        <x:v>存量事实判定：ASSUMPTION</x:v>
      </x:c>
      <x:c r="J50" s="171" t="str">
        <x:v>按对应业务正常/异常与角色场景确认；旧页面映射不等于覆盖</x:v>
      </x:c>
      <x:c r="K50" s="171" t="str">
        <x:v>对应批次TASK及UAT</x:v>
      </x:c>
      <x:c r="L50" s="170" t="str">
        <x:v>待确认</x:v>
      </x:c>
      <x:c r="M50" s="170" t="str">
        <x:v>当前行为待复核</x:v>
      </x:c>
      <x:c r="N50" s="170" t="str">
        <x:v>未业务验收</x:v>
      </x:c>
      <x:c r="O50" s="170" t="str">
        <x:v>B02</x:v>
      </x:c>
      <x:c r="P50" s="170" t="str">
        <x:v>10/07事实分类；本轮未重用旧行为通过结论</x:v>
      </x:c>
      <x:c r="Q50" s="170" t="str">
        <x:v>docs/audit/LEGACY-80-REQUIREMENT-AUDIT.md REQ-007/F007；原主题索引非批准</x:v>
      </x:c>
      <x:c r="R50" s="170" t="str">
        <x:v>F007</x:v>
      </x:c>
      <x:c r="S50" s="170" t="str"/>
      <x:c r="T50" s="178"/>
    </x:row>
    <x:row r="51" ht="76" customHeight="1">
      <x:c r="A51" s="173" t="str">
        <x:v>LEGACY-REQ</x:v>
      </x:c>
      <x:c r="B51" s="174" t="str">
        <x:v>CALL受理与工单管理</x:v>
      </x:c>
      <x:c r="C51" s="173" t="str">
        <x:v>REQ-008</x:v>
      </x:c>
      <x:c r="D51" s="173" t="str">
        <x:v>选择客户、联系人并带入客户资料</x:v>
      </x:c>
      <x:c r="E51" s="173" t="str">
        <x:v>存量功能文本保留；以原文和本期确认核对全部规则</x:v>
      </x:c>
      <x:c r="F51" s="173" t="str">
        <x:v>主题有材料或原型支持，完整字段/权限/状态及本期批准不能由索引推定。</x:v>
      </x:c>
      <x:c r="G51" s="173" t="str">
        <x:v>旧范围不自动批准；按本期确认归批</x:v>
      </x:c>
      <x:c r="H51" s="173" t="str">
        <x:v>P1</x:v>
      </x:c>
      <x:c r="I51" s="173" t="str">
        <x:v>存量事实判定：ASSUMPTION</x:v>
      </x:c>
      <x:c r="J51" s="173" t="str">
        <x:v>按对应业务正常/异常与角色场景确认；旧页面映射不等于覆盖</x:v>
      </x:c>
      <x:c r="K51" s="173" t="str">
        <x:v>对应批次TASK及UAT</x:v>
      </x:c>
      <x:c r="L51" s="170" t="str">
        <x:v>待确认</x:v>
      </x:c>
      <x:c r="M51" s="170" t="str">
        <x:v>当前行为待复核</x:v>
      </x:c>
      <x:c r="N51" s="170" t="str">
        <x:v>未业务验收</x:v>
      </x:c>
      <x:c r="O51" s="170" t="str">
        <x:v>B01</x:v>
      </x:c>
      <x:c r="P51" s="170" t="str">
        <x:v>10/07事实分类；本轮未重用旧行为通过结论</x:v>
      </x:c>
      <x:c r="Q51" s="170" t="str">
        <x:v>docs/audit/LEGACY-80-REQUIREMENT-AUDIT.md REQ-008/F008；原主题索引非批准</x:v>
      </x:c>
      <x:c r="R51" s="170" t="str">
        <x:v>F008</x:v>
      </x:c>
      <x:c r="S51" s="170" t="str"/>
      <x:c r="T51" s="178"/>
    </x:row>
    <x:row r="52" ht="76" customHeight="1">
      <x:c r="A52" s="171" t="str">
        <x:v>LEGACY-REQ</x:v>
      </x:c>
      <x:c r="B52" s="174" t="str">
        <x:v>CALL受理与工单管理</x:v>
      </x:c>
      <x:c r="C52" s="171" t="str">
        <x:v>REQ-009</x:v>
      </x:c>
      <x:c r="D52" s="171" t="str">
        <x:v>填写 CALL 代码、类型、区域、标准地点、问题描述和附件</x:v>
      </x:c>
      <x:c r="E52" s="171" t="str">
        <x:v>存量功能文本保留；以原文和本期确认核对全部规则</x:v>
      </x:c>
      <x:c r="F52" s="171" t="str">
        <x:v>JNO从政府客户带出；合同独立对象缺。</x:v>
      </x:c>
      <x:c r="G52" s="171" t="str">
        <x:v>旧范围不自动批准；按本期确认归批</x:v>
      </x:c>
      <x:c r="H52" s="171" t="str">
        <x:v>P1</x:v>
      </x:c>
      <x:c r="I52" s="171" t="str">
        <x:v>存量事实判定：CONFLICT</x:v>
      </x:c>
      <x:c r="J52" s="171" t="str">
        <x:v>按对应业务正常/异常与角色场景确认；旧页面映射不等于覆盖</x:v>
      </x:c>
      <x:c r="K52" s="171" t="str">
        <x:v>对应批次TASK及UAT</x:v>
      </x:c>
      <x:c r="L52" s="170" t="str">
        <x:v>待确认</x:v>
      </x:c>
      <x:c r="M52" s="170" t="str">
        <x:v>当前行为待复核</x:v>
      </x:c>
      <x:c r="N52" s="170" t="str">
        <x:v>未业务验收</x:v>
      </x:c>
      <x:c r="O52" s="170" t="str">
        <x:v>B01</x:v>
      </x:c>
      <x:c r="P52" s="170" t="str">
        <x:v>10/07事实分类；本轮未重用旧行为通过结论</x:v>
      </x:c>
      <x:c r="Q52" s="170" t="str">
        <x:v>docs/audit/LEGACY-80-REQUIREMENT-AUDIT.md REQ-009/F009；原主题索引非批准</x:v>
      </x:c>
      <x:c r="R52" s="170" t="str">
        <x:v>F009</x:v>
      </x:c>
      <x:c r="S52" s="170" t="str"/>
      <x:c r="T52" s="178"/>
    </x:row>
    <x:row r="53" ht="76" customHeight="1">
      <x:c r="A53" s="173" t="str">
        <x:v>LEGACY-REQ</x:v>
      </x:c>
      <x:c r="B53" s="174" t="str">
        <x:v>CALL受理与工单管理</x:v>
      </x:c>
      <x:c r="C53" s="173" t="str">
        <x:v>REQ-010</x:v>
      </x:c>
      <x:c r="D53" s="173" t="str">
        <x:v>按状态、类型、区域、负责人、师傅、客户和关键词筛选</x:v>
      </x:c>
      <x:c r="E53" s="173" t="str">
        <x:v>存量功能文本保留；以原文和本期确认核对全部规则</x:v>
      </x:c>
      <x:c r="F53" s="173" t="str">
        <x:v>当前CALL视图仅状态/类型/区域/TL/关键词，师傅/客户/创建时间独立筛选不足。</x:v>
      </x:c>
      <x:c r="G53" s="173" t="str">
        <x:v>旧范围不自动批准；按本期确认归批</x:v>
      </x:c>
      <x:c r="H53" s="173" t="str">
        <x:v>P1</x:v>
      </x:c>
      <x:c r="I53" s="173" t="str">
        <x:v>存量事实判定：MISSING</x:v>
      </x:c>
      <x:c r="J53" s="173" t="str">
        <x:v>按对应业务正常/异常与角色场景确认；旧页面映射不等于覆盖</x:v>
      </x:c>
      <x:c r="K53" s="173" t="str">
        <x:v>对应批次TASK及UAT</x:v>
      </x:c>
      <x:c r="L53" s="170" t="str">
        <x:v>待确认</x:v>
      </x:c>
      <x:c r="M53" s="170" t="str">
        <x:v>当前行为待复核</x:v>
      </x:c>
      <x:c r="N53" s="170" t="str">
        <x:v>未业务验收</x:v>
      </x:c>
      <x:c r="O53" s="170" t="str">
        <x:v>B02</x:v>
      </x:c>
      <x:c r="P53" s="170" t="str">
        <x:v>10/07事实分类；本轮未重用旧行为通过结论</x:v>
      </x:c>
      <x:c r="Q53" s="170" t="str">
        <x:v>docs/audit/LEGACY-80-REQUIREMENT-AUDIT.md REQ-010/F010；原主题索引非批准</x:v>
      </x:c>
      <x:c r="R53" s="170" t="str">
        <x:v>F010</x:v>
      </x:c>
      <x:c r="S53" s="170" t="str"/>
      <x:c r="T53" s="178"/>
    </x:row>
    <x:row r="54" ht="76" customHeight="1">
      <x:c r="A54" s="171" t="str">
        <x:v>LEGACY-REQ</x:v>
      </x:c>
      <x:c r="B54" s="175" t="str">
        <x:v>CALL受理与工单管理</x:v>
      </x:c>
      <x:c r="C54" s="171" t="str">
        <x:v>REQ-011</x:v>
      </x:c>
      <x:c r="D54" s="171" t="str">
        <x:v>查看 CALL 详情、处理记录、催单记录和状态时间线</x:v>
      </x:c>
      <x:c r="E54" s="171" t="str">
        <x:v>存量功能文本保留；以原文和本期确认核对全部规则</x:v>
      </x:c>
      <x:c r="F54" s="171" t="str">
        <x:v>实际抽屉删减时间线、催单和操作；不能只靠旧函数认定。</x:v>
      </x:c>
      <x:c r="G54" s="171" t="str">
        <x:v>旧范围不自动批准；按本期确认归批</x:v>
      </x:c>
      <x:c r="H54" s="171" t="str">
        <x:v>P1</x:v>
      </x:c>
      <x:c r="I54" s="171" t="str">
        <x:v>存量事实判定：MISSING</x:v>
      </x:c>
      <x:c r="J54" s="171" t="str">
        <x:v>按对应业务正常/异常与角色场景确认；旧页面映射不等于覆盖</x:v>
      </x:c>
      <x:c r="K54" s="171" t="str">
        <x:v>对应批次TASK及UAT</x:v>
      </x:c>
      <x:c r="L54" s="170" t="str">
        <x:v>待确认</x:v>
      </x:c>
      <x:c r="M54" s="170" t="str">
        <x:v>当前行为待复核</x:v>
      </x:c>
      <x:c r="N54" s="170" t="str">
        <x:v>未业务验收</x:v>
      </x:c>
      <x:c r="O54" s="170" t="str">
        <x:v>B02</x:v>
      </x:c>
      <x:c r="P54" s="170" t="str">
        <x:v>10/07事实分类；本轮未重用旧行为通过结论</x:v>
      </x:c>
      <x:c r="Q54" s="170" t="str">
        <x:v>docs/audit/LEGACY-80-REQUIREMENT-AUDIT.md REQ-011/F011；原主题索引非批准</x:v>
      </x:c>
      <x:c r="R54" s="170" t="str">
        <x:v>F011</x:v>
      </x:c>
      <x:c r="S54" s="170" t="str"/>
      <x:c r="T54" s="178"/>
    </x:row>
    <x:row r="55" ht="76" customHeight="1">
      <x:c r="A55" s="173" t="str">
        <x:v>LEGACY-REQ</x:v>
      </x:c>
      <x:c r="B55" s="175" t="str">
        <x:v>CALL受理与工单管理</x:v>
      </x:c>
      <x:c r="C55" s="173" t="str">
        <x:v>REQ-012</x:v>
      </x:c>
      <x:c r="D55" s="173" t="str">
        <x:v>直接完成、取消、补充资料、催单、编辑和关联报价</x:v>
      </x:c>
      <x:c r="E55" s="173" t="str">
        <x:v>存量功能文本保留；以原文和本期确认核对全部规则</x:v>
      </x:c>
      <x:c r="F55" s="173" t="str">
        <x:v>实际drawer提前return只给编辑/CR报价，正常取消/完成/催单无入口。</x:v>
      </x:c>
      <x:c r="G55" s="173" t="str">
        <x:v>旧范围不自动批准；按本期确认归批</x:v>
      </x:c>
      <x:c r="H55" s="173" t="str">
        <x:v>P1</x:v>
      </x:c>
      <x:c r="I55" s="173" t="str">
        <x:v>存量事实判定：MISSING</x:v>
      </x:c>
      <x:c r="J55" s="173" t="str">
        <x:v>按对应业务正常/异常与角色场景确认；旧页面映射不等于覆盖</x:v>
      </x:c>
      <x:c r="K55" s="173" t="str">
        <x:v>对应批次TASK及UAT</x:v>
      </x:c>
      <x:c r="L55" s="170" t="str">
        <x:v>待确认</x:v>
      </x:c>
      <x:c r="M55" s="170" t="str">
        <x:v>当前行为待复核</x:v>
      </x:c>
      <x:c r="N55" s="170" t="str">
        <x:v>未业务验收</x:v>
      </x:c>
      <x:c r="O55" s="170" t="str">
        <x:v>B02</x:v>
      </x:c>
      <x:c r="P55" s="170" t="str">
        <x:v>10/07事实分类；本轮未重用旧行为通过结论</x:v>
      </x:c>
      <x:c r="Q55" s="170" t="str">
        <x:v>docs/audit/LEGACY-80-REQUIREMENT-AUDIT.md REQ-012/F012；原主题索引非批准</x:v>
      </x:c>
      <x:c r="R55" s="170" t="str">
        <x:v>F012</x:v>
      </x:c>
      <x:c r="S55" s="170" t="str"/>
      <x:c r="T55" s="178"/>
    </x:row>
    <x:row r="56" ht="76" customHeight="1">
      <x:c r="A56" s="171" t="str">
        <x:v>LEGACY-REQ</x:v>
      </x:c>
      <x:c r="B56" s="175" t="str">
        <x:v>CALL受理与工单管理</x:v>
      </x:c>
      <x:c r="C56" s="171" t="str">
        <x:v>REQ-013</x:v>
      </x:c>
      <x:c r="D56" s="171" t="str">
        <x:v>使用“任务编号”作为分派中心独立流水号，与 CALL 编号分离</x:v>
      </x:c>
      <x:c r="E56" s="171" t="str">
        <x:v>存量功能文本保留；以原文和本期确认核对全部规则</x:v>
      </x:c>
      <x:c r="F56" s="171" t="str">
        <x:v>主题有材料或原型支持，完整字段/权限/状态及本期批准不能由索引推定。</x:v>
      </x:c>
      <x:c r="G56" s="171" t="str">
        <x:v>旧范围不自动批准；按本期确认归批</x:v>
      </x:c>
      <x:c r="H56" s="171" t="str">
        <x:v>P1</x:v>
      </x:c>
      <x:c r="I56" s="171" t="str">
        <x:v>存量事实判定：ASSUMPTION</x:v>
      </x:c>
      <x:c r="J56" s="171" t="str">
        <x:v>按对应业务正常/异常与角色场景确认；旧页面映射不等于覆盖</x:v>
      </x:c>
      <x:c r="K56" s="171" t="str">
        <x:v>对应批次TASK及UAT</x:v>
      </x:c>
      <x:c r="L56" s="170" t="str">
        <x:v>待确认</x:v>
      </x:c>
      <x:c r="M56" s="170" t="str">
        <x:v>当前行为待复核</x:v>
      </x:c>
      <x:c r="N56" s="170" t="str">
        <x:v>未业务验收</x:v>
      </x:c>
      <x:c r="O56" s="170" t="str">
        <x:v>B01</x:v>
      </x:c>
      <x:c r="P56" s="170" t="str">
        <x:v>10/07事实分类；本轮未重用旧行为通过结论</x:v>
      </x:c>
      <x:c r="Q56" s="170" t="str">
        <x:v>docs/audit/LEGACY-80-REQUIREMENT-AUDIT.md REQ-013/F013；原主题索引非批准</x:v>
      </x:c>
      <x:c r="R56" s="170" t="str">
        <x:v>F013</x:v>
      </x:c>
      <x:c r="S56" s="170" t="str"/>
      <x:c r="T56" s="178"/>
    </x:row>
    <x:row r="57" ht="76" customHeight="1">
      <x:c r="A57" s="173" t="str">
        <x:v>LEGACY-REQ</x:v>
      </x:c>
      <x:c r="B57" s="175" t="str">
        <x:v>分派与调度</x:v>
      </x:c>
      <x:c r="C57" s="173" t="str">
        <x:v>REQ-014</x:v>
      </x:c>
      <x:c r="D57" s="173" t="str">
        <x:v>查看待分派、已分派、申请审批和可接单师傅指标</x:v>
      </x:c>
      <x:c r="E57" s="173" t="str">
        <x:v>存量功能文本保留；以原文和本期确认核对全部规则</x:v>
      </x:c>
      <x:c r="F57" s="173" t="str">
        <x:v>主题有材料或原型支持，完整字段/权限/状态及本期批准不能由索引推定。</x:v>
      </x:c>
      <x:c r="G57" s="173" t="str">
        <x:v>旧范围不自动批准；按本期确认归批</x:v>
      </x:c>
      <x:c r="H57" s="173" t="str">
        <x:v>P1</x:v>
      </x:c>
      <x:c r="I57" s="173" t="str">
        <x:v>存量事实判定：ASSUMPTION</x:v>
      </x:c>
      <x:c r="J57" s="173" t="str">
        <x:v>按对应业务正常/异常与角色场景确认；旧页面映射不等于覆盖</x:v>
      </x:c>
      <x:c r="K57" s="173" t="str">
        <x:v>对应批次TASK及UAT</x:v>
      </x:c>
      <x:c r="L57" s="170" t="str">
        <x:v>待确认</x:v>
      </x:c>
      <x:c r="M57" s="170" t="str">
        <x:v>当前行为待复核</x:v>
      </x:c>
      <x:c r="N57" s="170" t="str">
        <x:v>未业务验收</x:v>
      </x:c>
      <x:c r="O57" s="170" t="str">
        <x:v>B02</x:v>
      </x:c>
      <x:c r="P57" s="170" t="str">
        <x:v>10/07事实分类；本轮未重用旧行为通过结论</x:v>
      </x:c>
      <x:c r="Q57" s="170" t="str">
        <x:v>docs/audit/LEGACY-80-REQUIREMENT-AUDIT.md REQ-014/F014；原主题索引非批准</x:v>
      </x:c>
      <x:c r="R57" s="170" t="str">
        <x:v>F014</x:v>
      </x:c>
      <x:c r="S57" s="170" t="str"/>
      <x:c r="T57" s="178"/>
    </x:row>
    <x:row r="58" ht="76" customHeight="1">
      <x:c r="A58" s="171" t="str">
        <x:v>LEGACY-REQ</x:v>
      </x:c>
      <x:c r="B58" s="175" t="str">
        <x:v>分派与调度</x:v>
      </x:c>
      <x:c r="C58" s="171" t="str">
        <x:v>REQ-015</x:v>
      </x:c>
      <x:c r="D58" s="171" t="str">
        <x:v>按任务编号、CALL、客户、区域、状态和类型搜索</x:v>
      </x:c>
      <x:c r="E58" s="171" t="str">
        <x:v>存量功能文本保留；以原文和本期确认核对全部规则</x:v>
      </x:c>
      <x:c r="F58" s="171" t="str">
        <x:v>主题有材料或原型支持，完整字段/权限/状态及本期批准不能由索引推定。</x:v>
      </x:c>
      <x:c r="G58" s="171" t="str">
        <x:v>旧范围不自动批准；按本期确认归批</x:v>
      </x:c>
      <x:c r="H58" s="171" t="str">
        <x:v>P1</x:v>
      </x:c>
      <x:c r="I58" s="171" t="str">
        <x:v>存量事实判定：ASSUMPTION</x:v>
      </x:c>
      <x:c r="J58" s="171" t="str">
        <x:v>按对应业务正常/异常与角色场景确认；旧页面映射不等于覆盖</x:v>
      </x:c>
      <x:c r="K58" s="171" t="str">
        <x:v>对应批次TASK及UAT</x:v>
      </x:c>
      <x:c r="L58" s="170" t="str">
        <x:v>待确认</x:v>
      </x:c>
      <x:c r="M58" s="170" t="str">
        <x:v>当前行为待复核</x:v>
      </x:c>
      <x:c r="N58" s="170" t="str">
        <x:v>未业务验收</x:v>
      </x:c>
      <x:c r="O58" s="170" t="str">
        <x:v>B01</x:v>
      </x:c>
      <x:c r="P58" s="170" t="str">
        <x:v>10/07事实分类；本轮未重用旧行为通过结论</x:v>
      </x:c>
      <x:c r="Q58" s="170" t="str">
        <x:v>docs/audit/LEGACY-80-REQUIREMENT-AUDIT.md REQ-015/F015；原主题索引非批准</x:v>
      </x:c>
      <x:c r="R58" s="170" t="str">
        <x:v>F015</x:v>
      </x:c>
      <x:c r="S58" s="170" t="str"/>
      <x:c r="T58" s="178"/>
    </x:row>
    <x:row r="59" ht="76" customHeight="1">
      <x:c r="A59" s="173" t="str">
        <x:v>LEGACY-REQ</x:v>
      </x:c>
      <x:c r="B59" s="176" t="str">
        <x:v>分派与调度</x:v>
      </x:c>
      <x:c r="C59" s="173" t="str">
        <x:v>REQ-016</x:v>
      </x:c>
      <x:c r="D59" s="173" t="str">
        <x:v>在同区域的可接单师傅中推荐负载最低者；无候选人时不跨区推荐、不自动派单</x:v>
      </x:c>
      <x:c r="E59" s="173" t="str">
        <x:v>存量功能文本保留；以原文和本期确认核对全部规则</x:v>
      </x:c>
      <x:c r="F59" s="173" t="str">
        <x:v>最低负载规则未获客户确认。</x:v>
      </x:c>
      <x:c r="G59" s="173" t="str">
        <x:v>旧范围不自动批准；按本期确认归批</x:v>
      </x:c>
      <x:c r="H59" s="173" t="str">
        <x:v>P1</x:v>
      </x:c>
      <x:c r="I59" s="173" t="str">
        <x:v>存量事实判定：ASSUMPTION</x:v>
      </x:c>
      <x:c r="J59" s="173" t="str">
        <x:v>按对应业务正常/异常与角色场景确认；旧页面映射不等于覆盖</x:v>
      </x:c>
      <x:c r="K59" s="173" t="str">
        <x:v>对应批次TASK及UAT</x:v>
      </x:c>
      <x:c r="L59" s="170" t="str">
        <x:v>待确认</x:v>
      </x:c>
      <x:c r="M59" s="170" t="str">
        <x:v>当前行为待复核</x:v>
      </x:c>
      <x:c r="N59" s="170" t="str">
        <x:v>未业务验收</x:v>
      </x:c>
      <x:c r="O59" s="170" t="str">
        <x:v>B02</x:v>
      </x:c>
      <x:c r="P59" s="170" t="str">
        <x:v>10/07事实分类；本轮未重用旧行为通过结论</x:v>
      </x:c>
      <x:c r="Q59" s="170" t="str">
        <x:v>docs/audit/LEGACY-80-REQUIREMENT-AUDIT.md REQ-016/F016；原主题索引非批准</x:v>
      </x:c>
      <x:c r="R59" s="170" t="str">
        <x:v>F016</x:v>
      </x:c>
      <x:c r="S59" s="170" t="str"/>
      <x:c r="T59" s="178"/>
    </x:row>
    <x:row r="60" ht="76" customHeight="1">
      <x:c r="A60" s="171" t="str">
        <x:v>LEGACY-REQ</x:v>
      </x:c>
      <x:c r="B60" s="176" t="str">
        <x:v>分派与调度</x:v>
      </x:c>
      <x:c r="C60" s="171" t="str">
        <x:v>REQ-017</x:v>
      </x:c>
      <x:c r="D60" s="171" t="str">
        <x:v>人工按师傅技能筛选候选人；技能不参与自动推荐</x:v>
      </x:c>
      <x:c r="E60" s="171" t="str">
        <x:v>存量功能文本保留；以原文和本期确认核对全部规则</x:v>
      </x:c>
      <x:c r="F60" s="171" t="str">
        <x:v>主题有材料或原型支持，完整字段/权限/状态及本期批准不能由索引推定。</x:v>
      </x:c>
      <x:c r="G60" s="171" t="str">
        <x:v>旧范围不自动批准；按本期确认归批</x:v>
      </x:c>
      <x:c r="H60" s="171" t="str">
        <x:v>P1</x:v>
      </x:c>
      <x:c r="I60" s="171" t="str">
        <x:v>存量事实判定：ASSUMPTION</x:v>
      </x:c>
      <x:c r="J60" s="171" t="str">
        <x:v>按对应业务正常/异常与角色场景确认；旧页面映射不等于覆盖</x:v>
      </x:c>
      <x:c r="K60" s="171" t="str">
        <x:v>对应批次TASK及UAT</x:v>
      </x:c>
      <x:c r="L60" s="170" t="str">
        <x:v>待确认</x:v>
      </x:c>
      <x:c r="M60" s="170" t="str">
        <x:v>当前行为待复核</x:v>
      </x:c>
      <x:c r="N60" s="170" t="str">
        <x:v>未业务验收</x:v>
      </x:c>
      <x:c r="O60" s="170" t="str">
        <x:v>B02</x:v>
      </x:c>
      <x:c r="P60" s="170" t="str">
        <x:v>10/07事实分类；本轮未重用旧行为通过结论</x:v>
      </x:c>
      <x:c r="Q60" s="170" t="str">
        <x:v>docs/audit/LEGACY-80-REQUIREMENT-AUDIT.md REQ-017/F017；原主题索引非批准</x:v>
      </x:c>
      <x:c r="R60" s="170" t="str">
        <x:v>F017</x:v>
      </x:c>
      <x:c r="S60" s="170" t="str"/>
      <x:c r="T60" s="178"/>
    </x:row>
    <x:row r="61" ht="76" customHeight="1">
      <x:c r="A61" s="173" t="str">
        <x:v>LEGACY-REQ</x:v>
      </x:c>
      <x:c r="B61" s="176" t="str">
        <x:v>分派与调度</x:v>
      </x:c>
      <x:c r="C61" s="173" t="str">
        <x:v>REQ-018</x:v>
      </x:c>
      <x:c r="D61" s="173" t="str">
        <x:v>请假师傅置灰且不可分派；负载过高师傅标记为忙碌</x:v>
      </x:c>
      <x:c r="E61" s="173" t="str">
        <x:v>存量功能文本保留；以原文和本期确认核对全部规则</x:v>
      </x:c>
      <x:c r="F61" s="173" t="str">
        <x:v>负载&gt;=3与请假Mock是设计参数。</x:v>
      </x:c>
      <x:c r="G61" s="173" t="str">
        <x:v>旧范围不自动批准；按本期确认归批</x:v>
      </x:c>
      <x:c r="H61" s="173" t="str">
        <x:v>P1</x:v>
      </x:c>
      <x:c r="I61" s="173" t="str">
        <x:v>存量事实判定：ASSUMPTION</x:v>
      </x:c>
      <x:c r="J61" s="173" t="str">
        <x:v>按对应业务正常/异常与角色场景确认；旧页面映射不等于覆盖</x:v>
      </x:c>
      <x:c r="K61" s="173" t="str">
        <x:v>对应批次TASK及UAT</x:v>
      </x:c>
      <x:c r="L61" s="170" t="str">
        <x:v>待确认</x:v>
      </x:c>
      <x:c r="M61" s="170" t="str">
        <x:v>当前行为待复核</x:v>
      </x:c>
      <x:c r="N61" s="170" t="str">
        <x:v>未业务验收</x:v>
      </x:c>
      <x:c r="O61" s="170" t="str">
        <x:v>B02</x:v>
      </x:c>
      <x:c r="P61" s="170" t="str">
        <x:v>10/07事实分类；本轮未重用旧行为通过结论</x:v>
      </x:c>
      <x:c r="Q61" s="170" t="str">
        <x:v>docs/audit/LEGACY-80-REQUIREMENT-AUDIT.md REQ-018/F018；原主题索引非批准</x:v>
      </x:c>
      <x:c r="R61" s="170" t="str">
        <x:v>F018</x:v>
      </x:c>
      <x:c r="S61" s="170" t="str"/>
      <x:c r="T61" s="178"/>
    </x:row>
    <x:row r="62" ht="76" customHeight="1">
      <x:c r="A62" s="171" t="str">
        <x:v>LEGACY-REQ</x:v>
      </x:c>
      <x:c r="B62" s="176" t="str">
        <x:v>分派与调度</x:v>
      </x:c>
      <x:c r="C62" s="171" t="str">
        <x:v>REQ-019</x:v>
      </x:c>
      <x:c r="D62" s="171" t="str">
        <x:v>首次分派、改派、派工备注和分派日志</x:v>
      </x:c>
      <x:c r="E62" s="171" t="str">
        <x:v>存量功能文本保留；以原文和本期确认核对全部规则</x:v>
      </x:c>
      <x:c r="F62" s="171" t="str">
        <x:v>主管派工时在备注写约定时间与具体事项，通常电话沟通；材料未就绪仍不可正式派施工。不新增独立预约日期/审批要求。</x:v>
      </x:c>
      <x:c r="G62" s="171" t="str">
        <x:v>旧范围不自动批准；按本期确认归批</x:v>
      </x:c>
      <x:c r="H62" s="171" t="str">
        <x:v>P1</x:v>
      </x:c>
      <x:c r="I62" s="171" t="str">
        <x:v>存量事实判定：ASSUMPTION</x:v>
      </x:c>
      <x:c r="J62" s="171" t="str">
        <x:v>按对应业务正常/异常与角色场景确认；旧页面映射不等于覆盖</x:v>
      </x:c>
      <x:c r="K62" s="171" t="str">
        <x:v>对应批次TASK及UAT</x:v>
      </x:c>
      <x:c r="L62" s="170" t="str">
        <x:v>待确认</x:v>
      </x:c>
      <x:c r="M62" s="170" t="str">
        <x:v>复用派工备注；移动备注保存及师傅读取/刷新局部复测，不把formalAppointmentAt为空等同预约未确认</x:v>
      </x:c>
      <x:c r="N62" s="170" t="str">
        <x:v>未业务验收</x:v>
      </x:c>
      <x:c r="O62" s="170" t="str">
        <x:v>B02</x:v>
      </x:c>
      <x:c r="P62" s="170" t="str">
        <x:v>10/07事实分类；本轮未重用旧行为通过结论</x:v>
      </x:c>
      <x:c r="Q62" s="170" t="str">
        <x:v>SOURCE-022最新派工备注原话；SOURCE-028 §派工备注与电话沟通；CONFIRMED-004/005原顺序保留</x:v>
      </x:c>
      <x:c r="R62" s="170" t="str">
        <x:v>F019</x:v>
      </x:c>
      <x:c r="S62" s="170" t="str"/>
      <x:c r="T62" s="178"/>
    </x:row>
    <x:row r="63" ht="76" customHeight="1">
      <x:c r="A63" s="173" t="str">
        <x:v>LEGACY-REQ</x:v>
      </x:c>
      <x:c r="B63" s="172" t="str">
        <x:v>分派与调度</x:v>
      </x:c>
      <x:c r="C63" s="173" t="str">
        <x:v>REQ-020</x:v>
      </x:c>
      <x:c r="D63" s="173" t="str">
        <x:v>分派权限按“区域主管”及“对应区域 CR”限制</x:v>
      </x:c>
      <x:c r="E63" s="173" t="str">
        <x:v>存量功能文本保留；以原文和本期确认核对全部规则</x:v>
      </x:c>
      <x:c r="F63" s="173" t="str">
        <x:v>CR实际用户区域与角色默认区域不同；CALL无数据范围过滤。</x:v>
      </x:c>
      <x:c r="G63" s="173" t="str">
        <x:v>旧范围不自动批准；按本期确认归批</x:v>
      </x:c>
      <x:c r="H63" s="173" t="str">
        <x:v>P1</x:v>
      </x:c>
      <x:c r="I63" s="173" t="str">
        <x:v>存量事实判定：CONFLICT</x:v>
      </x:c>
      <x:c r="J63" s="173" t="str">
        <x:v>按对应业务正常/异常与角色场景确认；旧页面映射不等于覆盖</x:v>
      </x:c>
      <x:c r="K63" s="173" t="str">
        <x:v>对应批次TASK及UAT</x:v>
      </x:c>
      <x:c r="L63" s="170" t="str">
        <x:v>待确认</x:v>
      </x:c>
      <x:c r="M63" s="170" t="str">
        <x:v>当前行为待复核</x:v>
      </x:c>
      <x:c r="N63" s="170" t="str">
        <x:v>未业务验收</x:v>
      </x:c>
      <x:c r="O63" s="170" t="str">
        <x:v>B01</x:v>
      </x:c>
      <x:c r="P63" s="170" t="str">
        <x:v>10/07事实分类；本轮未重用旧行为通过结论</x:v>
      </x:c>
      <x:c r="Q63" s="170" t="str">
        <x:v>docs/audit/LEGACY-80-REQUIREMENT-AUDIT.md REQ-020/F020；原主题索引非批准</x:v>
      </x:c>
      <x:c r="R63" s="170" t="str">
        <x:v>F020</x:v>
      </x:c>
      <x:c r="S63" s="170" t="str"/>
      <x:c r="T63" s="178"/>
    </x:row>
    <x:row r="64" ht="76" customHeight="1">
      <x:c r="A64" s="171" t="str">
        <x:v>LEGACY-REQ</x:v>
      </x:c>
      <x:c r="B64" s="172" t="str">
        <x:v>分派与调度</x:v>
      </x:c>
      <x:c r="C64" s="171" t="str">
        <x:v>REQ-021</x:v>
      </x:c>
      <x:c r="D64" s="171" t="str">
        <x:v>分派时由系统自动判定领取完工单或服务报告</x:v>
      </x:c>
      <x:c r="E64" s="171" t="str">
        <x:v>存量功能文本保留；以原文和本期确认核对全部规则</x:v>
      </x:c>
      <x:c r="F64" s="171" t="str">
        <x:v>出发前维修需要CP、保养/CALL上门用SR；原交付CR/主管候选仍待客户，不推定两者打印全权限。</x:v>
      </x:c>
      <x:c r="G64" s="171" t="str">
        <x:v>旧范围不自动批准；按本期确认归批</x:v>
      </x:c>
      <x:c r="H64" s="171" t="str">
        <x:v>P1</x:v>
      </x:c>
      <x:c r="I64" s="171" t="str">
        <x:v>存量事实判定：PENDING_CUSTOMER</x:v>
      </x:c>
      <x:c r="J64" s="171" t="str">
        <x:v>按对应业务正常/异常与角色场景确认；旧页面映射不等于覆盖</x:v>
      </x:c>
      <x:c r="K64" s="171" t="str">
        <x:v>对应批次TASK及UAT</x:v>
      </x:c>
      <x:c r="L64" s="170" t="str">
        <x:v>待确认</x:v>
      </x:c>
      <x:c r="M64" s="170" t="str">
        <x:v>SR/CP既有适用已说明；本轮继续核打印源数据/现场空白区，打印/领单权限与模板未定</x:v>
      </x:c>
      <x:c r="N64" s="170" t="str">
        <x:v>未业务验收</x:v>
      </x:c>
      <x:c r="O64" s="170" t="str">
        <x:v>B02</x:v>
      </x:c>
      <x:c r="P64" s="170" t="str">
        <x:v>10/07事实分类；本轮未重用旧行为通过结论</x:v>
      </x:c>
      <x:c r="Q64" s="170" t="str">
        <x:v>SOURCE-022单据/派工/领单原话；SOURCE-027 §出发前打印继续核对；docs/review/2026-10-14-user-review/INTERNAL-REVIEW-CHECKLIST.md A4/A6/A7</x:v>
      </x:c>
      <x:c r="R64" s="170" t="str">
        <x:v>F021</x:v>
      </x:c>
      <x:c r="S64" s="170" t="str"/>
      <x:c r="T64" s="178"/>
    </x:row>
    <x:row r="65" ht="76" customHeight="1">
      <x:c r="A65" s="173" t="str">
        <x:v>LEGACY-REQ</x:v>
      </x:c>
      <x:c r="B65" s="172" t="str">
        <x:v>分派与调度</x:v>
      </x:c>
      <x:c r="C65" s="173" t="str">
        <x:v>REQ-022</x:v>
      </x:c>
      <x:c r="D65" s="173" t="str">
        <x:v>师傅接单、拒单并填写拒单原因</x:v>
      </x:c>
      <x:c r="E65" s="173" t="str">
        <x:v>存量功能文本保留；以原文和本期确认核对全部规则</x:v>
      </x:c>
      <x:c r="F65" s="173" t="str">
        <x:v>当前指派仅收到，拒单原始/历史有不同口径。</x:v>
      </x:c>
      <x:c r="G65" s="173" t="str">
        <x:v>旧范围不自动批准；按本期确认归批</x:v>
      </x:c>
      <x:c r="H65" s="173" t="str">
        <x:v>P1</x:v>
      </x:c>
      <x:c r="I65" s="173" t="str">
        <x:v>存量事实判定：CONFLICT</x:v>
      </x:c>
      <x:c r="J65" s="173" t="str">
        <x:v>按对应业务正常/异常与角色场景确认；旧页面映射不等于覆盖</x:v>
      </x:c>
      <x:c r="K65" s="173" t="str">
        <x:v>对应批次TASK及UAT</x:v>
      </x:c>
      <x:c r="L65" s="170" t="str">
        <x:v>待确认</x:v>
      </x:c>
      <x:c r="M65" s="170" t="str">
        <x:v>当前行为待复核</x:v>
      </x:c>
      <x:c r="N65" s="170" t="str">
        <x:v>未业务验收</x:v>
      </x:c>
      <x:c r="O65" s="170" t="str">
        <x:v>B02</x:v>
      </x:c>
      <x:c r="P65" s="170" t="str">
        <x:v>10/07事实分类；本轮未重用旧行为通过结论</x:v>
      </x:c>
      <x:c r="Q65" s="170" t="str">
        <x:v>docs/audit/LEGACY-80-REQUIREMENT-AUDIT.md REQ-022/F022；原主题索引非批准</x:v>
      </x:c>
      <x:c r="R65" s="170" t="str">
        <x:v>F022</x:v>
      </x:c>
      <x:c r="S65" s="170" t="str"/>
      <x:c r="T65" s="178"/>
    </x:row>
    <x:row r="66" ht="76" customHeight="1">
      <x:c r="A66" s="171" t="str">
        <x:v>LEGACY-REQ</x:v>
      </x:c>
      <x:c r="B66" s="172" t="str">
        <x:v>分派与调度</x:v>
      </x:c>
      <x:c r="C66" s="171" t="str">
        <x:v>REQ-023</x:v>
      </x:c>
      <x:c r="D66" s="171" t="str">
        <x:v>主管通过或不通过分派申请</x:v>
      </x:c>
      <x:c r="E66" s="171" t="str">
        <x:v>存量功能文本保留；以原文和本期确认核对全部规则</x:v>
      </x:c>
      <x:c r="F66" s="171" t="str">
        <x:v>团队申请有，主状态/独立申请仍待客户定。</x:v>
      </x:c>
      <x:c r="G66" s="171" t="str">
        <x:v>旧范围不自动批准；按本期确认归批</x:v>
      </x:c>
      <x:c r="H66" s="171" t="str">
        <x:v>P1</x:v>
      </x:c>
      <x:c r="I66" s="171" t="str">
        <x:v>存量事实判定：ASSUMPTION</x:v>
      </x:c>
      <x:c r="J66" s="171" t="str">
        <x:v>按对应业务正常/异常与角色场景确认；旧页面映射不等于覆盖</x:v>
      </x:c>
      <x:c r="K66" s="171" t="str">
        <x:v>对应批次TASK及UAT</x:v>
      </x:c>
      <x:c r="L66" s="170" t="str">
        <x:v>待确认</x:v>
      </x:c>
      <x:c r="M66" s="170" t="str">
        <x:v>当前行为待复核</x:v>
      </x:c>
      <x:c r="N66" s="170" t="str">
        <x:v>未业务验收</x:v>
      </x:c>
      <x:c r="O66" s="170" t="str">
        <x:v>B02</x:v>
      </x:c>
      <x:c r="P66" s="170" t="str">
        <x:v>10/07事实分类；本轮未重用旧行为通过结论</x:v>
      </x:c>
      <x:c r="Q66" s="170" t="str">
        <x:v>docs/audit/LEGACY-80-REQUIREMENT-AUDIT.md REQ-023/F023；原主题索引非批准</x:v>
      </x:c>
      <x:c r="R66" s="170" t="str">
        <x:v>F023</x:v>
      </x:c>
      <x:c r="S66" s="170" t="str"/>
      <x:c r="T66" s="178"/>
    </x:row>
    <x:row r="67" ht="76" customHeight="1">
      <x:c r="A67" s="173" t="str">
        <x:v>LEGACY-REQ</x:v>
      </x:c>
      <x:c r="B67" s="174" t="str">
        <x:v>移动端现场执行</x:v>
      </x:c>
      <x:c r="C67" s="173" t="str">
        <x:v>REQ-024</x:v>
      </x:c>
      <x:c r="D67" s="173" t="str">
        <x:v>师傅首页查看今日工作、待确认、待处理和处理中 CALL</x:v>
      </x:c>
      <x:c r="E67" s="173" t="str">
        <x:v>存量功能文本保留；以原文和本期确认核对全部规则</x:v>
      </x:c>
      <x:c r="F67" s="173" t="str">
        <x:v>主题有材料或原型支持，完整字段/权限/状态及本期批准不能由索引推定。</x:v>
      </x:c>
      <x:c r="G67" s="173" t="str">
        <x:v>旧范围不自动批准；按本期确认归批</x:v>
      </x:c>
      <x:c r="H67" s="173" t="str">
        <x:v>P1</x:v>
      </x:c>
      <x:c r="I67" s="173" t="str">
        <x:v>存量事实判定：ASSUMPTION</x:v>
      </x:c>
      <x:c r="J67" s="173" t="str">
        <x:v>按对应业务正常/异常与角色场景确认；旧页面映射不等于覆盖</x:v>
      </x:c>
      <x:c r="K67" s="173" t="str">
        <x:v>对应批次TASK及UAT</x:v>
      </x:c>
      <x:c r="L67" s="170" t="str">
        <x:v>待确认</x:v>
      </x:c>
      <x:c r="M67" s="170" t="str">
        <x:v>当前行为待复核</x:v>
      </x:c>
      <x:c r="N67" s="170" t="str">
        <x:v>未业务验收</x:v>
      </x:c>
      <x:c r="O67" s="170" t="str">
        <x:v>B02</x:v>
      </x:c>
      <x:c r="P67" s="170" t="str">
        <x:v>10/07事实分类；本轮未重用旧行为通过结论</x:v>
      </x:c>
      <x:c r="Q67" s="170" t="str">
        <x:v>docs/audit/LEGACY-80-REQUIREMENT-AUDIT.md REQ-024/F024；原主题索引非批准</x:v>
      </x:c>
      <x:c r="R67" s="170" t="str">
        <x:v>F024</x:v>
      </x:c>
      <x:c r="S67" s="170" t="str"/>
      <x:c r="T67" s="178"/>
    </x:row>
    <x:row r="68" ht="76" customHeight="1">
      <x:c r="A68" s="171" t="str">
        <x:v>LEGACY-REQ</x:v>
      </x:c>
      <x:c r="B68" s="174" t="str">
        <x:v>移动端现场执行</x:v>
      </x:c>
      <x:c r="C68" s="171" t="str">
        <x:v>REQ-025</x:v>
      </x:c>
      <x:c r="D68" s="171" t="str">
        <x:v>查看本人任务列表、优先处理事项和工单详情</x:v>
      </x:c>
      <x:c r="E68" s="171" t="str">
        <x:v>存量功能文本保留；以原文和本期确认核对全部规则</x:v>
      </x:c>
      <x:c r="F68" s="171" t="str">
        <x:v>主题有材料或原型支持，完整字段/权限/状态及本期批准不能由索引推定。</x:v>
      </x:c>
      <x:c r="G68" s="171" t="str">
        <x:v>旧范围不自动批准；按本期确认归批</x:v>
      </x:c>
      <x:c r="H68" s="171" t="str">
        <x:v>P1</x:v>
      </x:c>
      <x:c r="I68" s="171" t="str">
        <x:v>存量事实判定：ASSUMPTION</x:v>
      </x:c>
      <x:c r="J68" s="171" t="str">
        <x:v>按对应业务正常/异常与角色场景确认；旧页面映射不等于覆盖</x:v>
      </x:c>
      <x:c r="K68" s="171" t="str">
        <x:v>对应批次TASK及UAT</x:v>
      </x:c>
      <x:c r="L68" s="170" t="str">
        <x:v>待确认</x:v>
      </x:c>
      <x:c r="M68" s="170" t="str">
        <x:v>当前行为待复核</x:v>
      </x:c>
      <x:c r="N68" s="170" t="str">
        <x:v>未业务验收</x:v>
      </x:c>
      <x:c r="O68" s="170" t="str">
        <x:v>B02</x:v>
      </x:c>
      <x:c r="P68" s="170" t="str">
        <x:v>10/07事实分类；本轮未重用旧行为通过结论</x:v>
      </x:c>
      <x:c r="Q68" s="170" t="str">
        <x:v>docs/audit/LEGACY-80-REQUIREMENT-AUDIT.md REQ-025/F025；原主题索引非批准</x:v>
      </x:c>
      <x:c r="R68" s="170" t="str">
        <x:v>F025</x:v>
      </x:c>
      <x:c r="S68" s="170" t="str"/>
      <x:c r="T68" s="178"/>
    </x:row>
    <x:row r="69" ht="76" customHeight="1">
      <x:c r="A69" s="173" t="str">
        <x:v>LEGACY-REQ</x:v>
      </x:c>
      <x:c r="B69" s="174" t="str">
        <x:v>移动端现场执行</x:v>
      </x:c>
      <x:c r="C69" s="173" t="str">
        <x:v>REQ-026</x:v>
      </x:c>
      <x:c r="D69" s="173" t="str">
        <x:v>接单、拒单、开始处理、记录到场时间</x:v>
      </x:c>
      <x:c r="E69" s="173" t="str">
        <x:v>存量功能文本保留；以原文和本期确认核对全部规则</x:v>
      </x:c>
      <x:c r="F69" s="173" t="str">
        <x:v>主题有材料或原型支持，完整字段/权限/状态及本期批准不能由索引推定。</x:v>
      </x:c>
      <x:c r="G69" s="173" t="str">
        <x:v>旧范围不自动批准；按本期确认归批</x:v>
      </x:c>
      <x:c r="H69" s="173" t="str">
        <x:v>P1</x:v>
      </x:c>
      <x:c r="I69" s="173" t="str">
        <x:v>存量事实判定：ASSUMPTION</x:v>
      </x:c>
      <x:c r="J69" s="173" t="str">
        <x:v>按对应业务正常/异常与角色场景确认；旧页面映射不等于覆盖</x:v>
      </x:c>
      <x:c r="K69" s="173" t="str">
        <x:v>对应批次TASK及UAT</x:v>
      </x:c>
      <x:c r="L69" s="170" t="str">
        <x:v>待确认</x:v>
      </x:c>
      <x:c r="M69" s="170" t="str">
        <x:v>当前行为待复核</x:v>
      </x:c>
      <x:c r="N69" s="170" t="str">
        <x:v>未业务验收</x:v>
      </x:c>
      <x:c r="O69" s="170" t="str">
        <x:v>B02</x:v>
      </x:c>
      <x:c r="P69" s="170" t="str">
        <x:v>10/07事实分类；本轮未重用旧行为通过结论</x:v>
      </x:c>
      <x:c r="Q69" s="170" t="str">
        <x:v>docs/audit/LEGACY-80-REQUIREMENT-AUDIT.md REQ-026/F026；原主题索引非批准</x:v>
      </x:c>
      <x:c r="R69" s="170" t="str">
        <x:v>F026</x:v>
      </x:c>
      <x:c r="S69" s="170" t="str"/>
      <x:c r="T69" s="178"/>
    </x:row>
    <x:row r="70" ht="76" customHeight="1">
      <x:c r="A70" s="171" t="str">
        <x:v>LEGACY-REQ</x:v>
      </x:c>
      <x:c r="B70" s="174" t="str">
        <x:v>移动端现场执行</x:v>
      </x:c>
      <x:c r="C70" s="171" t="str">
        <x:v>REQ-027</x:v>
      </x:c>
      <x:c r="D70" s="171" t="str">
        <x:v>填写服务报告编号、系统、目的、完成工作和跟进事项</x:v>
      </x:c>
      <x:c r="E70" s="171" t="str">
        <x:v>存量功能文本保留；以原文和本期确认核对全部规则</x:v>
      </x:c>
      <x:c r="F70" s="171" t="str">
        <x:v>用户暂选新打印七位数字、新单加1，正式细则C-09待客户；已有码纸单完整回录保留前导零，旧六位样例兼容不批准六位新序列。</x:v>
      </x:c>
      <x:c r="G70" s="171" t="str">
        <x:v>旧范围不自动批准；按本期确认归批</x:v>
      </x:c>
      <x:c r="H70" s="171" t="str">
        <x:v>P1</x:v>
      </x:c>
      <x:c r="I70" s="171" t="str">
        <x:v>存量事实判定：CONFIRMED</x:v>
      </x:c>
      <x:c r="J70" s="171" t="str">
        <x:v>按对应业务正常/异常与角色场景确认；旧页面映射不等于覆盖</x:v>
      </x:c>
      <x:c r="K70" s="171" t="str">
        <x:v>TASK-040/041；REQ-021/031；C-08/09；UAT-03相关子项</x:v>
      </x:c>
      <x:c r="L70" s="170" t="str">
        <x:v>待确认</x:v>
      </x:c>
      <x:c r="M70" s="170" t="str">
        <x:v>SR原号/前导零及通用提交保持；旧001报价维修只交SR不算业务通过，成交维修已转CP入口</x:v>
      </x:c>
      <x:c r="N70" s="170" t="str">
        <x:v>未业务验收</x:v>
      </x:c>
      <x:c r="O70" s="170" t="str">
        <x:v>B02</x:v>
      </x:c>
      <x:c r="P70" s="170" t="str">
        <x:v>10/07事实分类；本轮未重用旧行为通过结论</x:v>
      </x:c>
      <x:c r="Q70" s="170" t="str">
        <x:v>SOURCE-022编号候选；SOURCE-027回录；SOURCE-028 SR往返证据；原SR纸样及历史记录</x:v>
      </x:c>
      <x:c r="R70" s="170" t="str">
        <x:v>F027</x:v>
      </x:c>
      <x:c r="S70" s="170" t="str"/>
      <x:c r="T70" s="178"/>
    </x:row>
    <x:row r="71" ht="76" customHeight="1">
      <x:c r="A71" s="173" t="str">
        <x:v>LEGACY-REQ</x:v>
      </x:c>
      <x:c r="B71" s="174" t="str">
        <x:v>移动端现场执行</x:v>
      </x:c>
      <x:c r="C71" s="173" t="str">
        <x:v>REQ-028</x:v>
      </x:c>
      <x:c r="D71" s="173" t="str">
        <x:v>上传服务报告图片并模拟带入报告数据</x:v>
      </x:c>
      <x:c r="E71" s="173" t="str">
        <x:v>存量功能文本保留；以原文和本期确认核对全部规则</x:v>
      </x:c>
      <x:c r="F71" s="173" t="str">
        <x:v>纸单编号识别需求保留，读取原纸单号不等于生成新号；不自动全字段带入。EC新打印递增属于另一环节，真实OCR未接入。</x:v>
      </x:c>
      <x:c r="G71" s="173" t="str">
        <x:v>旧范围不自动批准；按本期确认归批</x:v>
      </x:c>
      <x:c r="H71" s="173" t="str">
        <x:v>P1</x:v>
      </x:c>
      <x:c r="I71" s="173" t="str">
        <x:v>存量事实判定：ASSUMPTION</x:v>
      </x:c>
      <x:c r="J71" s="173" t="str">
        <x:v>图片存档及人工值保持可复测；识别目标需原纸单核对/失败可人工输入，具体确认/覆盖规则待核，不以样例值算识别通过</x:v>
      </x:c>
      <x:c r="K71" s="173" t="str">
        <x:v>TASK-040/041；REQ-027；C-01/08/09；历史Q-022</x:v>
      </x:c>
      <x:c r="L71" s="170" t="str">
        <x:v>待确认</x:v>
      </x:c>
      <x:c r="M71" s="170" t="str">
        <x:v>上传/示例改为图片存档，提示识别未接入；人工编号/现场内容保持局部通过，真实识别尚未实现</x:v>
      </x:c>
      <x:c r="N71" s="170" t="str">
        <x:v>未业务验收</x:v>
      </x:c>
      <x:c r="O71" s="170" t="str">
        <x:v>B02</x:v>
      </x:c>
      <x:c r="P71" s="170" t="str">
        <x:v>用户明确编号识别需求；全字段模拟无依据，客户一期范围未签收</x:v>
      </x:c>
      <x:c r="Q71" s="170" t="str">
        <x:v>SOURCE-022最新新打印/纸单原号说明；SOURCE-027两路径与既有上传局部证据；旧审计REQ-028保留</x:v>
      </x:c>
      <x:c r="R71" s="170" t="str">
        <x:v>F028</x:v>
      </x:c>
      <x:c r="S71" s="170" t="str"/>
      <x:c r="T71" s="178"/>
    </x:row>
    <x:row r="72" ht="76" customHeight="1">
      <x:c r="A72" s="171" t="str">
        <x:v>LEGACY-REQ</x:v>
      </x:c>
      <x:c r="B72" s="174" t="str">
        <x:v>移动端现场执行</x:v>
      </x:c>
      <x:c r="C72" s="171" t="str">
        <x:v>REQ-029</x:v>
      </x:c>
      <x:c r="D72" s="171" t="str">
        <x:v>上传现场照片、材料照片、附件和车资记录</x:v>
      </x:c>
      <x:c r="E72" s="171" t="str">
        <x:v>存量功能文本保留；以原文和本期确认核对全部规则</x:v>
      </x:c>
      <x:c r="F72" s="171" t="str">
        <x:v>主题有材料或原型支持，完整字段/权限/状态及本期批准不能由索引推定。</x:v>
      </x:c>
      <x:c r="G72" s="171" t="str">
        <x:v>旧范围不自动批准；按本期确认归批</x:v>
      </x:c>
      <x:c r="H72" s="171" t="str">
        <x:v>P1</x:v>
      </x:c>
      <x:c r="I72" s="171" t="str">
        <x:v>存量事实判定：ASSUMPTION</x:v>
      </x:c>
      <x:c r="J72" s="171" t="str">
        <x:v>按对应业务正常/异常与角色场景确认；旧页面映射不等于覆盖</x:v>
      </x:c>
      <x:c r="K72" s="171" t="str">
        <x:v>对应批次TASK及UAT</x:v>
      </x:c>
      <x:c r="L72" s="170" t="str">
        <x:v>待确认</x:v>
      </x:c>
      <x:c r="M72" s="170" t="str">
        <x:v>当前行为待复核</x:v>
      </x:c>
      <x:c r="N72" s="170" t="str">
        <x:v>未业务验收</x:v>
      </x:c>
      <x:c r="O72" s="170" t="str">
        <x:v>B02</x:v>
      </x:c>
      <x:c r="P72" s="170" t="str">
        <x:v>10/07事实分类；本轮未重用旧行为通过结论</x:v>
      </x:c>
      <x:c r="Q72" s="170" t="str">
        <x:v>docs/audit/LEGACY-80-REQUIREMENT-AUDIT.md REQ-029/F029；原主题索引非批准</x:v>
      </x:c>
      <x:c r="R72" s="170" t="str">
        <x:v>F029</x:v>
      </x:c>
      <x:c r="S72" s="170" t="str"/>
      <x:c r="T72" s="178"/>
    </x:row>
    <x:row r="73" ht="76" customHeight="1">
      <x:c r="A73" s="173" t="str">
        <x:v>LEGACY-REQ</x:v>
      </x:c>
      <x:c r="B73" s="175" t="str">
        <x:v>移动端现场执行</x:v>
      </x:c>
      <x:c r="C73" s="173" t="str">
        <x:v>REQ-030</x:v>
      </x:c>
      <x:c r="D73" s="173" t="str">
        <x:v>标记是否需要后补报价、材料或客户确认</x:v>
      </x:c>
      <x:c r="E73" s="173" t="str">
        <x:v>存量功能文本保留；以原文和本期确认核对全部规则</x:v>
      </x:c>
      <x:c r="F73" s="173" t="str">
        <x:v>需要报价与后补报价均必填且独立，保固采购分支缺失。</x:v>
      </x:c>
      <x:c r="G73" s="173" t="str">
        <x:v>旧范围不自动批准；按本期确认归批</x:v>
      </x:c>
      <x:c r="H73" s="173" t="str">
        <x:v>P1</x:v>
      </x:c>
      <x:c r="I73" s="173" t="str">
        <x:v>存量事实判定：CONFLICT</x:v>
      </x:c>
      <x:c r="J73" s="173" t="str">
        <x:v>按对应业务正常/异常与角色场景确认；旧页面映射不等于覆盖</x:v>
      </x:c>
      <x:c r="K73" s="173" t="str">
        <x:v>对应批次TASK及UAT</x:v>
      </x:c>
      <x:c r="L73" s="170" t="str">
        <x:v>待确认</x:v>
      </x:c>
      <x:c r="M73" s="170" t="str">
        <x:v>当前行为待复核</x:v>
      </x:c>
      <x:c r="N73" s="170" t="str">
        <x:v>未业务验收</x:v>
      </x:c>
      <x:c r="O73" s="170" t="str">
        <x:v>B02</x:v>
      </x:c>
      <x:c r="P73" s="170" t="str">
        <x:v>10/07事实分类；本轮未重用旧行为通过结论</x:v>
      </x:c>
      <x:c r="Q73" s="170" t="str">
        <x:v>docs/audit/LEGACY-80-REQUIREMENT-AUDIT.md REQ-030/F030；原主题索引非批准</x:v>
      </x:c>
      <x:c r="R73" s="170" t="str">
        <x:v>F030</x:v>
      </x:c>
      <x:c r="S73" s="170" t="str"/>
      <x:c r="T73" s="178"/>
    </x:row>
    <x:row r="74" ht="76" customHeight="1">
      <x:c r="A74" s="171" t="str">
        <x:v>LEGACY-REQ</x:v>
      </x:c>
      <x:c r="B74" s="175" t="str">
        <x:v>移动端现场执行</x:v>
      </x:c>
      <x:c r="C74" s="171" t="str">
        <x:v>REQ-031</x:v>
      </x:c>
      <x:c r="D74" s="171" t="str">
        <x:v>记录满意度、电子签名或客户不在场</x:v>
      </x:c>
      <x:c r="E74" s="171" t="str">
        <x:v>存量功能文本保留；以原文和本期确认核对全部规则</x:v>
      </x:c>
      <x:c r="F74" s="171" t="str">
        <x:v>签名有纸样依据，满意度必填及缺签豁免不能从纸样推定。</x:v>
      </x:c>
      <x:c r="G74" s="171" t="str">
        <x:v>旧范围不自动批准；按本期确认归批</x:v>
      </x:c>
      <x:c r="H74" s="171" t="str">
        <x:v>P1</x:v>
      </x:c>
      <x:c r="I74" s="171" t="str">
        <x:v>存量事实判定：ASSUMPTION</x:v>
      </x:c>
      <x:c r="J74" s="171" t="str">
        <x:v>按对应业务正常/异常与角色场景确认；旧页面映射不等于覆盖</x:v>
      </x:c>
      <x:c r="K74" s="171" t="str">
        <x:v>对应批次TASK及UAT</x:v>
      </x:c>
      <x:c r="L74" s="170" t="str">
        <x:v>待确认</x:v>
      </x:c>
      <x:c r="M74" s="170" t="str">
        <x:v>当前行为待复核</x:v>
      </x:c>
      <x:c r="N74" s="170" t="str">
        <x:v>未业务验收</x:v>
      </x:c>
      <x:c r="O74" s="170" t="str">
        <x:v>B02</x:v>
      </x:c>
      <x:c r="P74" s="170" t="str">
        <x:v>10/07事实分类；本轮未重用旧行为通过结论</x:v>
      </x:c>
      <x:c r="Q74" s="170" t="str">
        <x:v>docs/audit/LEGACY-80-REQUIREMENT-AUDIT.md REQ-031/F031；原主题索引非批准</x:v>
      </x:c>
      <x:c r="R74" s="170" t="str">
        <x:v>F031</x:v>
      </x:c>
      <x:c r="S74" s="170" t="str"/>
      <x:c r="T74" s="178"/>
    </x:row>
    <x:row r="75" ht="76" customHeight="1">
      <x:c r="A75" s="173" t="str">
        <x:v>LEGACY-REQ</x:v>
      </x:c>
      <x:c r="B75" s="175" t="str">
        <x:v>移动端现场执行</x:v>
      </x:c>
      <x:c r="C75" s="173" t="str">
        <x:v>REQ-032</x:v>
      </x:c>
      <x:c r="D75" s="173" t="str">
        <x:v>填写完工单编号、材料、照片、签章和备注</x:v>
      </x:c>
      <x:c r="E75" s="173" t="str">
        <x:v>存量功能文本保留；以原文和本期确认核对全部规则</x:v>
      </x:c>
      <x:c r="F75" s="173" t="str">
        <x:v>用户明确报价中单维修需CP，先交主管，由主管确认完工更新状态；保养/CALL上门走SR。CP编号、签章/例外和客户一期仍未冻</x:v>
      </x:c>
      <x:c r="G75" s="173" t="str">
        <x:v>旧范围不自动批准；按本期确认归批</x:v>
      </x:c>
      <x:c r="H75" s="173" t="str">
        <x:v>P1</x:v>
      </x:c>
      <x:c r="I75" s="173" t="str">
        <x:v>存量事实判定：PENDING_CUSTOMER</x:v>
      </x:c>
      <x:c r="J75" s="173" t="str">
        <x:v>按对应业务正常/异常与角色场景确认；旧页面映射不等于覆盖</x:v>
      </x:c>
      <x:c r="K75" s="173" t="str">
        <x:v>对应批次TASK及UAT</x:v>
      </x:c>
      <x:c r="L75" s="170" t="str">
        <x:v>待确认</x:v>
      </x:c>
      <x:c r="M75" s="170" t="str">
        <x:v>CP成交清单/入口、上传保留人工号、提交待主管、主管读取确认及共享状态已局部复测；完整链与客户验收未通过</x:v>
      </x:c>
      <x:c r="N75" s="170" t="str">
        <x:v>未业务验收</x:v>
      </x:c>
      <x:c r="O75" s="170" t="str">
        <x:v>B02</x:v>
      </x:c>
      <x:c r="P75" s="170" t="str">
        <x:v>10/07事实分类；本轮未重用旧行为通过结论</x:v>
      </x:c>
      <x:c r="Q75" s="170" t="str">
        <x:v>SOURCE-022最新三次用户回答；SOURCE-028证据15～23；SOURCE-014 P33；旧REQ-032待决边界保留</x:v>
      </x:c>
      <x:c r="R75" s="170" t="str">
        <x:v>F032</x:v>
      </x:c>
      <x:c r="S75" s="170" t="str"/>
      <x:c r="T75" s="178"/>
    </x:row>
    <x:row r="76" ht="76" customHeight="1">
      <x:c r="A76" s="171" t="str">
        <x:v>LEGACY-REQ</x:v>
      </x:c>
      <x:c r="B76" s="175" t="str">
        <x:v>移动端现场执行</x:v>
      </x:c>
      <x:c r="C76" s="171" t="str">
        <x:v>REQ-033</x:v>
      </x:c>
      <x:c r="D76" s="171" t="str">
        <x:v>暂存并提交完工结果，进入待确认或待审批</x:v>
      </x:c>
      <x:c r="E76" s="171" t="str">
        <x:v>存量功能文本保留；以原文和本期确认核对全部规则</x:v>
      </x:c>
      <x:c r="F76" s="171" t="str">
        <x:v>维修CP提交→待主管核对/完工确认，由主管更新已完成；SR保养/CALL路径另行。已完成更正/多报告仍未定，不从旧SR状态直接批准维修流程</x:v>
      </x:c>
      <x:c r="G76" s="171" t="str">
        <x:v>旧范围不自动批准；按本期确认归批</x:v>
      </x:c>
      <x:c r="H76" s="171" t="str">
        <x:v>P1</x:v>
      </x:c>
      <x:c r="I76" s="171" t="str">
        <x:v>存量事实判定：CONFLICT</x:v>
      </x:c>
      <x:c r="J76" s="171" t="str">
        <x:v>按对应业务正常/异常与角色场景确认；旧页面映射不等于覆盖</x:v>
      </x:c>
      <x:c r="K76" s="171" t="str">
        <x:v>对应批次TASK及UAT</x:v>
      </x:c>
      <x:c r="L76" s="170" t="str">
        <x:v>待确认</x:v>
      </x:c>
      <x:c r="M76" s="170" t="str">
        <x:v>002维修CP→待完工确认→指定主管已完成局部通过；旧001仅SR重分类，已完成更正/多报告未验</x:v>
      </x:c>
      <x:c r="N76" s="170" t="str">
        <x:v>未业务验收</x:v>
      </x:c>
      <x:c r="O76" s="170" t="str">
        <x:v>B02</x:v>
      </x:c>
      <x:c r="P76" s="170" t="str">
        <x:v>10/07事实分类；本轮未重用旧行为通过结论</x:v>
      </x:c>
      <x:c r="Q76" s="170" t="str">
        <x:v>SOURCE-022主管确认状态/财务独立原话；SOURCE-028新CP复测；旧REQ-033冲突记录保留</x:v>
      </x:c>
      <x:c r="R76" s="170" t="str">
        <x:v>F033</x:v>
      </x:c>
      <x:c r="S76" s="170" t="str"/>
      <x:c r="T76" s="178"/>
    </x:row>
    <x:row r="77" ht="76" customHeight="1">
      <x:c r="A77" s="173" t="str">
        <x:v>LEGACY-REQ</x:v>
      </x:c>
      <x:c r="B77" s="175" t="str">
        <x:v>移动端现场执行</x:v>
      </x:c>
      <x:c r="C77" s="173" t="str">
        <x:v>REQ-034</x:v>
      </x:c>
      <x:c r="D77" s="173" t="str">
        <x:v>离线保存处理记录，恢复网络后上传</x:v>
      </x:c>
      <x:c r="E77" s="173" t="str">
        <x:v>存量功能文本保留；以原文和本期确认核对全部规则</x:v>
      </x:c>
      <x:c r="F77" s="173" t="str">
        <x:v>仅Mock outbox，字段回放不完整，范围未批准。</x:v>
      </x:c>
      <x:c r="G77" s="173" t="str">
        <x:v>旧范围不自动批准；按本期确认归批</x:v>
      </x:c>
      <x:c r="H77" s="173" t="str">
        <x:v>P1</x:v>
      </x:c>
      <x:c r="I77" s="173" t="str">
        <x:v>存量事实判定：ASSUMPTION</x:v>
      </x:c>
      <x:c r="J77" s="173" t="str">
        <x:v>按对应业务正常/异常与角色场景确认；旧页面映射不等于覆盖</x:v>
      </x:c>
      <x:c r="K77" s="173" t="str">
        <x:v>对应批次TASK及UAT</x:v>
      </x:c>
      <x:c r="L77" s="170" t="str">
        <x:v>待确认</x:v>
      </x:c>
      <x:c r="M77" s="170" t="str">
        <x:v>当前行为待复核</x:v>
      </x:c>
      <x:c r="N77" s="170" t="str">
        <x:v>未业务验收</x:v>
      </x:c>
      <x:c r="O77" s="170" t="str">
        <x:v>B02</x:v>
      </x:c>
      <x:c r="P77" s="170" t="str">
        <x:v>10/07事实分类；本轮未重用旧行为通过结论</x:v>
      </x:c>
      <x:c r="Q77" s="170" t="str">
        <x:v>docs/audit/LEGACY-80-REQUIREMENT-AUDIT.md REQ-034/F034；原主题索引非批准</x:v>
      </x:c>
      <x:c r="R77" s="170" t="str">
        <x:v>F034</x:v>
      </x:c>
      <x:c r="S77" s="170" t="str"/>
      <x:c r="T77" s="178"/>
    </x:row>
    <x:row r="78" ht="76" customHeight="1">
      <x:c r="A78" s="171" t="str">
        <x:v>LEGACY-REQ</x:v>
      </x:c>
      <x:c r="B78" s="175" t="str">
        <x:v>报告与文档</x:v>
      </x:c>
      <x:c r="C78" s="171" t="str">
        <x:v>REQ-035</x:v>
      </x:c>
      <x:c r="D78" s="171" t="str">
        <x:v>按服务报告（SR）和完工单（CP）分类查看文件夹</x:v>
      </x:c>
      <x:c r="E78" s="171" t="str">
        <x:v>存量功能文本保留；以原文和本期确认核对全部规则</x:v>
      </x:c>
      <x:c r="F78" s="171" t="str">
        <x:v>主题有材料或原型支持，完整字段/权限/状态及本期批准不能由索引推定。</x:v>
      </x:c>
      <x:c r="G78" s="171" t="str">
        <x:v>旧范围不自动批准；按本期确认归批</x:v>
      </x:c>
      <x:c r="H78" s="171" t="str">
        <x:v>P1</x:v>
      </x:c>
      <x:c r="I78" s="171" t="str">
        <x:v>存量事实判定：ASSUMPTION</x:v>
      </x:c>
      <x:c r="J78" s="171" t="str">
        <x:v>按对应业务正常/异常与角色场景确认；旧页面映射不等于覆盖</x:v>
      </x:c>
      <x:c r="K78" s="171" t="str">
        <x:v>对应批次TASK及UAT</x:v>
      </x:c>
      <x:c r="L78" s="170" t="str">
        <x:v>待确认</x:v>
      </x:c>
      <x:c r="M78" s="170" t="str">
        <x:v>当前行为待复核</x:v>
      </x:c>
      <x:c r="N78" s="170" t="str">
        <x:v>未业务验收</x:v>
      </x:c>
      <x:c r="O78" s="170" t="str">
        <x:v>B02</x:v>
      </x:c>
      <x:c r="P78" s="170" t="str">
        <x:v>10/07事实分类；本轮未重用旧行为通过结论</x:v>
      </x:c>
      <x:c r="Q78" s="170" t="str">
        <x:v>docs/audit/LEGACY-80-REQUIREMENT-AUDIT.md REQ-035/F035；原主题索引非批准</x:v>
      </x:c>
      <x:c r="R78" s="170" t="str">
        <x:v>F035</x:v>
      </x:c>
      <x:c r="S78" s="170" t="str"/>
      <x:c r="T78" s="178"/>
    </x:row>
    <x:row r="79" ht="76" customHeight="1">
      <x:c r="A79" s="173" t="str">
        <x:v>LEGACY-REQ</x:v>
      </x:c>
      <x:c r="B79" s="176" t="str">
        <x:v>报告与文档</x:v>
      </x:c>
      <x:c r="C79" s="173" t="str">
        <x:v>REQ-036</x:v>
      </x:c>
      <x:c r="D79" s="173" t="str">
        <x:v>按区域、状态、编号、客户和内容搜索报告</x:v>
      </x:c>
      <x:c r="E79" s="173" t="str">
        <x:v>存量功能文本保留；以原文和本期确认核对全部规则</x:v>
      </x:c>
      <x:c r="F79" s="173" t="str">
        <x:v>0930明确Objective独立筛选，当前没有。</x:v>
      </x:c>
      <x:c r="G79" s="173" t="str">
        <x:v>旧范围不自动批准；按本期确认归批</x:v>
      </x:c>
      <x:c r="H79" s="173" t="str">
        <x:v>P1</x:v>
      </x:c>
      <x:c r="I79" s="173" t="str">
        <x:v>存量事实判定：MISSING</x:v>
      </x:c>
      <x:c r="J79" s="173" t="str">
        <x:v>按对应业务正常/异常与角色场景确认；旧页面映射不等于覆盖</x:v>
      </x:c>
      <x:c r="K79" s="173" t="str">
        <x:v>对应批次TASK及UAT</x:v>
      </x:c>
      <x:c r="L79" s="170" t="str">
        <x:v>待确认</x:v>
      </x:c>
      <x:c r="M79" s="170" t="str">
        <x:v>当前行为待复核</x:v>
      </x:c>
      <x:c r="N79" s="170" t="str">
        <x:v>未业务验收</x:v>
      </x:c>
      <x:c r="O79" s="170" t="str">
        <x:v>B02</x:v>
      </x:c>
      <x:c r="P79" s="170" t="str">
        <x:v>10/07事实分类；本轮未重用旧行为通过结论</x:v>
      </x:c>
      <x:c r="Q79" s="170" t="str">
        <x:v>docs/audit/LEGACY-80-REQUIREMENT-AUDIT.md REQ-036/F036；原主题索引非批准</x:v>
      </x:c>
      <x:c r="R79" s="170" t="str">
        <x:v>F036</x:v>
      </x:c>
      <x:c r="S79" s="170" t="str"/>
      <x:c r="T79" s="178"/>
    </x:row>
    <x:row r="80" ht="76" customHeight="1">
      <x:c r="A80" s="171" t="str">
        <x:v>LEGACY-REQ</x:v>
      </x:c>
      <x:c r="B80" s="176" t="str">
        <x:v>报告与文档</x:v>
      </x:c>
      <x:c r="C80" s="171" t="str">
        <x:v>REQ-037</x:v>
      </x:c>
      <x:c r="D80" s="171" t="str">
        <x:v>查看报告详情并跳转关联 CALL</x:v>
      </x:c>
      <x:c r="E80" s="171" t="str">
        <x:v>存量功能文本保留；以原文和本期确认核对全部规则</x:v>
      </x:c>
      <x:c r="F80" s="171" t="str">
        <x:v>主题有材料或原型支持，完整字段/权限/状态及本期批准不能由索引推定。</x:v>
      </x:c>
      <x:c r="G80" s="171" t="str">
        <x:v>旧范围不自动批准；按本期确认归批</x:v>
      </x:c>
      <x:c r="H80" s="171" t="str">
        <x:v>P1</x:v>
      </x:c>
      <x:c r="I80" s="171" t="str">
        <x:v>存量事实判定：ASSUMPTION</x:v>
      </x:c>
      <x:c r="J80" s="171" t="str">
        <x:v>按对应业务正常/异常与角色场景确认；旧页面映射不等于覆盖</x:v>
      </x:c>
      <x:c r="K80" s="171" t="str">
        <x:v>对应批次TASK及UAT</x:v>
      </x:c>
      <x:c r="L80" s="170" t="str">
        <x:v>待确认</x:v>
      </x:c>
      <x:c r="M80" s="170" t="str">
        <x:v>当前行为待复核</x:v>
      </x:c>
      <x:c r="N80" s="170" t="str">
        <x:v>未业务验收</x:v>
      </x:c>
      <x:c r="O80" s="170" t="str">
        <x:v>B02</x:v>
      </x:c>
      <x:c r="P80" s="170" t="str">
        <x:v>10/07事实分类；本轮未重用旧行为通过结论</x:v>
      </x:c>
      <x:c r="Q80" s="170" t="str">
        <x:v>docs/audit/LEGACY-80-REQUIREMENT-AUDIT.md REQ-037/F037；原主题索引非批准</x:v>
      </x:c>
      <x:c r="R80" s="170" t="str">
        <x:v>F037</x:v>
      </x:c>
      <x:c r="S80" s="170" t="str"/>
      <x:c r="T80" s="178"/>
    </x:row>
    <x:row r="81" ht="76" customHeight="1">
      <x:c r="A81" s="173" t="str">
        <x:v>LEGACY-REQ</x:v>
      </x:c>
      <x:c r="B81" s="176" t="str">
        <x:v>报告与文档</x:v>
      </x:c>
      <x:c r="C81" s="173" t="str">
        <x:v>REQ-038</x:v>
      </x:c>
      <x:c r="D81" s="173" t="str">
        <x:v>通过 Email 或 WhatsApp 发送报告</x:v>
      </x:c>
      <x:c r="E81" s="173" t="str">
        <x:v>存量功能文本保留；以原文和本期确认核对全部规则</x:v>
      </x:c>
      <x:c r="F81" s="173" t="str">
        <x:v>外部渠道仅模拟发送日志，不能作为实际投递。</x:v>
      </x:c>
      <x:c r="G81" s="173" t="str">
        <x:v>旧范围不自动批准；按本期确认归批</x:v>
      </x:c>
      <x:c r="H81" s="173" t="str">
        <x:v>P1</x:v>
      </x:c>
      <x:c r="I81" s="173" t="str">
        <x:v>存量事实判定：ASSUMPTION</x:v>
      </x:c>
      <x:c r="J81" s="173" t="str">
        <x:v>按对应业务正常/异常与角色场景确认；旧页面映射不等于覆盖</x:v>
      </x:c>
      <x:c r="K81" s="173" t="str">
        <x:v>对应批次TASK及UAT</x:v>
      </x:c>
      <x:c r="L81" s="170" t="str">
        <x:v>待确认</x:v>
      </x:c>
      <x:c r="M81" s="170" t="str">
        <x:v>当前行为待复核</x:v>
      </x:c>
      <x:c r="N81" s="170" t="str">
        <x:v>未业务验收</x:v>
      </x:c>
      <x:c r="O81" s="170" t="str">
        <x:v>B02</x:v>
      </x:c>
      <x:c r="P81" s="170" t="str">
        <x:v>10/07事实分类；本轮未重用旧行为通过结论</x:v>
      </x:c>
      <x:c r="Q81" s="170" t="str">
        <x:v>docs/audit/LEGACY-80-REQUIREMENT-AUDIT.md REQ-038/F038；原主题索引非批准</x:v>
      </x:c>
      <x:c r="R81" s="170" t="str">
        <x:v>F038</x:v>
      </x:c>
      <x:c r="S81" s="170" t="str"/>
      <x:c r="T81" s="178"/>
    </x:row>
    <x:row r="82" ht="76" customHeight="1">
      <x:c r="A82" s="171" t="str">
        <x:v>LEGACY-REQ</x:v>
      </x:c>
      <x:c r="B82" s="176" t="str">
        <x:v>报告与文档</x:v>
      </x:c>
      <x:c r="C82" s="171" t="str">
        <x:v>REQ-039</x:v>
      </x:c>
      <x:c r="D82" s="171" t="str">
        <x:v>记录发送对象、方式、时间和发送日志</x:v>
      </x:c>
      <x:c r="E82" s="171" t="str">
        <x:v>存量功能文本保留；以原文和本期确认核对全部规则</x:v>
      </x:c>
      <x:c r="F82" s="171" t="str">
        <x:v>日志有，投递成功/失败回执仍是设计。</x:v>
      </x:c>
      <x:c r="G82" s="171" t="str">
        <x:v>旧范围不自动批准；按本期确认归批</x:v>
      </x:c>
      <x:c r="H82" s="171" t="str">
        <x:v>P1</x:v>
      </x:c>
      <x:c r="I82" s="171" t="str">
        <x:v>存量事实判定：ASSUMPTION</x:v>
      </x:c>
      <x:c r="J82" s="171" t="str">
        <x:v>按对应业务正常/异常与角色场景确认；旧页面映射不等于覆盖</x:v>
      </x:c>
      <x:c r="K82" s="171" t="str">
        <x:v>对应批次TASK及UAT</x:v>
      </x:c>
      <x:c r="L82" s="170" t="str">
        <x:v>待确认</x:v>
      </x:c>
      <x:c r="M82" s="170" t="str">
        <x:v>当前行为待复核</x:v>
      </x:c>
      <x:c r="N82" s="170" t="str">
        <x:v>未业务验收</x:v>
      </x:c>
      <x:c r="O82" s="170" t="str">
        <x:v>B02</x:v>
      </x:c>
      <x:c r="P82" s="170" t="str">
        <x:v>10/07事实分类；本轮未重用旧行为通过结论</x:v>
      </x:c>
      <x:c r="Q82" s="170" t="str">
        <x:v>docs/audit/LEGACY-80-REQUIREMENT-AUDIT.md REQ-039/F039；原主题索引非批准</x:v>
      </x:c>
      <x:c r="R82" s="170" t="str">
        <x:v>F039</x:v>
      </x:c>
      <x:c r="S82" s="170" t="str"/>
      <x:c r="T82" s="178"/>
    </x:row>
    <x:row r="83" ht="76" customHeight="1">
      <x:c r="A83" s="177" t="str">
        <x:v>LEGACY-REQ</x:v>
      </x:c>
      <x:c r="B83" s="176" t="str">
        <x:v>报价管理</x:v>
      </x:c>
      <x:c r="C83" s="177" t="str">
        <x:v>REQ-040</x:v>
      </x:c>
      <x:c r="D83" s="177" t="str">
        <x:v>新增、编辑、删除、查看和筛选报价</x:v>
      </x:c>
      <x:c r="E83" s="177" t="str">
        <x:v>存量功能文本保留；以原文和本期确认核对全部规则</x:v>
      </x:c>
      <x:c r="F83" s="177" t="str">
        <x:v>主题有材料或原型支持，完整字段/权限/状态及本期批准不能由索引推定。</x:v>
      </x:c>
      <x:c r="G83" s="177" t="str">
        <x:v>旧范围不自动批准；按本期确认归批</x:v>
      </x:c>
      <x:c r="H83" s="177" t="str">
        <x:v>P1</x:v>
      </x:c>
      <x:c r="I83" s="177" t="str">
        <x:v>存量事实判定：ASSUMPTION</x:v>
      </x:c>
      <x:c r="J83" s="177" t="str">
        <x:v>按对应业务正常/异常与角色场景确认；旧页面映射不等于覆盖</x:v>
      </x:c>
      <x:c r="K83" s="177" t="str">
        <x:v>对应批次TASK及UAT</x:v>
      </x:c>
      <x:c r="L83" s="170" t="str">
        <x:v>待确认</x:v>
      </x:c>
      <x:c r="M83" s="170" t="str">
        <x:v>当前行为待复核</x:v>
      </x:c>
      <x:c r="N83" s="170" t="str">
        <x:v>未业务验收</x:v>
      </x:c>
      <x:c r="O83" s="170" t="str">
        <x:v>B02</x:v>
      </x:c>
      <x:c r="P83" s="170" t="str">
        <x:v>10/07事实分类；本轮未重用旧行为通过结论</x:v>
      </x:c>
      <x:c r="Q83" s="170" t="str">
        <x:v>docs/audit/LEGACY-80-REQUIREMENT-AUDIT.md REQ-040/F040；原主题索引非批准</x:v>
      </x:c>
      <x:c r="R83" s="170" t="str">
        <x:v>F040</x:v>
      </x:c>
      <x:c r="S83" s="170" t="str"/>
      <x:c r="T83" s="178"/>
    </x:row>
    <x:row r="84" ht="76" customHeight="1">
      <x:c r="A84" s="170" t="str">
        <x:v>LEGACY-REQ</x:v>
      </x:c>
      <x:c r="B84" s="170" t="str">
        <x:v>报价管理</x:v>
      </x:c>
      <x:c r="C84" s="170" t="str">
        <x:v>REQ-041</x:v>
      </x:c>
      <x:c r="D84" s="170" t="str">
        <x:v>维护报价标题、类别、物料、数量、税率、金额和有效期</x:v>
      </x:c>
      <x:c r="E84" s="170" t="str">
        <x:v>存量功能文本保留；以原文和本期确认核对全部规则</x:v>
      </x:c>
      <x:c r="F84" s="170" t="str">
        <x:v>0928去税、0930折扣/总价模式/保固/交期未统一。</x:v>
      </x:c>
      <x:c r="G84" s="170" t="str">
        <x:v>旧范围不自动批准；按本期确认归批</x:v>
      </x:c>
      <x:c r="H84" s="170" t="str">
        <x:v>P1</x:v>
      </x:c>
      <x:c r="I84" s="170" t="str">
        <x:v>存量事实判定：CONFLICT</x:v>
      </x:c>
      <x:c r="J84" s="170" t="str">
        <x:v>按对应业务正常/异常与角色场景确认；旧页面映射不等于覆盖</x:v>
      </x:c>
      <x:c r="K84" s="170" t="str">
        <x:v>对应批次TASK及UAT</x:v>
      </x:c>
      <x:c r="L84" s="170" t="str">
        <x:v>待确认</x:v>
      </x:c>
      <x:c r="M84" s="170" t="str">
        <x:v>当前行为待复核</x:v>
      </x:c>
      <x:c r="N84" s="170" t="str">
        <x:v>未业务验收</x:v>
      </x:c>
      <x:c r="O84" s="170" t="str">
        <x:v>B02</x:v>
      </x:c>
      <x:c r="P84" s="170" t="str">
        <x:v>10/07事实分类；本轮未重用旧行为通过结论</x:v>
      </x:c>
      <x:c r="Q84" s="170" t="str">
        <x:v>docs/audit/LEGACY-80-REQUIREMENT-AUDIT.md REQ-041/F041；原主题索引非批准</x:v>
      </x:c>
      <x:c r="R84" s="170" t="str">
        <x:v>F041</x:v>
      </x:c>
      <x:c r="S84" s="170" t="str"/>
      <x:c r="T84" s="178"/>
    </x:row>
    <x:row r="85" ht="76" customHeight="1">
      <x:c r="A85" s="170" t="str">
        <x:v>LEGACY-REQ</x:v>
      </x:c>
      <x:c r="B85" s="170" t="str">
        <x:v>报价管理</x:v>
      </x:c>
      <x:c r="C85" s="170" t="str">
        <x:v>REQ-042</x:v>
      </x:c>
      <x:c r="D85" s="170" t="str">
        <x:v>显示历史物料成本价和供应商参考，不锁定库存</x:v>
      </x:c>
      <x:c r="E85" s="170" t="str">
        <x:v>存量功能文本保留；以原文和本期确认核对全部规则</x:v>
      </x:c>
      <x:c r="F85" s="170" t="str">
        <x:v>历史成本价为固定Mock/名称模糊匹配。</x:v>
      </x:c>
      <x:c r="G85" s="170" t="str">
        <x:v>旧范围不自动批准；按本期确认归批</x:v>
      </x:c>
      <x:c r="H85" s="170" t="str">
        <x:v>P1</x:v>
      </x:c>
      <x:c r="I85" s="170" t="str">
        <x:v>存量事实判定：ASSUMPTION</x:v>
      </x:c>
      <x:c r="J85" s="170" t="str">
        <x:v>按对应业务正常/异常与角色场景确认；旧页面映射不等于覆盖</x:v>
      </x:c>
      <x:c r="K85" s="170" t="str">
        <x:v>对应批次TASK及UAT</x:v>
      </x:c>
      <x:c r="L85" s="170" t="str">
        <x:v>待确认</x:v>
      </x:c>
      <x:c r="M85" s="170" t="str">
        <x:v>当前行为待复核</x:v>
      </x:c>
      <x:c r="N85" s="170" t="str">
        <x:v>未业务验收</x:v>
      </x:c>
      <x:c r="O85" s="170" t="str">
        <x:v>B02</x:v>
      </x:c>
      <x:c r="P85" s="170" t="str">
        <x:v>10/07事实分类；本轮未重用旧行为通过结论</x:v>
      </x:c>
      <x:c r="Q85" s="170" t="str">
        <x:v>docs/audit/LEGACY-80-REQUIREMENT-AUDIT.md REQ-042/F042；原主题索引非批准</x:v>
      </x:c>
      <x:c r="R85" s="170" t="str">
        <x:v>F042</x:v>
      </x:c>
      <x:c r="S85" s="170" t="str"/>
      <x:c r="T85" s="178"/>
    </x:row>
    <x:row r="86" ht="76" customHeight="1">
      <x:c r="A86" s="170" t="str">
        <x:v>LEGACY-REQ</x:v>
      </x:c>
      <x:c r="B86" s="170" t="str">
        <x:v>报价管理</x:v>
      </x:c>
      <x:c r="C86" s="170" t="str">
        <x:v>REQ-043</x:v>
      </x:c>
      <x:c r="D86" s="170" t="str">
        <x:v>关联 CALL、SR、客户和后补报价请求；服务报告提交时按需生成关联报价</x:v>
      </x:c>
      <x:c r="E86" s="170" t="str">
        <x:v>存量功能文本保留；以原文和本期确认核对全部规则</x:v>
      </x:c>
      <x:c r="F86" s="170" t="str">
        <x:v>多SR来源、CS转交与第二份SR再次触发不完整。</x:v>
      </x:c>
      <x:c r="G86" s="170" t="str">
        <x:v>旧范围不自动批准；按本期确认归批</x:v>
      </x:c>
      <x:c r="H86" s="170" t="str">
        <x:v>P1</x:v>
      </x:c>
      <x:c r="I86" s="170" t="str">
        <x:v>存量事实判定：MISSING</x:v>
      </x:c>
      <x:c r="J86" s="170" t="str">
        <x:v>按对应业务正常/异常与角色场景确认；旧页面映射不等于覆盖</x:v>
      </x:c>
      <x:c r="K86" s="170" t="str">
        <x:v>对应批次TASK及UAT</x:v>
      </x:c>
      <x:c r="L86" s="170" t="str">
        <x:v>待确认</x:v>
      </x:c>
      <x:c r="M86" s="170" t="str">
        <x:v>当前行为待复核</x:v>
      </x:c>
      <x:c r="N86" s="170" t="str">
        <x:v>未业务验收</x:v>
      </x:c>
      <x:c r="O86" s="170" t="str">
        <x:v>B02</x:v>
      </x:c>
      <x:c r="P86" s="170" t="str">
        <x:v>10/07事实分类；本轮未重用旧行为通过结论</x:v>
      </x:c>
      <x:c r="Q86" s="170" t="str">
        <x:v>docs/audit/LEGACY-80-REQUIREMENT-AUDIT.md REQ-043/F043；原主题索引非批准</x:v>
      </x:c>
      <x:c r="R86" s="170" t="str">
        <x:v>F043</x:v>
      </x:c>
      <x:c r="S86" s="170" t="str"/>
      <x:c r="T86" s="178"/>
    </x:row>
    <x:row r="87" ht="76" customHeight="1">
      <x:c r="A87" s="170" t="str">
        <x:v>LEGACY-REQ</x:v>
      </x:c>
      <x:c r="B87" s="170" t="str">
        <x:v>报价管理</x:v>
      </x:c>
      <x:c r="C87" s="170" t="str">
        <x:v>REQ-044</x:v>
      </x:c>
      <x:c r="D87" s="170" t="str">
        <x:v>维护报价状态、版本、中标状态和修订记录</x:v>
      </x:c>
      <x:c r="E87" s="170" t="str">
        <x:v>存量功能文本保留；以原文和本期确认核对全部规则</x:v>
      </x:c>
      <x:c r="F87" s="170" t="str">
        <x:v>R历史存在，OurRef001与成交锁定/非价格修订待对齐。</x:v>
      </x:c>
      <x:c r="G87" s="170" t="str">
        <x:v>旧范围不自动批准；按本期确认归批</x:v>
      </x:c>
      <x:c r="H87" s="170" t="str">
        <x:v>P1</x:v>
      </x:c>
      <x:c r="I87" s="170" t="str">
        <x:v>存量事实判定：CONFLICT</x:v>
      </x:c>
      <x:c r="J87" s="170" t="str">
        <x:v>按对应业务正常/异常与角色场景确认；旧页面映射不等于覆盖</x:v>
      </x:c>
      <x:c r="K87" s="170" t="str">
        <x:v>对应批次TASK及UAT</x:v>
      </x:c>
      <x:c r="L87" s="170" t="str">
        <x:v>待确认</x:v>
      </x:c>
      <x:c r="M87" s="170" t="str">
        <x:v>当前行为待复核</x:v>
      </x:c>
      <x:c r="N87" s="170" t="str">
        <x:v>未业务验收</x:v>
      </x:c>
      <x:c r="O87" s="170" t="str">
        <x:v>B02</x:v>
      </x:c>
      <x:c r="P87" s="170" t="str">
        <x:v>10/07事实分类；本轮未重用旧行为通过结论</x:v>
      </x:c>
      <x:c r="Q87" s="170" t="str">
        <x:v>docs/audit/LEGACY-80-REQUIREMENT-AUDIT.md REQ-044/F044；原主题索引非批准</x:v>
      </x:c>
      <x:c r="R87" s="170" t="str">
        <x:v>F044</x:v>
      </x:c>
      <x:c r="S87" s="170" t="str"/>
      <x:c r="T87" s="178"/>
    </x:row>
    <x:row r="88" ht="76" customHeight="1">
      <x:c r="A88" s="170" t="str">
        <x:v>LEGACY-REQ</x:v>
      </x:c>
      <x:c r="B88" s="170" t="str">
        <x:v>报价管理</x:v>
      </x:c>
      <x:c r="C88" s="170" t="str">
        <x:v>REQ-045</x:v>
      </x:c>
      <x:c r="D88" s="170" t="str">
        <x:v>维护报价组通讯录和报价负责人</x:v>
      </x:c>
      <x:c r="E88" s="170" t="str">
        <x:v>存量功能文本保留；以原文和本期确认核对全部规则</x:v>
      </x:c>
      <x:c r="F88" s="170" t="str">
        <x:v>维护负责人主要TL/ADMIN，报价组自身人员缺选项。</x:v>
      </x:c>
      <x:c r="G88" s="170" t="str">
        <x:v>旧范围不自动批准；按本期确认归批</x:v>
      </x:c>
      <x:c r="H88" s="170" t="str">
        <x:v>P1</x:v>
      </x:c>
      <x:c r="I88" s="170" t="str">
        <x:v>存量事实判定：CONFLICT</x:v>
      </x:c>
      <x:c r="J88" s="170" t="str">
        <x:v>按对应业务正常/异常与角色场景确认；旧页面映射不等于覆盖</x:v>
      </x:c>
      <x:c r="K88" s="170" t="str">
        <x:v>对应批次TASK及UAT</x:v>
      </x:c>
      <x:c r="L88" s="170" t="str">
        <x:v>待确认</x:v>
      </x:c>
      <x:c r="M88" s="170" t="str">
        <x:v>当前行为待复核</x:v>
      </x:c>
      <x:c r="N88" s="170" t="str">
        <x:v>未业务验收</x:v>
      </x:c>
      <x:c r="O88" s="170" t="str">
        <x:v>B02</x:v>
      </x:c>
      <x:c r="P88" s="170" t="str">
        <x:v>10/07事实分类；本轮未重用旧行为通过结论</x:v>
      </x:c>
      <x:c r="Q88" s="170" t="str">
        <x:v>docs/audit/LEGACY-80-REQUIREMENT-AUDIT.md REQ-045/F045；原主题索引非批准</x:v>
      </x:c>
      <x:c r="R88" s="170" t="str">
        <x:v>F045</x:v>
      </x:c>
      <x:c r="S88" s="170" t="str"/>
      <x:c r="T88" s="178"/>
    </x:row>
    <x:row r="89" ht="76" customHeight="1">
      <x:c r="A89" s="170" t="str">
        <x:v>LEGACY-REQ</x:v>
      </x:c>
      <x:c r="B89" s="170" t="str">
        <x:v>标书管理</x:v>
      </x:c>
      <x:c r="C89" s="170" t="str">
        <x:v>REQ-046</x:v>
      </x:c>
      <x:c r="D89" s="170" t="str">
        <x:v>新建、导入、编辑、删除和搜索标书</x:v>
      </x:c>
      <x:c r="E89" s="170" t="str">
        <x:v>存量功能文本保留；以原文和本期确认核对全部规则</x:v>
      </x:c>
      <x:c r="F89" s="170" t="str">
        <x:v>新建/导入原型有，模拟扫描不代表自动识别获批。</x:v>
      </x:c>
      <x:c r="G89" s="170" t="str">
        <x:v>旧范围不自动批准；按本期确认归批</x:v>
      </x:c>
      <x:c r="H89" s="170" t="str">
        <x:v>P1</x:v>
      </x:c>
      <x:c r="I89" s="170" t="str">
        <x:v>存量事实判定：ASSUMPTION</x:v>
      </x:c>
      <x:c r="J89" s="170" t="str">
        <x:v>按对应业务正常/异常与角色场景确认；旧页面映射不等于覆盖</x:v>
      </x:c>
      <x:c r="K89" s="170" t="str">
        <x:v>对应批次TASK及UAT</x:v>
      </x:c>
      <x:c r="L89" s="170" t="str">
        <x:v>待确认</x:v>
      </x:c>
      <x:c r="M89" s="170" t="str">
        <x:v>当前行为待复核</x:v>
      </x:c>
      <x:c r="N89" s="170" t="str">
        <x:v>未业务验收</x:v>
      </x:c>
      <x:c r="O89" s="170" t="str">
        <x:v>B04</x:v>
      </x:c>
      <x:c r="P89" s="170" t="str">
        <x:v>10/07事实分类；本轮未重用旧行为通过结论</x:v>
      </x:c>
      <x:c r="Q89" s="170" t="str">
        <x:v>docs/audit/LEGACY-80-REQUIREMENT-AUDIT.md REQ-046/F046；原主题索引非批准</x:v>
      </x:c>
      <x:c r="R89" s="170" t="str">
        <x:v>F046</x:v>
      </x:c>
      <x:c r="S89" s="170" t="str"/>
      <x:c r="T89" s="178"/>
    </x:row>
    <x:row r="90" ht="76" customHeight="1">
      <x:c r="A90" s="170" t="str">
        <x:v>LEGACY-REQ</x:v>
      </x:c>
      <x:c r="B90" s="170" t="str">
        <x:v>标书管理</x:v>
      </x:c>
      <x:c r="C90" s="170" t="str">
        <x:v>REQ-047</x:v>
      </x:c>
      <x:c r="D90" s="170" t="str">
        <x:v>维护标书来源、回标方式、截止日期和负责人</x:v>
      </x:c>
      <x:c r="E90" s="170" t="str">
        <x:v>存量功能文本保留；以原文和本期确认核对全部规则</x:v>
      </x:c>
      <x:c r="F90" s="170" t="str">
        <x:v>主题有材料或原型支持，完整字段/权限/状态及本期批准不能由索引推定。</x:v>
      </x:c>
      <x:c r="G90" s="170" t="str">
        <x:v>旧范围不自动批准；按本期确认归批</x:v>
      </x:c>
      <x:c r="H90" s="170" t="str">
        <x:v>P1</x:v>
      </x:c>
      <x:c r="I90" s="170" t="str">
        <x:v>存量事实判定：ASSUMPTION</x:v>
      </x:c>
      <x:c r="J90" s="170" t="str">
        <x:v>按对应业务正常/异常与角色场景确认；旧页面映射不等于覆盖</x:v>
      </x:c>
      <x:c r="K90" s="170" t="str">
        <x:v>对应批次TASK及UAT</x:v>
      </x:c>
      <x:c r="L90" s="170" t="str">
        <x:v>待确认</x:v>
      </x:c>
      <x:c r="M90" s="170" t="str">
        <x:v>当前行为待复核</x:v>
      </x:c>
      <x:c r="N90" s="170" t="str">
        <x:v>未业务验收</x:v>
      </x:c>
      <x:c r="O90" s="170" t="str">
        <x:v>B04</x:v>
      </x:c>
      <x:c r="P90" s="170" t="str">
        <x:v>10/07事实分类；本轮未重用旧行为通过结论</x:v>
      </x:c>
      <x:c r="Q90" s="170" t="str">
        <x:v>docs/audit/LEGACY-80-REQUIREMENT-AUDIT.md REQ-047/F047；原主题索引非批准</x:v>
      </x:c>
      <x:c r="R90" s="170" t="str">
        <x:v>F047</x:v>
      </x:c>
      <x:c r="S90" s="170" t="str"/>
      <x:c r="T90" s="178"/>
    </x:row>
    <x:row r="91" ht="76" customHeight="1">
      <x:c r="A91" s="170" t="str">
        <x:v>LEGACY-REQ</x:v>
      </x:c>
      <x:c r="B91" s="170" t="str">
        <x:v>标书管理</x:v>
      </x:c>
      <x:c r="C91" s="170" t="str">
        <x:v>REQ-048</x:v>
      </x:c>
      <x:c r="D91" s="170" t="str">
        <x:v>倒计时查看截止日期、投标状态和中标结果</x:v>
      </x:c>
      <x:c r="E91" s="170" t="str">
        <x:v>存量功能文本保留；以原文和本期确认核对全部规则</x:v>
      </x:c>
      <x:c r="F91" s="170" t="str">
        <x:v>六状态字典已有，三个Tab和交集筛选隐藏已投标/取消/不投标。</x:v>
      </x:c>
      <x:c r="G91" s="170" t="str">
        <x:v>旧范围不自动批准；按本期确认归批</x:v>
      </x:c>
      <x:c r="H91" s="170" t="str">
        <x:v>P1</x:v>
      </x:c>
      <x:c r="I91" s="170" t="str">
        <x:v>存量事实判定：CONFLICT</x:v>
      </x:c>
      <x:c r="J91" s="170" t="str">
        <x:v>按对应业务正常/异常与角色场景确认；旧页面映射不等于覆盖</x:v>
      </x:c>
      <x:c r="K91" s="170" t="str">
        <x:v>对应批次TASK及UAT</x:v>
      </x:c>
      <x:c r="L91" s="170" t="str">
        <x:v>待确认</x:v>
      </x:c>
      <x:c r="M91" s="170" t="str">
        <x:v>当前行为待复核</x:v>
      </x:c>
      <x:c r="N91" s="170" t="str">
        <x:v>未业务验收</x:v>
      </x:c>
      <x:c r="O91" s="170" t="str">
        <x:v>B04</x:v>
      </x:c>
      <x:c r="P91" s="170" t="str">
        <x:v>10/07事实分类；本轮未重用旧行为通过结论</x:v>
      </x:c>
      <x:c r="Q91" s="170" t="str">
        <x:v>docs/audit/LEGACY-80-REQUIREMENT-AUDIT.md REQ-048/F048；原主题索引非批准</x:v>
      </x:c>
      <x:c r="R91" s="170" t="str">
        <x:v>F048</x:v>
      </x:c>
      <x:c r="S91" s="170" t="str"/>
      <x:c r="T91" s="178"/>
    </x:row>
    <x:row r="92" ht="76" customHeight="1">
      <x:c r="A92" s="170" t="str">
        <x:v>LEGACY-REQ</x:v>
      </x:c>
      <x:c r="B92" s="170" t="str">
        <x:v>标书管理</x:v>
      </x:c>
      <x:c r="C92" s="170" t="str">
        <x:v>REQ-049</x:v>
      </x:c>
      <x:c r="D92" s="170" t="str">
        <x:v>管理标书附件、往来资料和内部备注</x:v>
      </x:c>
      <x:c r="E92" s="170" t="str">
        <x:v>存量功能文本保留；以原文和本期确认核对全部规则</x:v>
      </x:c>
      <x:c r="F92" s="170" t="str">
        <x:v>主题有材料或原型支持，完整字段/权限/状态及本期批准不能由索引推定。</x:v>
      </x:c>
      <x:c r="G92" s="170" t="str">
        <x:v>旧范围不自动批准；按本期确认归批</x:v>
      </x:c>
      <x:c r="H92" s="170" t="str">
        <x:v>P1</x:v>
      </x:c>
      <x:c r="I92" s="170" t="str">
        <x:v>存量事实判定：ASSUMPTION</x:v>
      </x:c>
      <x:c r="J92" s="170" t="str">
        <x:v>按对应业务正常/异常与角色场景确认；旧页面映射不等于覆盖</x:v>
      </x:c>
      <x:c r="K92" s="170" t="str">
        <x:v>对应批次TASK及UAT</x:v>
      </x:c>
      <x:c r="L92" s="170" t="str">
        <x:v>待确认</x:v>
      </x:c>
      <x:c r="M92" s="170" t="str">
        <x:v>当前行为待复核</x:v>
      </x:c>
      <x:c r="N92" s="170" t="str">
        <x:v>未业务验收</x:v>
      </x:c>
      <x:c r="O92" s="170" t="str">
        <x:v>B04</x:v>
      </x:c>
      <x:c r="P92" s="170" t="str">
        <x:v>10/07事实分类；本轮未重用旧行为通过结论</x:v>
      </x:c>
      <x:c r="Q92" s="170" t="str">
        <x:v>docs/audit/LEGACY-80-REQUIREMENT-AUDIT.md REQ-049/F049；原主题索引非批准</x:v>
      </x:c>
      <x:c r="R92" s="170" t="str">
        <x:v>F049</x:v>
      </x:c>
      <x:c r="S92" s="170" t="str"/>
      <x:c r="T92" s="178"/>
    </x:row>
    <x:row r="93" ht="76" customHeight="1">
      <x:c r="A93" s="170" t="str">
        <x:v>LEGACY-REQ</x:v>
      </x:c>
      <x:c r="B93" s="170" t="str">
        <x:v>标书管理</x:v>
      </x:c>
      <x:c r="C93" s="170" t="str">
        <x:v>REQ-050</x:v>
      </x:c>
      <x:c r="D93" s="170" t="str">
        <x:v>按区域、技能、日期和重复周期安排标书相关师傅</x:v>
      </x:c>
      <x:c r="E93" s="170" t="str">
        <x:v>存量功能文本保留；以原文和本期确认核对全部规则</x:v>
      </x:c>
      <x:c r="F93" s="170" t="str">
        <x:v>Tender特殊排程仍按旧机制，PM周期不应直接替代整期M。</x:v>
      </x:c>
      <x:c r="G93" s="170" t="str">
        <x:v>旧范围不自动批准；按本期确认归批</x:v>
      </x:c>
      <x:c r="H93" s="170" t="str">
        <x:v>P1</x:v>
      </x:c>
      <x:c r="I93" s="170" t="str">
        <x:v>存量事实判定：PENDING_CUSTOMER</x:v>
      </x:c>
      <x:c r="J93" s="170" t="str">
        <x:v>按对应业务正常/异常与角色场景确认；旧页面映射不等于覆盖</x:v>
      </x:c>
      <x:c r="K93" s="170" t="str">
        <x:v>对应批次TASK及UAT</x:v>
      </x:c>
      <x:c r="L93" s="170" t="str">
        <x:v>待确认</x:v>
      </x:c>
      <x:c r="M93" s="170" t="str">
        <x:v>当前行为待复核</x:v>
      </x:c>
      <x:c r="N93" s="170" t="str">
        <x:v>未业务验收</x:v>
      </x:c>
      <x:c r="O93" s="170" t="str">
        <x:v>B04</x:v>
      </x:c>
      <x:c r="P93" s="170" t="str">
        <x:v>10/07事实分类；本轮未重用旧行为通过结论</x:v>
      </x:c>
      <x:c r="Q93" s="170" t="str">
        <x:v>docs/audit/LEGACY-80-REQUIREMENT-AUDIT.md REQ-050/F050；原主题索引非批准</x:v>
      </x:c>
      <x:c r="R93" s="170" t="str">
        <x:v>F050</x:v>
      </x:c>
      <x:c r="S93" s="170" t="str"/>
      <x:c r="T93" s="178"/>
    </x:row>
    <x:row r="94" ht="76" customHeight="1">
      <x:c r="A94" s="170" t="str">
        <x:v>LEGACY-REQ</x:v>
      </x:c>
      <x:c r="B94" s="170" t="str">
        <x:v>备货与采购</x:v>
      </x:c>
      <x:c r="C94" s="170" t="str">
        <x:v>REQ-051</x:v>
      </x:c>
      <x:c r="D94" s="170" t="str">
        <x:v>报价已中单时自动建立一张关联备货单；采购部在其下手工新建多张采购单，按供应商分单</x:v>
      </x:c>
      <x:c r="E94" s="170" t="str">
        <x:v>存量功能文本保留；以原文和本期确认核对全部规则</x:v>
      </x:c>
      <x:c r="F94" s="170" t="str">
        <x:v>0930PO在仓库通创建，历史EC手建PO不能继续作为当前需求。</x:v>
      </x:c>
      <x:c r="G94" s="170" t="str">
        <x:v>旧范围不自动批准；按本期确认归批</x:v>
      </x:c>
      <x:c r="H94" s="170" t="str">
        <x:v>P1</x:v>
      </x:c>
      <x:c r="I94" s="170" t="str">
        <x:v>存量事实判定：CONFLICT</x:v>
      </x:c>
      <x:c r="J94" s="170" t="str">
        <x:v>按对应业务正常/异常与角色场景确认；旧页面映射不等于覆盖</x:v>
      </x:c>
      <x:c r="K94" s="170" t="str">
        <x:v>对应批次TASK及UAT</x:v>
      </x:c>
      <x:c r="L94" s="170" t="str">
        <x:v>待确认</x:v>
      </x:c>
      <x:c r="M94" s="170" t="str">
        <x:v>当前行为待复核</x:v>
      </x:c>
      <x:c r="N94" s="170" t="str">
        <x:v>未业务验收</x:v>
      </x:c>
      <x:c r="O94" s="170" t="str">
        <x:v>B02</x:v>
      </x:c>
      <x:c r="P94" s="170" t="str">
        <x:v>10/07事实分类；本轮未重用旧行为通过结论</x:v>
      </x:c>
      <x:c r="Q94" s="170" t="str">
        <x:v>docs/audit/LEGACY-80-REQUIREMENT-AUDIT.md REQ-051/F051；原主题索引非批准</x:v>
      </x:c>
      <x:c r="R94" s="170" t="str">
        <x:v>F051</x:v>
      </x:c>
      <x:c r="S94" s="170" t="str"/>
      <x:c r="T94" s="178"/>
    </x:row>
    <x:row r="95" ht="76" customHeight="1">
      <x:c r="A95" s="170" t="str">
        <x:v>LEGACY-REQ</x:v>
      </x:c>
      <x:c r="B95" s="170" t="str">
        <x:v>备货与采购</x:v>
      </x:c>
      <x:c r="C95" s="170" t="str">
        <x:v>REQ-052</x:v>
      </x:c>
      <x:c r="D95" s="170" t="str">
        <x:v>跟踪待下单、已下单、已发货、到货和验收状态</x:v>
      </x:c>
      <x:c r="E95" s="170" t="str">
        <x:v>存量功能文本保留；以原文和本期确认核对全部规则</x:v>
      </x:c>
      <x:c r="F95" s="170" t="str">
        <x:v>SP手动状态不回写MR；PO/仓库通回传无闭环。</x:v>
      </x:c>
      <x:c r="G95" s="170" t="str">
        <x:v>旧范围不自动批准；按本期确认归批</x:v>
      </x:c>
      <x:c r="H95" s="170" t="str">
        <x:v>P1</x:v>
      </x:c>
      <x:c r="I95" s="170" t="str">
        <x:v>存量事实判定：CONFLICT</x:v>
      </x:c>
      <x:c r="J95" s="170" t="str">
        <x:v>按对应业务正常/异常与角色场景确认；旧页面映射不等于覆盖</x:v>
      </x:c>
      <x:c r="K95" s="170" t="str">
        <x:v>对应批次TASK及UAT</x:v>
      </x:c>
      <x:c r="L95" s="170" t="str">
        <x:v>待确认</x:v>
      </x:c>
      <x:c r="M95" s="170" t="str">
        <x:v>当前行为待复核</x:v>
      </x:c>
      <x:c r="N95" s="170" t="str">
        <x:v>未业务验收</x:v>
      </x:c>
      <x:c r="O95" s="170" t="str">
        <x:v>B02</x:v>
      </x:c>
      <x:c r="P95" s="170" t="str">
        <x:v>10/07事实分类；本轮未重用旧行为通过结论</x:v>
      </x:c>
      <x:c r="Q95" s="170" t="str">
        <x:v>docs/audit/LEGACY-80-REQUIREMENT-AUDIT.md REQ-052/F052；原主题索引非批准</x:v>
      </x:c>
      <x:c r="R95" s="170" t="str">
        <x:v>F052</x:v>
      </x:c>
      <x:c r="S95" s="170" t="str"/>
      <x:c r="T95" s="178"/>
    </x:row>
    <x:row r="96" ht="76" customHeight="1">
      <x:c r="A96" s="170" t="str">
        <x:v>LEGACY-REQ</x:v>
      </x:c>
      <x:c r="B96" s="170" t="str">
        <x:v>备货与采购</x:v>
      </x:c>
      <x:c r="C96" s="170" t="str">
        <x:v>REQ-053</x:v>
      </x:c>
      <x:c r="D96" s="170" t="str">
        <x:v>管理供应商和合作状态</x:v>
      </x:c>
      <x:c r="E96" s="170" t="str">
        <x:v>存量功能文本保留；以原文和本期确认核对全部规则</x:v>
      </x:c>
      <x:c r="F96" s="170" t="str">
        <x:v>供应商主系统及可写范围未定。</x:v>
      </x:c>
      <x:c r="G96" s="170" t="str">
        <x:v>旧范围不自动批准；按本期确认归批</x:v>
      </x:c>
      <x:c r="H96" s="170" t="str">
        <x:v>P1</x:v>
      </x:c>
      <x:c r="I96" s="170" t="str">
        <x:v>存量事实判定：PENDING_CUSTOMER</x:v>
      </x:c>
      <x:c r="J96" s="170" t="str">
        <x:v>按对应业务正常/异常与角色场景确认；旧页面映射不等于覆盖</x:v>
      </x:c>
      <x:c r="K96" s="170" t="str">
        <x:v>对应批次TASK及UAT</x:v>
      </x:c>
      <x:c r="L96" s="170" t="str">
        <x:v>待确认</x:v>
      </x:c>
      <x:c r="M96" s="170" t="str">
        <x:v>当前行为待复核</x:v>
      </x:c>
      <x:c r="N96" s="170" t="str">
        <x:v>未业务验收</x:v>
      </x:c>
      <x:c r="O96" s="170" t="str">
        <x:v>B02</x:v>
      </x:c>
      <x:c r="P96" s="170" t="str">
        <x:v>10/07事实分类；本轮未重用旧行为通过结论</x:v>
      </x:c>
      <x:c r="Q96" s="170" t="str">
        <x:v>docs/audit/LEGACY-80-REQUIREMENT-AUDIT.md REQ-053/F053；原主题索引非批准</x:v>
      </x:c>
      <x:c r="R96" s="170" t="str">
        <x:v>F053</x:v>
      </x:c>
      <x:c r="S96" s="170" t="str"/>
      <x:c r="T96" s="178"/>
    </x:row>
    <x:row r="97" ht="76" customHeight="1">
      <x:c r="A97" s="170" t="str">
        <x:v>LEGACY-REQ</x:v>
      </x:c>
      <x:c r="B97" s="170" t="str">
        <x:v>备货与采购</x:v>
      </x:c>
      <x:c r="C97" s="170" t="str">
        <x:v>REQ-054</x:v>
      </x:c>
      <x:c r="D97" s="170" t="str">
        <x:v>关联报价、CALL、工单、物料和到货状态</x:v>
      </x:c>
      <x:c r="E97" s="170" t="str">
        <x:v>存量功能文本保留；以原文和本期确认核对全部规则</x:v>
      </x:c>
      <x:c r="F97" s="170" t="str">
        <x:v>MR实际无渲染；SP/PO/报价/正式预约没统一材料状态。</x:v>
      </x:c>
      <x:c r="G97" s="170" t="str">
        <x:v>旧范围不自动批准；按本期确认归批</x:v>
      </x:c>
      <x:c r="H97" s="170" t="str">
        <x:v>P1</x:v>
      </x:c>
      <x:c r="I97" s="170" t="str">
        <x:v>存量事实判定：MISSING</x:v>
      </x:c>
      <x:c r="J97" s="170" t="str">
        <x:v>按对应业务正常/异常与角色场景确认；旧页面映射不等于覆盖</x:v>
      </x:c>
      <x:c r="K97" s="170" t="str">
        <x:v>对应批次TASK及UAT</x:v>
      </x:c>
      <x:c r="L97" s="170" t="str">
        <x:v>待确认</x:v>
      </x:c>
      <x:c r="M97" s="170" t="str">
        <x:v>当前行为待复核</x:v>
      </x:c>
      <x:c r="N97" s="170" t="str">
        <x:v>未业务验收</x:v>
      </x:c>
      <x:c r="O97" s="170" t="str">
        <x:v>B02</x:v>
      </x:c>
      <x:c r="P97" s="170" t="str">
        <x:v>10/07事实分类；本轮未重用旧行为通过结论</x:v>
      </x:c>
      <x:c r="Q97" s="170" t="str">
        <x:v>docs/audit/LEGACY-80-REQUIREMENT-AUDIT.md REQ-054/F054；原主题索引非批准</x:v>
      </x:c>
      <x:c r="R97" s="170" t="str">
        <x:v>F054</x:v>
      </x:c>
      <x:c r="S97" s="170" t="str"/>
      <x:c r="T97" s="178"/>
    </x:row>
    <x:row r="98" ht="76" customHeight="1">
      <x:c r="A98" s="170" t="str">
        <x:v>LEGACY-REQ</x:v>
      </x:c>
      <x:c r="B98" s="170" t="str">
        <x:v>备货与采购</x:v>
      </x:c>
      <x:c r="C98" s="170" t="str">
        <x:v>REQ-055</x:v>
      </x:c>
      <x:c r="D98" s="170" t="str">
        <x:v>采购验收完成时可选择自动创建待分派工单</x:v>
      </x:c>
      <x:c r="E98" s="170" t="str">
        <x:v>存量功能文本保留；以原文和本期确认核对全部规则</x:v>
      </x:c>
      <x:c r="F98" s="170" t="str">
        <x:v>验收恢复原单或新单未确认；当前死链优先内部修复。</x:v>
      </x:c>
      <x:c r="G98" s="170" t="str">
        <x:v>旧范围不自动批准；按本期确认归批</x:v>
      </x:c>
      <x:c r="H98" s="170" t="str">
        <x:v>P1</x:v>
      </x:c>
      <x:c r="I98" s="170" t="str">
        <x:v>存量事实判定：PENDING_CUSTOMER</x:v>
      </x:c>
      <x:c r="J98" s="170" t="str">
        <x:v>按对应业务正常/异常与角色场景确认；旧页面映射不等于覆盖</x:v>
      </x:c>
      <x:c r="K98" s="170" t="str">
        <x:v>对应批次TASK及UAT</x:v>
      </x:c>
      <x:c r="L98" s="170" t="str">
        <x:v>待确认</x:v>
      </x:c>
      <x:c r="M98" s="170" t="str">
        <x:v>当前行为待复核</x:v>
      </x:c>
      <x:c r="N98" s="170" t="str">
        <x:v>未业务验收</x:v>
      </x:c>
      <x:c r="O98" s="170" t="str">
        <x:v>B02</x:v>
      </x:c>
      <x:c r="P98" s="170" t="str">
        <x:v>10/07事实分类；本轮未重用旧行为通过结论</x:v>
      </x:c>
      <x:c r="Q98" s="170" t="str">
        <x:v>docs/audit/LEGACY-80-REQUIREMENT-AUDIT.md REQ-055/F055；原主题索引非批准</x:v>
      </x:c>
      <x:c r="R98" s="170" t="str">
        <x:v>F055</x:v>
      </x:c>
      <x:c r="S98" s="170" t="str"/>
      <x:c r="T98" s="178"/>
    </x:row>
    <x:row r="99" ht="76" customHeight="1">
      <x:c r="A99" s="170" t="str">
        <x:v>LEGACY-REQ</x:v>
      </x:c>
      <x:c r="B99" s="170" t="str">
        <x:v>备货与采购</x:v>
      </x:c>
      <x:c r="C99" s="170" t="str">
        <x:v>REQ-056</x:v>
      </x:c>
      <x:c r="D99" s="170" t="str">
        <x:v>新建工单时使用原工单编号加后缀的规则</x:v>
      </x:c>
      <x:c r="E99" s="170" t="str">
        <x:v>存量功能文本保留；以原文和本期确认核对全部规则</x:v>
      </x:c>
      <x:c r="F99" s="170" t="str">
        <x:v>(2)后缀无冻结依据。</x:v>
      </x:c>
      <x:c r="G99" s="170" t="str">
        <x:v>旧范围不自动批准；按本期确认归批</x:v>
      </x:c>
      <x:c r="H99" s="170" t="str">
        <x:v>P1</x:v>
      </x:c>
      <x:c r="I99" s="170" t="str">
        <x:v>存量事实判定：ASSUMPTION</x:v>
      </x:c>
      <x:c r="J99" s="170" t="str">
        <x:v>按对应业务正常/异常与角色场景确认；旧页面映射不等于覆盖</x:v>
      </x:c>
      <x:c r="K99" s="170" t="str">
        <x:v>对应批次TASK及UAT</x:v>
      </x:c>
      <x:c r="L99" s="170" t="str">
        <x:v>待确认</x:v>
      </x:c>
      <x:c r="M99" s="170" t="str">
        <x:v>当前行为待复核</x:v>
      </x:c>
      <x:c r="N99" s="170" t="str">
        <x:v>未业务验收</x:v>
      </x:c>
      <x:c r="O99" s="170" t="str">
        <x:v>B02</x:v>
      </x:c>
      <x:c r="P99" s="170" t="str">
        <x:v>10/07事实分类；本轮未重用旧行为通过结论</x:v>
      </x:c>
      <x:c r="Q99" s="170" t="str">
        <x:v>docs/audit/LEGACY-80-REQUIREMENT-AUDIT.md REQ-056/F056；原主题索引非批准</x:v>
      </x:c>
      <x:c r="R99" s="170" t="str">
        <x:v>F056</x:v>
      </x:c>
      <x:c r="S99" s="170" t="str"/>
      <x:c r="T99" s="178"/>
    </x:row>
    <x:row r="100" ht="76" customHeight="1">
      <x:c r="A100" s="170" t="str">
        <x:v>LEGACY-REQ</x:v>
      </x:c>
      <x:c r="B100" s="170" t="str">
        <x:v>会计与外部接口</x:v>
      </x:c>
      <x:c r="C100" s="170" t="str">
        <x:v>REQ-057</x:v>
      </x:c>
      <x:c r="D100" s="170" t="str">
        <x:v>查看待开票项目、筛选、批量开票和打印</x:v>
      </x:c>
      <x:c r="E100" s="170" t="str">
        <x:v>存量功能文本保留；以原文和本期确认核对全部规则</x:v>
      </x:c>
      <x:c r="F100" s="170" t="str">
        <x:v>普通成交中单但财务漏入队列；欠文件特殊开票缺，单批门槛不统一。</x:v>
      </x:c>
      <x:c r="G100" s="170" t="str">
        <x:v>旧范围不自动批准；按本期确认归批</x:v>
      </x:c>
      <x:c r="H100" s="170" t="str">
        <x:v>P1</x:v>
      </x:c>
      <x:c r="I100" s="170" t="str">
        <x:v>存量事实判定：CONFLICT</x:v>
      </x:c>
      <x:c r="J100" s="170" t="str">
        <x:v>按对应业务正常/异常与角色场景确认；旧页面映射不等于覆盖</x:v>
      </x:c>
      <x:c r="K100" s="170" t="str">
        <x:v>对应批次TASK及UAT</x:v>
      </x:c>
      <x:c r="L100" s="170" t="str">
        <x:v>待确认</x:v>
      </x:c>
      <x:c r="M100" s="170" t="str">
        <x:v>财务只读维修完成状态/CP，不要求维修先交SR，不自动接件/开票/收款；CP资料缺失和票款流程独立，未业务验收</x:v>
      </x:c>
      <x:c r="N100" s="170" t="str">
        <x:v>未业务验收</x:v>
      </x:c>
      <x:c r="O100" s="170" t="str">
        <x:v>B05</x:v>
      </x:c>
      <x:c r="P100" s="170" t="str">
        <x:v>10/07事实分类；本轮未重用旧行为通过结论</x:v>
      </x:c>
      <x:c r="Q100" s="170" t="str">
        <x:v>SOURCE-028 FIN-01/02与证据；SOURCE-014 P33/P34；原REQ-057审计冲突记录保留</x:v>
      </x:c>
      <x:c r="R100" s="170" t="str">
        <x:v>F057</x:v>
      </x:c>
      <x:c r="S100" s="170" t="str"/>
      <x:c r="T100" s="178"/>
    </x:row>
    <x:row r="101" ht="76" customHeight="1">
      <x:c r="A101" s="170" t="str">
        <x:v>LEGACY-REQ</x:v>
      </x:c>
      <x:c r="B101" s="170" t="str">
        <x:v>会计与外部接口</x:v>
      </x:c>
      <x:c r="C101" s="170" t="str">
        <x:v>REQ-058</x:v>
      </x:c>
      <x:c r="D101" s="170" t="str">
        <x:v>管理发票金额、账期、重印和收款状态</x:v>
      </x:c>
      <x:c r="E101" s="170" t="str">
        <x:v>存量功能文本保留；以原文和本期确认核对全部规则</x:v>
      </x:c>
      <x:c r="F101" s="170" t="str">
        <x:v>到期默认+30/空，日流水违背每月清零意图。</x:v>
      </x:c>
      <x:c r="G101" s="170" t="str">
        <x:v>旧范围不自动批准；按本期确认归批</x:v>
      </x:c>
      <x:c r="H101" s="170" t="str">
        <x:v>P1</x:v>
      </x:c>
      <x:c r="I101" s="170" t="str">
        <x:v>存量事实判定：CONFLICT</x:v>
      </x:c>
      <x:c r="J101" s="170" t="str">
        <x:v>按对应业务正常/异常与角色场景确认；旧页面映射不等于覆盖</x:v>
      </x:c>
      <x:c r="K101" s="170" t="str">
        <x:v>对应批次TASK及UAT</x:v>
      </x:c>
      <x:c r="L101" s="170" t="str">
        <x:v>待确认</x:v>
      </x:c>
      <x:c r="M101" s="170" t="str">
        <x:v>当前行为待复核</x:v>
      </x:c>
      <x:c r="N101" s="170" t="str">
        <x:v>未业务验收</x:v>
      </x:c>
      <x:c r="O101" s="170" t="str">
        <x:v>B05</x:v>
      </x:c>
      <x:c r="P101" s="170" t="str">
        <x:v>10/07事实分类；本轮未重用旧行为通过结论</x:v>
      </x:c>
      <x:c r="Q101" s="170" t="str">
        <x:v>docs/audit/LEGACY-80-REQUIREMENT-AUDIT.md REQ-058/F058；原主题索引非批准</x:v>
      </x:c>
      <x:c r="R101" s="170" t="str">
        <x:v>F058</x:v>
      </x:c>
      <x:c r="S101" s="170" t="str"/>
      <x:c r="T101" s="178"/>
    </x:row>
    <x:row r="102" ht="76" customHeight="1">
      <x:c r="A102" s="170" t="str">
        <x:v>LEGACY-REQ</x:v>
      </x:c>
      <x:c r="B102" s="170" t="str">
        <x:v>会计与外部接口</x:v>
      </x:c>
      <x:c r="C102" s="170" t="str">
        <x:v>REQ-059</x:v>
      </x:c>
      <x:c r="D102" s="170" t="str">
        <x:v>管理收款、收据编号和收据打印</x:v>
      </x:c>
      <x:c r="E102" s="170" t="str">
        <x:v>存量功能文本保留；以原文和本期确认核对全部规则</x:v>
      </x:c>
      <x:c r="F102" s="170" t="str">
        <x:v>模拟收款有，部分/超额/撤销/现场交款规则未定。</x:v>
      </x:c>
      <x:c r="G102" s="170" t="str">
        <x:v>旧范围不自动批准；按本期确认归批</x:v>
      </x:c>
      <x:c r="H102" s="170" t="str">
        <x:v>P1</x:v>
      </x:c>
      <x:c r="I102" s="170" t="str">
        <x:v>存量事实判定：PENDING_CUSTOMER</x:v>
      </x:c>
      <x:c r="J102" s="170" t="str">
        <x:v>按对应业务正常/异常与角色场景确认；旧页面映射不等于覆盖</x:v>
      </x:c>
      <x:c r="K102" s="170" t="str">
        <x:v>对应批次TASK及UAT</x:v>
      </x:c>
      <x:c r="L102" s="170" t="str">
        <x:v>待确认</x:v>
      </x:c>
      <x:c r="M102" s="170" t="str">
        <x:v>当前行为待复核</x:v>
      </x:c>
      <x:c r="N102" s="170" t="str">
        <x:v>未业务验收</x:v>
      </x:c>
      <x:c r="O102" s="170" t="str">
        <x:v>B05</x:v>
      </x:c>
      <x:c r="P102" s="170" t="str">
        <x:v>10/07事实分类；本轮未重用旧行为通过结论</x:v>
      </x:c>
      <x:c r="Q102" s="170" t="str">
        <x:v>docs/audit/LEGACY-80-REQUIREMENT-AUDIT.md REQ-059/F059；原主题索引非批准</x:v>
      </x:c>
      <x:c r="R102" s="170" t="str">
        <x:v>F059</x:v>
      </x:c>
      <x:c r="S102" s="170" t="str"/>
      <x:c r="T102" s="178"/>
    </x:row>
    <x:row r="103" ht="76" customHeight="1">
      <x:c r="A103" s="170" t="str">
        <x:v>LEGACY-REQ</x:v>
      </x:c>
      <x:c r="B103" s="170" t="str">
        <x:v>会计与外部接口</x:v>
      </x:c>
      <x:c r="C103" s="170" t="str">
        <x:v>REQ-060</x:v>
      </x:c>
      <x:c r="D103" s="170" t="str">
        <x:v>维护会计客户、账单地址、收件人和账期</x:v>
      </x:c>
      <x:c r="E103" s="170" t="str">
        <x:v>存量功能文本保留；以原文和本期确认核对全部规则</x:v>
      </x:c>
      <x:c r="F103" s="170" t="str">
        <x:v>会计客户主档独立，未确认与业务客户写入权/去重。</x:v>
      </x:c>
      <x:c r="G103" s="170" t="str">
        <x:v>旧范围不自动批准；按本期确认归批</x:v>
      </x:c>
      <x:c r="H103" s="170" t="str">
        <x:v>P1</x:v>
      </x:c>
      <x:c r="I103" s="170" t="str">
        <x:v>存量事实判定：ASSUMPTION</x:v>
      </x:c>
      <x:c r="J103" s="170" t="str">
        <x:v>按对应业务正常/异常与角色场景确认；旧页面映射不等于覆盖</x:v>
      </x:c>
      <x:c r="K103" s="170" t="str">
        <x:v>对应批次TASK及UAT</x:v>
      </x:c>
      <x:c r="L103" s="170" t="str">
        <x:v>待确认</x:v>
      </x:c>
      <x:c r="M103" s="170" t="str">
        <x:v>当前行为待复核</x:v>
      </x:c>
      <x:c r="N103" s="170" t="str">
        <x:v>未业务验收</x:v>
      </x:c>
      <x:c r="O103" s="170" t="str">
        <x:v>B05</x:v>
      </x:c>
      <x:c r="P103" s="170" t="str">
        <x:v>10/07事实分类；本轮未重用旧行为通过结论</x:v>
      </x:c>
      <x:c r="Q103" s="170" t="str">
        <x:v>docs/audit/LEGACY-80-REQUIREMENT-AUDIT.md REQ-060/F060；原主题索引非批准</x:v>
      </x:c>
      <x:c r="R103" s="170" t="str">
        <x:v>F060</x:v>
      </x:c>
      <x:c r="S103" s="170" t="str"/>
      <x:c r="T103" s="178"/>
    </x:row>
    <x:row r="104" ht="76" customHeight="1">
      <x:c r="A104" s="170" t="str">
        <x:v>LEGACY-REQ</x:v>
      </x:c>
      <x:c r="B104" s="170" t="str">
        <x:v>会计与外部接口</x:v>
      </x:c>
      <x:c r="C104" s="170" t="str">
        <x:v>REQ-061</x:v>
      </x:c>
      <x:c r="D104" s="170" t="str">
        <x:v>按保养合约日期和频率生成月结待开发票</x:v>
      </x:c>
      <x:c r="E104" s="170" t="str">
        <x:v>存量功能文本保留；以原文和本期确认核对全部规则</x:v>
      </x:c>
      <x:c r="F104" s="170" t="str">
        <x:v>周期开票事实明确，当前独立Mock合约未接成交M。</x:v>
      </x:c>
      <x:c r="G104" s="170" t="str">
        <x:v>旧范围不自动批准；按本期确认归批</x:v>
      </x:c>
      <x:c r="H104" s="170" t="str">
        <x:v>P1</x:v>
      </x:c>
      <x:c r="I104" s="170" t="str">
        <x:v>存量事实判定：CONFIRMED</x:v>
      </x:c>
      <x:c r="J104" s="170" t="str">
        <x:v>按对应业务正常/异常与角色场景确认；旧页面映射不等于覆盖</x:v>
      </x:c>
      <x:c r="K104" s="170" t="str">
        <x:v>对应批次TASK及UAT</x:v>
      </x:c>
      <x:c r="L104" s="170" t="str">
        <x:v>待确认</x:v>
      </x:c>
      <x:c r="M104" s="170" t="str">
        <x:v>当前行为待复核</x:v>
      </x:c>
      <x:c r="N104" s="170" t="str">
        <x:v>未业务验收</x:v>
      </x:c>
      <x:c r="O104" s="170" t="str">
        <x:v>B05</x:v>
      </x:c>
      <x:c r="P104" s="170" t="str">
        <x:v>10/07事实分类；本轮未重用旧行为通过结论</x:v>
      </x:c>
      <x:c r="Q104" s="170" t="str">
        <x:v>docs/audit/LEGACY-80-REQUIREMENT-AUDIT.md REQ-061/F061；原主题索引非批准</x:v>
      </x:c>
      <x:c r="R104" s="170" t="str">
        <x:v>F061</x:v>
      </x:c>
      <x:c r="S104" s="170" t="str"/>
      <x:c r="T104" s="178"/>
    </x:row>
    <x:row r="105" ht="76" customHeight="1">
      <x:c r="A105" s="170" t="str">
        <x:v>LEGACY-REQ</x:v>
      </x:c>
      <x:c r="B105" s="170" t="str">
        <x:v>会计与外部接口</x:v>
      </x:c>
      <x:c r="C105" s="170" t="str">
        <x:v>REQ-062</x:v>
      </x:c>
      <x:c r="D105" s="170" t="str">
        <x:v>配置并模拟同步 Peachtree 客户、发票和收款</x:v>
      </x:c>
      <x:c r="E105" s="170" t="str">
        <x:v>存量功能文本保留；以原文和本期确认核对全部规则</x:v>
      </x:c>
      <x:c r="F105" s="170" t="str">
        <x:v>Peachtree接口无版本/方向/字段/POC验收。</x:v>
      </x:c>
      <x:c r="G105" s="170" t="str">
        <x:v>旧范围不自动批准；按本期确认归批</x:v>
      </x:c>
      <x:c r="H105" s="170" t="str">
        <x:v>P1</x:v>
      </x:c>
      <x:c r="I105" s="170" t="str">
        <x:v>存量事实判定：PENDING_CUSTOMER</x:v>
      </x:c>
      <x:c r="J105" s="170" t="str">
        <x:v>按对应业务正常/异常与角色场景确认；旧页面映射不等于覆盖</x:v>
      </x:c>
      <x:c r="K105" s="170" t="str">
        <x:v>对应批次TASK及UAT</x:v>
      </x:c>
      <x:c r="L105" s="170" t="str">
        <x:v>待确认</x:v>
      </x:c>
      <x:c r="M105" s="170" t="str">
        <x:v>当前行为待复核</x:v>
      </x:c>
      <x:c r="N105" s="170" t="str">
        <x:v>未业务验收</x:v>
      </x:c>
      <x:c r="O105" s="170" t="str">
        <x:v>B05</x:v>
      </x:c>
      <x:c r="P105" s="170" t="str">
        <x:v>10/07事实分类；本轮未重用旧行为通过结论</x:v>
      </x:c>
      <x:c r="Q105" s="170" t="str">
        <x:v>docs/audit/LEGACY-80-REQUIREMENT-AUDIT.md REQ-062/F062；原主题索引非批准</x:v>
      </x:c>
      <x:c r="R105" s="170" t="str">
        <x:v>F062</x:v>
      </x:c>
      <x:c r="S105" s="170" t="str"/>
      <x:c r="T105" s="178"/>
    </x:row>
    <x:row r="106" ht="76" customHeight="1">
      <x:c r="A106" s="170" t="str">
        <x:v>LEGACY-REQ</x:v>
      </x:c>
      <x:c r="B106" s="170" t="str">
        <x:v>统计、客户和基础设置</x:v>
      </x:c>
      <x:c r="C106" s="170" t="str">
        <x:v>REQ-063</x:v>
      </x:c>
      <x:c r="D106" s="170" t="str">
        <x:v>按状态、类型、区域、师傅和客户统计 CALL</x:v>
      </x:c>
      <x:c r="E106" s="170" t="str">
        <x:v>存量功能文本保留；以原文和本期确认核对全部规则</x:v>
      </x:c>
      <x:c r="F106" s="170" t="str">
        <x:v>样例旧type不在TYPES枚举中，类型统计无法对总数。</x:v>
      </x:c>
      <x:c r="G106" s="170" t="str">
        <x:v>旧范围不自动批准；按本期确认归批</x:v>
      </x:c>
      <x:c r="H106" s="170" t="str">
        <x:v>P1</x:v>
      </x:c>
      <x:c r="I106" s="170" t="str">
        <x:v>存量事实判定：CONFLICT</x:v>
      </x:c>
      <x:c r="J106" s="170" t="str">
        <x:v>按对应业务正常/异常与角色场景确认；旧页面映射不等于覆盖</x:v>
      </x:c>
      <x:c r="K106" s="170" t="str">
        <x:v>对应批次TASK及UAT</x:v>
      </x:c>
      <x:c r="L106" s="170" t="str">
        <x:v>待确认</x:v>
      </x:c>
      <x:c r="M106" s="170" t="str">
        <x:v>当前行为待复核</x:v>
      </x:c>
      <x:c r="N106" s="170" t="str">
        <x:v>未业务验收</x:v>
      </x:c>
      <x:c r="O106" s="170" t="str">
        <x:v>B07</x:v>
      </x:c>
      <x:c r="P106" s="170" t="str">
        <x:v>10/07事实分类；本轮未重用旧行为通过结论</x:v>
      </x:c>
      <x:c r="Q106" s="170" t="str">
        <x:v>docs/audit/LEGACY-80-REQUIREMENT-AUDIT.md REQ-063/F063；原主题索引非批准</x:v>
      </x:c>
      <x:c r="R106" s="170" t="str">
        <x:v>F063</x:v>
      </x:c>
      <x:c r="S106" s="170" t="str"/>
      <x:c r="T106" s="178"/>
    </x:row>
    <x:row r="107" ht="76" customHeight="1">
      <x:c r="A107" s="170" t="str">
        <x:v>LEGACY-REQ</x:v>
      </x:c>
      <x:c r="B107" s="170" t="str">
        <x:v>统计、客户和基础设置</x:v>
      </x:c>
      <x:c r="C107" s="170" t="str">
        <x:v>REQ-064</x:v>
      </x:c>
      <x:c r="D107" s="170" t="str">
        <x:v>查看最近 7 天趋势和报价中单统计</x:v>
      </x:c>
      <x:c r="E107" s="170" t="str">
        <x:v>存量功能文本保留；以原文和本期确认核对全部规则</x:v>
      </x:c>
      <x:c r="F107" s="170" t="str">
        <x:v>趋势固定2026-06与+12%；不是当前业务结果。</x:v>
      </x:c>
      <x:c r="G107" s="170" t="str">
        <x:v>旧范围不自动批准；按本期确认归批</x:v>
      </x:c>
      <x:c r="H107" s="170" t="str">
        <x:v>P1</x:v>
      </x:c>
      <x:c r="I107" s="170" t="str">
        <x:v>存量事实判定：ASSUMPTION</x:v>
      </x:c>
      <x:c r="J107" s="170" t="str">
        <x:v>按对应业务正常/异常与角色场景确认；旧页面映射不等于覆盖</x:v>
      </x:c>
      <x:c r="K107" s="170" t="str">
        <x:v>对应批次TASK及UAT</x:v>
      </x:c>
      <x:c r="L107" s="170" t="str">
        <x:v>待确认</x:v>
      </x:c>
      <x:c r="M107" s="170" t="str">
        <x:v>当前行为待复核</x:v>
      </x:c>
      <x:c r="N107" s="170" t="str">
        <x:v>未业务验收</x:v>
      </x:c>
      <x:c r="O107" s="170" t="str">
        <x:v>B07</x:v>
      </x:c>
      <x:c r="P107" s="170" t="str">
        <x:v>10/07事实分类；本轮未重用旧行为通过结论</x:v>
      </x:c>
      <x:c r="Q107" s="170" t="str">
        <x:v>docs/audit/LEGACY-80-REQUIREMENT-AUDIT.md REQ-064/F064；原主题索引非批准</x:v>
      </x:c>
      <x:c r="R107" s="170" t="str">
        <x:v>F064</x:v>
      </x:c>
      <x:c r="S107" s="170" t="str"/>
      <x:c r="T107" s="178"/>
    </x:row>
    <x:row r="108" ht="76" customHeight="1">
      <x:c r="A108" s="170" t="str">
        <x:v>LEGACY-REQ</x:v>
      </x:c>
      <x:c r="B108" s="170" t="str">
        <x:v>统计、客户和基础设置</x:v>
      </x:c>
      <x:c r="C108" s="170" t="str">
        <x:v>REQ-065</x:v>
      </x:c>
      <x:c r="D108" s="170" t="str">
        <x:v>查看未完成、SR 待签名和资料缺失提醒</x:v>
      </x:c>
      <x:c r="E108" s="170" t="str">
        <x:v>存量功能文本保留；以原文和本期确认核对全部规则</x:v>
      </x:c>
      <x:c r="F108" s="170" t="str">
        <x:v>签名正本入口隐藏；Outstanding按旧PM类型遗漏DLP。</x:v>
      </x:c>
      <x:c r="G108" s="170" t="str">
        <x:v>旧范围不自动批准；按本期确认归批</x:v>
      </x:c>
      <x:c r="H108" s="170" t="str">
        <x:v>P1</x:v>
      </x:c>
      <x:c r="I108" s="170" t="str">
        <x:v>存量事实判定：MISSING</x:v>
      </x:c>
      <x:c r="J108" s="170" t="str">
        <x:v>按对应业务正常/异常与角色场景确认；旧页面映射不等于覆盖</x:v>
      </x:c>
      <x:c r="K108" s="170" t="str">
        <x:v>对应批次TASK及UAT</x:v>
      </x:c>
      <x:c r="L108" s="170" t="str">
        <x:v>待确认</x:v>
      </x:c>
      <x:c r="M108" s="170" t="str">
        <x:v>当前行为待复核</x:v>
      </x:c>
      <x:c r="N108" s="170" t="str">
        <x:v>未业务验收</x:v>
      </x:c>
      <x:c r="O108" s="170" t="str">
        <x:v>B07</x:v>
      </x:c>
      <x:c r="P108" s="170" t="str">
        <x:v>10/07事实分类；本轮未重用旧行为通过结论</x:v>
      </x:c>
      <x:c r="Q108" s="170" t="str">
        <x:v>docs/audit/LEGACY-80-REQUIREMENT-AUDIT.md REQ-065/F065；原主题索引非批准</x:v>
      </x:c>
      <x:c r="R108" s="170" t="str">
        <x:v>F065</x:v>
      </x:c>
      <x:c r="S108" s="170" t="str"/>
      <x:c r="T108" s="178"/>
    </x:row>
    <x:row r="109" ht="76" customHeight="1">
      <x:c r="A109" s="170" t="str">
        <x:v>LEGACY-REQ</x:v>
      </x:c>
      <x:c r="B109" s="170" t="str">
        <x:v>统计、客户和基础设置</x:v>
      </x:c>
      <x:c r="C109" s="170" t="str">
        <x:v>REQ-066</x:v>
      </x:c>
      <x:c r="D109" s="170" t="str">
        <x:v>按角色、状态、工号、电话和邮箱管理用户</x:v>
      </x:c>
      <x:c r="E109" s="170" t="str">
        <x:v>存量功能文本保留；以原文和本期确认核对全部规则</x:v>
      </x:c>
      <x:c r="F109" s="170" t="str">
        <x:v>0930人员双语姓名搜索、夜班例外和仓管/Sales身份缺。</x:v>
      </x:c>
      <x:c r="G109" s="170" t="str">
        <x:v>旧范围不自动批准；按本期确认归批</x:v>
      </x:c>
      <x:c r="H109" s="170" t="str">
        <x:v>P1</x:v>
      </x:c>
      <x:c r="I109" s="170" t="str">
        <x:v>存量事实判定：MISSING</x:v>
      </x:c>
      <x:c r="J109" s="170" t="str">
        <x:v>按对应业务正常/异常与角色场景确认；旧页面映射不等于覆盖</x:v>
      </x:c>
      <x:c r="K109" s="170" t="str">
        <x:v>对应批次TASK及UAT</x:v>
      </x:c>
      <x:c r="L109" s="170" t="str">
        <x:v>待确认</x:v>
      </x:c>
      <x:c r="M109" s="170" t="str">
        <x:v>当前行为待复核</x:v>
      </x:c>
      <x:c r="N109" s="170" t="str">
        <x:v>未业务验收</x:v>
      </x:c>
      <x:c r="O109" s="170" t="str">
        <x:v>B01</x:v>
      </x:c>
      <x:c r="P109" s="170" t="str">
        <x:v>10/07事实分类；本轮未重用旧行为通过结论</x:v>
      </x:c>
      <x:c r="Q109" s="170" t="str">
        <x:v>docs/audit/LEGACY-80-REQUIREMENT-AUDIT.md REQ-066/F066；原主题索引非批准</x:v>
      </x:c>
      <x:c r="R109" s="170" t="str">
        <x:v>F066</x:v>
      </x:c>
      <x:c r="S109" s="170" t="str"/>
      <x:c r="T109" s="178"/>
    </x:row>
    <x:row r="110" ht="76" customHeight="1">
      <x:c r="A110" s="170" t="str">
        <x:v>LEGACY-REQ</x:v>
      </x:c>
      <x:c r="B110" s="170" t="str">
        <x:v>统计、客户和基础设置</x:v>
      </x:c>
      <x:c r="C110" s="170" t="str">
        <x:v>REQ-067</x:v>
      </x:c>
      <x:c r="D110" s="170" t="str">
        <x:v>管理客户、联系人、标准地点、区域和客户权限</x:v>
      </x:c>
      <x:c r="E110" s="170" t="str">
        <x:v>存量功能文本保留；以原文和本期确认核对全部规则</x:v>
      </x:c>
      <x:c r="F110" s="170" t="str">
        <x:v>多合约/JNO业务对象与客户单字段绑定冲突。</x:v>
      </x:c>
      <x:c r="G110" s="170" t="str">
        <x:v>旧范围不自动批准；按本期确认归批</x:v>
      </x:c>
      <x:c r="H110" s="170" t="str">
        <x:v>P1</x:v>
      </x:c>
      <x:c r="I110" s="170" t="str">
        <x:v>存量事实判定：CONFLICT</x:v>
      </x:c>
      <x:c r="J110" s="170" t="str">
        <x:v>按对应业务正常/异常与角色场景确认；旧页面映射不等于覆盖</x:v>
      </x:c>
      <x:c r="K110" s="170" t="str">
        <x:v>对应批次TASK及UAT</x:v>
      </x:c>
      <x:c r="L110" s="170" t="str">
        <x:v>待确认</x:v>
      </x:c>
      <x:c r="M110" s="170" t="str">
        <x:v>当前行为待复核</x:v>
      </x:c>
      <x:c r="N110" s="170" t="str">
        <x:v>未业务验收</x:v>
      </x:c>
      <x:c r="O110" s="170" t="str">
        <x:v>B01</x:v>
      </x:c>
      <x:c r="P110" s="170" t="str">
        <x:v>10/07事实分类；本轮未重用旧行为通过结论</x:v>
      </x:c>
      <x:c r="Q110" s="170" t="str">
        <x:v>docs/audit/LEGACY-80-REQUIREMENT-AUDIT.md REQ-067/F067；原主题索引非批准</x:v>
      </x:c>
      <x:c r="R110" s="170" t="str">
        <x:v>F067</x:v>
      </x:c>
      <x:c r="S110" s="170" t="str"/>
      <x:c r="T110" s="178"/>
    </x:row>
    <x:row r="111" ht="76" customHeight="1">
      <x:c r="A111" s="170" t="str">
        <x:v>LEGACY-REQ</x:v>
      </x:c>
      <x:c r="B111" s="170" t="str">
        <x:v>统计、客户和基础设置</x:v>
      </x:c>
      <x:c r="C111" s="170" t="str">
        <x:v>REQ-068</x:v>
      </x:c>
      <x:c r="D111" s="170" t="str">
        <x:v>管理工单类型、区域、CALL 代码、状态说明和通知规则</x:v>
      </x:c>
      <x:c r="E111" s="170" t="str">
        <x:v>存量功能文本保留；以原文和本期确认核对全部规则</x:v>
      </x:c>
      <x:c r="F111" s="170" t="str">
        <x:v>字典主状态不唯一，通知/附件规则待冻结。</x:v>
      </x:c>
      <x:c r="G111" s="170" t="str">
        <x:v>旧范围不自动批准；按本期确认归批</x:v>
      </x:c>
      <x:c r="H111" s="170" t="str">
        <x:v>P1</x:v>
      </x:c>
      <x:c r="I111" s="170" t="str">
        <x:v>存量事实判定：PENDING_CUSTOMER</x:v>
      </x:c>
      <x:c r="J111" s="170" t="str">
        <x:v>按对应业务正常/异常与角色场景确认；旧页面映射不等于覆盖</x:v>
      </x:c>
      <x:c r="K111" s="170" t="str">
        <x:v>对应批次TASK及UAT</x:v>
      </x:c>
      <x:c r="L111" s="170" t="str">
        <x:v>待确认</x:v>
      </x:c>
      <x:c r="M111" s="170" t="str">
        <x:v>当前行为待复核</x:v>
      </x:c>
      <x:c r="N111" s="170" t="str">
        <x:v>未业务验收</x:v>
      </x:c>
      <x:c r="O111" s="170" t="str">
        <x:v>B01</x:v>
      </x:c>
      <x:c r="P111" s="170" t="str">
        <x:v>10/07事实分类；本轮未重用旧行为通过结论</x:v>
      </x:c>
      <x:c r="Q111" s="170" t="str">
        <x:v>docs/audit/LEGACY-80-REQUIREMENT-AUDIT.md REQ-068/F068；原主题索引非批准</x:v>
      </x:c>
      <x:c r="R111" s="170" t="str">
        <x:v>F068</x:v>
      </x:c>
      <x:c r="S111" s="170" t="str"/>
      <x:c r="T111" s="178"/>
    </x:row>
    <x:row r="112" ht="76" customHeight="1">
      <x:c r="A112" s="170" t="str">
        <x:v>LEGACY-REQ</x:v>
      </x:c>
      <x:c r="B112" s="170" t="str">
        <x:v>统计、客户和基础设置</x:v>
      </x:c>
      <x:c r="C112" s="170" t="str">
        <x:v>REQ-069</x:v>
      </x:c>
      <x:c r="D112" s="170" t="str">
        <x:v>管理报价类别、标书来源、回标方式和标书状态</x:v>
      </x:c>
      <x:c r="E112" s="170" t="str">
        <x:v>存量功能文本保留；以原文和本期确认核对全部规则</x:v>
      </x:c>
      <x:c r="F112" s="170" t="str">
        <x:v>新Tender6态已有；报价来源/邀请结果残留。</x:v>
      </x:c>
      <x:c r="G112" s="170" t="str">
        <x:v>旧范围不自动批准；按本期确认归批</x:v>
      </x:c>
      <x:c r="H112" s="170" t="str">
        <x:v>P1</x:v>
      </x:c>
      <x:c r="I112" s="170" t="str">
        <x:v>存量事实判定：CONFLICT</x:v>
      </x:c>
      <x:c r="J112" s="170" t="str">
        <x:v>按对应业务正常/异常与角色场景确认；旧页面映射不等于覆盖</x:v>
      </x:c>
      <x:c r="K112" s="170" t="str">
        <x:v>对应批次TASK及UAT</x:v>
      </x:c>
      <x:c r="L112" s="170" t="str">
        <x:v>待确认</x:v>
      </x:c>
      <x:c r="M112" s="170" t="str">
        <x:v>当前行为待复核</x:v>
      </x:c>
      <x:c r="N112" s="170" t="str">
        <x:v>未业务验收</x:v>
      </x:c>
      <x:c r="O112" s="170" t="str">
        <x:v>B04</x:v>
      </x:c>
      <x:c r="P112" s="170" t="str">
        <x:v>10/07事实分类；本轮未重用旧行为通过结论</x:v>
      </x:c>
      <x:c r="Q112" s="170" t="str">
        <x:v>docs/audit/LEGACY-80-REQUIREMENT-AUDIT.md REQ-069/F069；原主题索引非批准</x:v>
      </x:c>
      <x:c r="R112" s="170" t="str">
        <x:v>F069</x:v>
      </x:c>
      <x:c r="S112" s="170" t="str"/>
      <x:c r="T112" s="178"/>
    </x:row>
    <x:row r="113" ht="76" customHeight="1">
      <x:c r="A113" s="170" t="str">
        <x:v>LEGACY-REQ</x:v>
      </x:c>
      <x:c r="B113" s="170" t="str">
        <x:v>统计、客户和基础设置</x:v>
      </x:c>
      <x:c r="C113" s="170" t="str">
        <x:v>REQ-070</x:v>
      </x:c>
      <x:c r="D113" s="170" t="str">
        <x:v>Excel 导入客户、工单、报价、发票和收款记录</x:v>
      </x:c>
      <x:c r="E113" s="170" t="str">
        <x:v>存量功能文本保留；以原文和本期确认核对全部规则</x:v>
      </x:c>
      <x:c r="F113" s="170" t="str">
        <x:v>导入映射/重复/预览/权限/失败明细未形成UAT。</x:v>
      </x:c>
      <x:c r="G113" s="170" t="str">
        <x:v>旧范围不自动批准；按本期确认归批</x:v>
      </x:c>
      <x:c r="H113" s="170" t="str">
        <x:v>P1</x:v>
      </x:c>
      <x:c r="I113" s="170" t="str">
        <x:v>存量事实判定：ASSUMPTION</x:v>
      </x:c>
      <x:c r="J113" s="170" t="str">
        <x:v>按对应业务正常/异常与角色场景确认；旧页面映射不等于覆盖</x:v>
      </x:c>
      <x:c r="K113" s="170" t="str">
        <x:v>对应批次TASK及UAT</x:v>
      </x:c>
      <x:c r="L113" s="170" t="str">
        <x:v>待确认</x:v>
      </x:c>
      <x:c r="M113" s="170" t="str">
        <x:v>当前行为待复核</x:v>
      </x:c>
      <x:c r="N113" s="170" t="str">
        <x:v>未业务验收</x:v>
      </x:c>
      <x:c r="O113" s="170" t="str">
        <x:v>B07</x:v>
      </x:c>
      <x:c r="P113" s="170" t="str">
        <x:v>10/07事实分类；本轮未重用旧行为通过结论</x:v>
      </x:c>
      <x:c r="Q113" s="170" t="str">
        <x:v>docs/audit/LEGACY-80-REQUIREMENT-AUDIT.md REQ-070/F070；原主题索引非批准</x:v>
      </x:c>
      <x:c r="R113" s="170" t="str">
        <x:v>F070</x:v>
      </x:c>
      <x:c r="S113" s="170" t="str"/>
      <x:c r="T113" s="178"/>
    </x:row>
    <x:row r="114" ht="76" customHeight="1">
      <x:c r="A114" s="170" t="str">
        <x:v>LEGACY-REQ</x:v>
      </x:c>
      <x:c r="B114" s="170" t="str">
        <x:v>统计、客户和基础设置</x:v>
      </x:c>
      <x:c r="C114" s="170" t="str">
        <x:v>REQ-071</x:v>
      </x:c>
      <x:c r="D114" s="170" t="str">
        <x:v>配置附件存储、容量、文件类型、保留期和备份</x:v>
      </x:c>
      <x:c r="E114" s="170" t="str">
        <x:v>存量功能文本保留；以原文和本期确认核对全部规则</x:v>
      </x:c>
      <x:c r="F114" s="170" t="str">
        <x:v>容量/保留/归档是模拟设置，缺真实样例验证。</x:v>
      </x:c>
      <x:c r="G114" s="170" t="str">
        <x:v>旧范围不自动批准；按本期确认归批</x:v>
      </x:c>
      <x:c r="H114" s="170" t="str">
        <x:v>P1</x:v>
      </x:c>
      <x:c r="I114" s="170" t="str">
        <x:v>存量事实判定：PENDING_CUSTOMER</x:v>
      </x:c>
      <x:c r="J114" s="170" t="str">
        <x:v>按对应业务正常/异常与角色场景确认；旧页面映射不等于覆盖</x:v>
      </x:c>
      <x:c r="K114" s="170" t="str">
        <x:v>对应批次TASK及UAT</x:v>
      </x:c>
      <x:c r="L114" s="170" t="str">
        <x:v>待确认</x:v>
      </x:c>
      <x:c r="M114" s="170" t="str">
        <x:v>当前行为待复核</x:v>
      </x:c>
      <x:c r="N114" s="170" t="str">
        <x:v>未业务验收</x:v>
      </x:c>
      <x:c r="O114" s="170" t="str">
        <x:v>B07</x:v>
      </x:c>
      <x:c r="P114" s="170" t="str">
        <x:v>10/07事实分类；本轮未重用旧行为通过结论</x:v>
      </x:c>
      <x:c r="Q114" s="170" t="str">
        <x:v>docs/audit/LEGACY-80-REQUIREMENT-AUDIT.md REQ-071/F071；原主题索引非批准</x:v>
      </x:c>
      <x:c r="R114" s="170" t="str">
        <x:v>F071</x:v>
      </x:c>
      <x:c r="S114" s="170" t="str"/>
      <x:c r="T114" s="178"/>
    </x:row>
    <x:row r="115" ht="76" customHeight="1">
      <x:c r="A115" s="170" t="str">
        <x:v>LEGACY-REQ</x:v>
      </x:c>
      <x:c r="B115" s="170" t="str">
        <x:v>统计、客户和基础设置</x:v>
      </x:c>
      <x:c r="C115" s="170" t="str">
        <x:v>REQ-072</x:v>
      </x:c>
      <x:c r="D115" s="170" t="str">
        <x:v>角色登录、切换和页面权限控制</x:v>
      </x:c>
      <x:c r="E115" s="170" t="str">
        <x:v>存量功能文本保留；以原文和本期确认核对全部规则</x:v>
      </x:c>
      <x:c r="F115" s="170" t="str">
        <x:v>页面白名单与权限说明、具体记录范围不一致。</x:v>
      </x:c>
      <x:c r="G115" s="170" t="str">
        <x:v>旧范围不自动批准；按本期确认归批</x:v>
      </x:c>
      <x:c r="H115" s="170" t="str">
        <x:v>P1</x:v>
      </x:c>
      <x:c r="I115" s="170" t="str">
        <x:v>存量事实判定：CONFLICT</x:v>
      </x:c>
      <x:c r="J115" s="170" t="str">
        <x:v>按对应业务正常/异常与角色场景确认；旧页面映射不等于覆盖</x:v>
      </x:c>
      <x:c r="K115" s="170" t="str">
        <x:v>对应批次TASK及UAT</x:v>
      </x:c>
      <x:c r="L115" s="170" t="str">
        <x:v>待确认</x:v>
      </x:c>
      <x:c r="M115" s="170" t="str">
        <x:v>当前行为待复核</x:v>
      </x:c>
      <x:c r="N115" s="170" t="str">
        <x:v>未业务验收</x:v>
      </x:c>
      <x:c r="O115" s="170" t="str">
        <x:v>B01</x:v>
      </x:c>
      <x:c r="P115" s="170" t="str">
        <x:v>10/07事实分类；本轮未重用旧行为通过结论</x:v>
      </x:c>
      <x:c r="Q115" s="170" t="str">
        <x:v>docs/audit/LEGACY-80-REQUIREMENT-AUDIT.md REQ-072/F072；原主题索引非批准</x:v>
      </x:c>
      <x:c r="R115" s="170" t="str">
        <x:v>F072</x:v>
      </x:c>
      <x:c r="S115" s="170" t="str"/>
      <x:c r="T115" s="178"/>
    </x:row>
    <x:row r="116" ht="76" customHeight="1">
      <x:c r="A116" s="170" t="str">
        <x:v>LEGACY-REQ</x:v>
      </x:c>
      <x:c r="B116" s="170" t="str">
        <x:v>原需求补充与上线约束</x:v>
      </x:c>
      <x:c r="C116" s="170" t="str">
        <x:v>REQ-073</x:v>
      </x:c>
      <x:c r="D116" s="170" t="str">
        <x:v>按普通/政府客户自动生成唯一 CALL 编号；政府前缀可配置，任务编号与 CALL 编号独立</x:v>
      </x:c>
      <x:c r="E116" s="170" t="str">
        <x:v>存量功能文本保留；以原文和本期确认核对全部规则</x:v>
      </x:c>
      <x:c r="F116" s="170" t="str">
        <x:v>客户前缀有L1背景，完整编号关联和计数需客户决定。</x:v>
      </x:c>
      <x:c r="G116" s="170" t="str">
        <x:v>旧范围不自动批准；按本期确认归批</x:v>
      </x:c>
      <x:c r="H116" s="170" t="str">
        <x:v>P1</x:v>
      </x:c>
      <x:c r="I116" s="170" t="str">
        <x:v>存量事实判定：PENDING_CUSTOMER</x:v>
      </x:c>
      <x:c r="J116" s="170" t="str">
        <x:v>按对应业务正常/异常与角色场景确认；旧页面映射不等于覆盖</x:v>
      </x:c>
      <x:c r="K116" s="170" t="str">
        <x:v>对应批次TASK及UAT</x:v>
      </x:c>
      <x:c r="L116" s="170" t="str">
        <x:v>待确认</x:v>
      </x:c>
      <x:c r="M116" s="170" t="str">
        <x:v>当前行为待复核</x:v>
      </x:c>
      <x:c r="N116" s="170" t="str">
        <x:v>未业务验收</x:v>
      </x:c>
      <x:c r="O116" s="170" t="str">
        <x:v>B01</x:v>
      </x:c>
      <x:c r="P116" s="170" t="str">
        <x:v>10/07事实分类；本轮未重用旧行为通过结论</x:v>
      </x:c>
      <x:c r="Q116" s="170" t="str">
        <x:v>docs/audit/LEGACY-80-REQUIREMENT-AUDIT.md REQ-073/F073；原主题索引非批准</x:v>
      </x:c>
      <x:c r="R116" s="170" t="str">
        <x:v>F073</x:v>
      </x:c>
      <x:c r="S116" s="170" t="str"/>
      <x:c r="T116" s="178"/>
    </x:row>
    <x:row r="117" ht="76" customHeight="1">
      <x:c r="A117" s="170" t="str">
        <x:v>LEGACY-REQ</x:v>
      </x:c>
      <x:c r="B117" s="170" t="str">
        <x:v>原需求补充与上线约束</x:v>
      </x:c>
      <x:c r="C117" s="170" t="str">
        <x:v>REQ-074</x:v>
      </x:c>
      <x:c r="D117" s="170" t="str">
        <x:v>按客户/地点配置不可拍照豁免，取消照片强制项并保留原因或替代证明</x:v>
      </x:c>
      <x:c r="E117" s="170" t="str">
        <x:v>存量功能文本保留；以原文和本期确认核对全部规则</x:v>
      </x:c>
      <x:c r="F117" s="170" t="str">
        <x:v>不可拍照不强制照片已明确，不应重问是否豁免。</x:v>
      </x:c>
      <x:c r="G117" s="170" t="str">
        <x:v>旧范围不自动批准；按本期确认归批</x:v>
      </x:c>
      <x:c r="H117" s="170" t="str">
        <x:v>P1</x:v>
      </x:c>
      <x:c r="I117" s="170" t="str">
        <x:v>存量事实判定：CONFIRMED</x:v>
      </x:c>
      <x:c r="J117" s="170" t="str">
        <x:v>按对应业务正常/异常与角色场景确认；旧页面映射不等于覆盖</x:v>
      </x:c>
      <x:c r="K117" s="170" t="str">
        <x:v>对应批次TASK及UAT</x:v>
      </x:c>
      <x:c r="L117" s="170" t="str">
        <x:v>待确认</x:v>
      </x:c>
      <x:c r="M117" s="170" t="str">
        <x:v>当前行为待复核</x:v>
      </x:c>
      <x:c r="N117" s="170" t="str">
        <x:v>未业务验收</x:v>
      </x:c>
      <x:c r="O117" s="170" t="str">
        <x:v>B02</x:v>
      </x:c>
      <x:c r="P117" s="170" t="str">
        <x:v>10/07事实分类；本轮未重用旧行为通过结论</x:v>
      </x:c>
      <x:c r="Q117" s="170" t="str">
        <x:v>docs/audit/LEGACY-80-REQUIREMENT-AUDIT.md REQ-074/F074；原主题索引非批准</x:v>
      </x:c>
      <x:c r="R117" s="170" t="str">
        <x:v>F074</x:v>
      </x:c>
      <x:c r="S117" s="170" t="str"/>
      <x:c r="T117" s="178"/>
    </x:row>
    <x:row r="118" ht="76" customHeight="1">
      <x:c r="A118" s="170" t="str">
        <x:v>LEGACY-REQ</x:v>
      </x:c>
      <x:c r="B118" s="170" t="str">
        <x:v>原需求补充与上线约束</x:v>
      </x:c>
      <x:c r="C118" s="170" t="str">
        <x:v>REQ-075</x:v>
      </x:c>
      <x:c r="D118" s="170" t="str">
        <x:v>配置未接单、未到场、处理超时提醒及负责人；采购状态停滞时通知采购部和报价组</x:v>
      </x:c>
      <x:c r="E118" s="170" t="str">
        <x:v>存量功能文本保留；以原文和本期确认核对全部规则</x:v>
      </x:c>
      <x:c r="F118" s="170" t="str">
        <x:v>1/1/2分钟演示阈值不能定版为真实SLA。</x:v>
      </x:c>
      <x:c r="G118" s="170" t="str">
        <x:v>旧范围不自动批准；按本期确认归批</x:v>
      </x:c>
      <x:c r="H118" s="170" t="str">
        <x:v>P1</x:v>
      </x:c>
      <x:c r="I118" s="170" t="str">
        <x:v>存量事实判定：ASSUMPTION</x:v>
      </x:c>
      <x:c r="J118" s="170" t="str">
        <x:v>按对应业务正常/异常与角色场景确认；旧页面映射不等于覆盖</x:v>
      </x:c>
      <x:c r="K118" s="170" t="str">
        <x:v>对应批次TASK及UAT</x:v>
      </x:c>
      <x:c r="L118" s="170" t="str">
        <x:v>待确认</x:v>
      </x:c>
      <x:c r="M118" s="170" t="str">
        <x:v>当前行为待复核</x:v>
      </x:c>
      <x:c r="N118" s="170" t="str">
        <x:v>未业务验收</x:v>
      </x:c>
      <x:c r="O118" s="170" t="str">
        <x:v>B02</x:v>
      </x:c>
      <x:c r="P118" s="170" t="str">
        <x:v>10/07事实分类；本轮未重用旧行为通过结论</x:v>
      </x:c>
      <x:c r="Q118" s="170" t="str">
        <x:v>docs/audit/LEGACY-80-REQUIREMENT-AUDIT.md REQ-075/F075；原主题索引非批准</x:v>
      </x:c>
      <x:c r="R118" s="170" t="str">
        <x:v>F075</x:v>
      </x:c>
      <x:c r="S118" s="170" t="str"/>
      <x:c r="T118" s="178"/>
    </x:row>
    <x:row r="119" ht="76" customHeight="1">
      <x:c r="A119" s="170" t="str">
        <x:v>LEGACY-REQ</x:v>
      </x:c>
      <x:c r="B119" s="170" t="str">
        <x:v>原需求补充与上线约束</x:v>
      </x:c>
      <x:c r="C119" s="170" t="str">
        <x:v>REQ-076</x:v>
      </x:c>
      <x:c r="D119" s="170" t="str">
        <x:v>工单池开放任务、师傅申请接单、主管确认</x:v>
      </x:c>
      <x:c r="E119" s="170" t="str">
        <x:v>存量功能文本保留；以原文和本期确认核对全部规则</x:v>
      </x:c>
      <x:c r="F119" s="170" t="str">
        <x:v>团队主动申请+审核有L1，跨区开放策略未定。</x:v>
      </x:c>
      <x:c r="G119" s="170" t="str">
        <x:v>旧范围不自动批准；按本期确认归批</x:v>
      </x:c>
      <x:c r="H119" s="170" t="str">
        <x:v>P1</x:v>
      </x:c>
      <x:c r="I119" s="170" t="str">
        <x:v>存量事实判定：CONFIRMED</x:v>
      </x:c>
      <x:c r="J119" s="170" t="str">
        <x:v>按对应业务正常/异常与角色场景确认；旧页面映射不等于覆盖</x:v>
      </x:c>
      <x:c r="K119" s="170" t="str">
        <x:v>对应批次TASK及UAT</x:v>
      </x:c>
      <x:c r="L119" s="170" t="str">
        <x:v>待确认</x:v>
      </x:c>
      <x:c r="M119" s="170" t="str">
        <x:v>当前行为待复核</x:v>
      </x:c>
      <x:c r="N119" s="170" t="str">
        <x:v>未业务验收</x:v>
      </x:c>
      <x:c r="O119" s="170" t="str">
        <x:v>B02</x:v>
      </x:c>
      <x:c r="P119" s="170" t="str">
        <x:v>10/07事实分类；本轮未重用旧行为通过结论</x:v>
      </x:c>
      <x:c r="Q119" s="170" t="str">
        <x:v>docs/audit/LEGACY-80-REQUIREMENT-AUDIT.md REQ-076/F076；原主题索引非批准</x:v>
      </x:c>
      <x:c r="R119" s="170" t="str">
        <x:v>F076</x:v>
      </x:c>
      <x:c r="S119" s="170" t="str"/>
      <x:c r="T119" s="178"/>
    </x:row>
    <x:row r="120" ht="76" customHeight="1">
      <x:c r="A120" s="170" t="str">
        <x:v>LEGACY-REQ</x:v>
      </x:c>
      <x:c r="B120" s="170" t="str">
        <x:v>原需求补充与上线约束</x:v>
      </x:c>
      <x:c r="C120" s="170" t="str">
        <x:v>REQ-077</x:v>
      </x:c>
      <x:c r="D120" s="170" t="str">
        <x:v>简版报销关联一个或多个已完成工单，记录金额与票据附件</x:v>
      </x:c>
      <x:c r="E120" s="170" t="str">
        <x:v>存量功能文本保留；以原文和本期确认核对全部规则</x:v>
      </x:c>
      <x:c r="F120" s="170" t="str">
        <x:v>真实报销期别范围与工单关联粒度未在本期冻结。</x:v>
      </x:c>
      <x:c r="G120" s="170" t="str">
        <x:v>旧范围不自动批准；按本期确认归批</x:v>
      </x:c>
      <x:c r="H120" s="170" t="str">
        <x:v>P1</x:v>
      </x:c>
      <x:c r="I120" s="170" t="str">
        <x:v>存量事实判定：PENDING_CUSTOMER</x:v>
      </x:c>
      <x:c r="J120" s="170" t="str">
        <x:v>按对应业务正常/异常与角色场景确认；旧页面映射不等于覆盖</x:v>
      </x:c>
      <x:c r="K120" s="170" t="str">
        <x:v>对应批次TASK及UAT</x:v>
      </x:c>
      <x:c r="L120" s="170" t="str">
        <x:v>待确认</x:v>
      </x:c>
      <x:c r="M120" s="170" t="str">
        <x:v>当前行为待复核</x:v>
      </x:c>
      <x:c r="N120" s="170" t="str">
        <x:v>未业务验收</x:v>
      </x:c>
      <x:c r="O120" s="170" t="str">
        <x:v>B07</x:v>
      </x:c>
      <x:c r="P120" s="170" t="str">
        <x:v>10/07事实分类；本轮未重用旧行为通过结论</x:v>
      </x:c>
      <x:c r="Q120" s="170" t="str">
        <x:v>docs/audit/LEGACY-80-REQUIREMENT-AUDIT.md REQ-077/F077；原主题索引非批准</x:v>
      </x:c>
      <x:c r="R120" s="170" t="str">
        <x:v>F077</x:v>
      </x:c>
      <x:c r="S120" s="170" t="str"/>
      <x:c r="T120" s="178"/>
    </x:row>
    <x:row r="121" ht="76" customHeight="1">
      <x:c r="A121" s="170" t="str">
        <x:v>LEGACY-REQ</x:v>
      </x:c>
      <x:c r="B121" s="170" t="str">
        <x:v>原需求补充与上线约束</x:v>
      </x:c>
      <x:c r="C121" s="170" t="str">
        <x:v>REQ-078</x:v>
      </x:c>
      <x:c r="D121" s="170" t="str">
        <x:v>PM/CM 业务分类与原型五类 CALL 建立对应关系，保留分类统计</x:v>
      </x:c>
      <x:c r="E121" s="170" t="str">
        <x:v>存量功能文本保留；以原文和本期确认核对全部规则</x:v>
      </x:c>
      <x:c r="F121" s="170" t="str">
        <x:v>PM/CM与5类CALL/旧type的映射尚无一致字典。</x:v>
      </x:c>
      <x:c r="G121" s="170" t="str">
        <x:v>旧范围不自动批准；按本期确认归批</x:v>
      </x:c>
      <x:c r="H121" s="170" t="str">
        <x:v>P1</x:v>
      </x:c>
      <x:c r="I121" s="170" t="str">
        <x:v>存量事实判定：PENDING_CUSTOMER</x:v>
      </x:c>
      <x:c r="J121" s="170" t="str">
        <x:v>按对应业务正常/异常与角色场景确认；旧页面映射不等于覆盖</x:v>
      </x:c>
      <x:c r="K121" s="170" t="str">
        <x:v>对应批次TASK及UAT</x:v>
      </x:c>
      <x:c r="L121" s="170" t="str">
        <x:v>待确认</x:v>
      </x:c>
      <x:c r="M121" s="170" t="str">
        <x:v>当前行为待复核</x:v>
      </x:c>
      <x:c r="N121" s="170" t="str">
        <x:v>未业务验收</x:v>
      </x:c>
      <x:c r="O121" s="170" t="str">
        <x:v>B01</x:v>
      </x:c>
      <x:c r="P121" s="170" t="str">
        <x:v>10/07事实分类；本轮未重用旧行为通过结论</x:v>
      </x:c>
      <x:c r="Q121" s="170" t="str">
        <x:v>docs/audit/LEGACY-80-REQUIREMENT-AUDIT.md REQ-078/F078；原主题索引非批准</x:v>
      </x:c>
      <x:c r="R121" s="170" t="str">
        <x:v>F078</x:v>
      </x:c>
      <x:c r="S121" s="170" t="str"/>
      <x:c r="T121" s="178"/>
    </x:row>
    <x:row r="122" ht="76" customHeight="1">
      <x:c r="A122" s="170" t="str">
        <x:v>LEGACY-REQ</x:v>
      </x:c>
      <x:c r="B122" s="170" t="str">
        <x:v>原需求补充与上线约束</x:v>
      </x:c>
      <x:c r="C122" s="170" t="str">
        <x:v>REQ-079</x:v>
      </x:c>
      <x:c r="D122" s="170" t="str">
        <x:v>项目编号、CALL 编号、任务编号和外部 Reference 分开存储并可关联检索</x:v>
      </x:c>
      <x:c r="E122" s="170" t="str">
        <x:v>存量功能文本保留；以原文和本期确认核对全部规则</x:v>
      </x:c>
      <x:c r="F122" s="170" t="str">
        <x:v>不同编号语义要分开；JNO不从客户推导已明确。</x:v>
      </x:c>
      <x:c r="G122" s="170" t="str">
        <x:v>旧范围不自动批准；按本期确认归批</x:v>
      </x:c>
      <x:c r="H122" s="170" t="str">
        <x:v>P1</x:v>
      </x:c>
      <x:c r="I122" s="170" t="str">
        <x:v>存量事实判定：CONFIRMED</x:v>
      </x:c>
      <x:c r="J122" s="170" t="str">
        <x:v>按对应业务正常/异常与角色场景确认；旧页面映射不等于覆盖</x:v>
      </x:c>
      <x:c r="K122" s="170" t="str">
        <x:v>对应批次TASK及UAT</x:v>
      </x:c>
      <x:c r="L122" s="170" t="str">
        <x:v>待确认</x:v>
      </x:c>
      <x:c r="M122" s="170" t="str">
        <x:v>当前行为待复核</x:v>
      </x:c>
      <x:c r="N122" s="170" t="str">
        <x:v>未业务验收</x:v>
      </x:c>
      <x:c r="O122" s="170" t="str">
        <x:v>B01</x:v>
      </x:c>
      <x:c r="P122" s="170" t="str">
        <x:v>10/07事实分类；本轮未重用旧行为通过结论</x:v>
      </x:c>
      <x:c r="Q122" s="170" t="str">
        <x:v>docs/audit/LEGACY-80-REQUIREMENT-AUDIT.md REQ-079/F079；原主题索引非批准</x:v>
      </x:c>
      <x:c r="R122" s="170" t="str">
        <x:v>F079</x:v>
      </x:c>
      <x:c r="S122" s="170" t="str"/>
      <x:c r="T122" s="178"/>
    </x:row>
    <x:row r="123" ht="76" customHeight="1">
      <x:c r="A123" s="170" t="str">
        <x:v>LEGACY-REQ</x:v>
      </x:c>
      <x:c r="B123" s="170" t="str">
        <x:v>原需求补充与上线约束</x:v>
      </x:c>
      <x:c r="C123" s="170" t="str">
        <x:v>REQ-080</x:v>
      </x:c>
      <x:c r="D123" s="170" t="str">
        <x:v>完成/取消后的报告与附件归档，配置在线保留、备份和恢复规则</x:v>
      </x:c>
      <x:c r="E123" s="170" t="str">
        <x:v>存量功能文本保留；以原文和本期确认核对全部规则</x:v>
      </x:c>
      <x:c r="F123" s="170" t="str">
        <x:v>归档需要明确，年限/责任/恢复/导出范围未定。</x:v>
      </x:c>
      <x:c r="G123" s="170" t="str">
        <x:v>旧范围不自动批准；按本期确认归批</x:v>
      </x:c>
      <x:c r="H123" s="170" t="str">
        <x:v>P1</x:v>
      </x:c>
      <x:c r="I123" s="170" t="str">
        <x:v>存量事实判定：PENDING_CUSTOMER</x:v>
      </x:c>
      <x:c r="J123" s="170" t="str">
        <x:v>按对应业务正常/异常与角色场景确认；旧页面映射不等于覆盖</x:v>
      </x:c>
      <x:c r="K123" s="170" t="str">
        <x:v>对应批次TASK及UAT</x:v>
      </x:c>
      <x:c r="L123" s="170" t="str">
        <x:v>待确认</x:v>
      </x:c>
      <x:c r="M123" s="170" t="str">
        <x:v>当前行为待复核</x:v>
      </x:c>
      <x:c r="N123" s="170" t="str">
        <x:v>未业务验收</x:v>
      </x:c>
      <x:c r="O123" s="170" t="str">
        <x:v>B07</x:v>
      </x:c>
      <x:c r="P123" s="170" t="str">
        <x:v>10/07事实分类；本轮未重用旧行为通过结论</x:v>
      </x:c>
      <x:c r="Q123" s="170" t="str">
        <x:v>docs/audit/LEGACY-80-REQUIREMENT-AUDIT.md REQ-080/F080；原主题索引非批准</x:v>
      </x:c>
      <x:c r="R123" s="170" t="str">
        <x:v>F080</x:v>
      </x:c>
      <x:c r="S123" s="170" t="str"/>
      <x:c r="T123" s="178"/>
    </x:row>
    <x:row r="124" ht="70" customHeight="1">
      <x:c r="A124" s="170" t="str">
        <x:v>UPD</x:v>
      </x:c>
      <x:c r="B124" s="170" t="str">
        <x:v>公共基础</x:v>
      </x:c>
      <x:c r="C124" s="170" t="str">
        <x:v>UPD-001</x:v>
      </x:c>
      <x:c r="D124" s="170" t="str">
        <x:v>合同编号维护</x:v>
      </x:c>
      <x:c r="E124" s="170" t="str">
        <x:v>需要维护合同编号</x:v>
      </x:c>
      <x:c r="F124" s="170" t="str">
        <x:v>记录明确不等于一期已批准；细则参见C-01～16</x:v>
      </x:c>
      <x:c r="G124" s="170" t="str">
        <x:v>建议本期分批纳入</x:v>
      </x:c>
      <x:c r="H124" s="170" t="str">
        <x:v>P1</x:v>
      </x:c>
      <x:c r="I124" s="170" t="str">
        <x:v>记录明确诉求</x:v>
      </x:c>
      <x:c r="J124" s="170" t="str">
        <x:v>按原文实现并从对应角色验证；未决规则不填默认答案</x:v>
      </x:c>
      <x:c r="K124" s="170" t="str">
        <x:v>TASK-32</x:v>
      </x:c>
      <x:c r="L124" s="170" t="str">
        <x:v>待确认</x:v>
      </x:c>
      <x:c r="M124" s="170" t="str">
        <x:v>客户详情有合约编号；维护动作及完整多合同选择尚待验证</x:v>
      </x:c>
      <x:c r="N124" s="170" t="str">
        <x:v>未业务验收</x:v>
      </x:c>
      <x:c r="O124" s="170" t="str">
        <x:v>B01</x:v>
      </x:c>
      <x:c r="P124" s="170" t="str">
        <x:v>记录明确诉求</x:v>
      </x:c>
      <x:c r="Q124" s="170" t="str">
        <x:v>SOURCE-014 materials/溝通筆記/ec+cs+報價組+會計0928.docx P1</x:v>
      </x:c>
      <x:c r="R124" s="170" t="str">
        <x:v>REQ-067、REQ-079</x:v>
      </x:c>
      <x:c r="S124" s="170" t="str"/>
      <x:c r="T124" s="178"/>
    </x:row>
    <x:row r="125" ht="70" customHeight="1">
      <x:c r="A125" s="170" t="str">
        <x:v>UPD</x:v>
      </x:c>
      <x:c r="B125" s="170" t="str">
        <x:v>公共基础</x:v>
      </x:c>
      <x:c r="C125" s="170" t="str">
        <x:v>UPD-002</x:v>
      </x:c>
      <x:c r="D125" s="170" t="str">
        <x:v>CALL的JNO独立</x:v>
      </x:c>
      <x:c r="E125" s="170" t="str">
        <x:v>新建CALL输入JNO；JNO不绑定客户</x:v>
      </x:c>
      <x:c r="F125" s="170" t="str">
        <x:v>记录明确不等于一期已批准；细则参见C-01～16</x:v>
      </x:c>
      <x:c r="G125" s="170" t="str">
        <x:v>建议本期分批纳入</x:v>
      </x:c>
      <x:c r="H125" s="170" t="str">
        <x:v>P1</x:v>
      </x:c>
      <x:c r="I125" s="170" t="str">
        <x:v>记录明确诉求</x:v>
      </x:c>
      <x:c r="J125" s="170" t="str">
        <x:v>按原文实现并从对应角色验证；未决规则不填默认答案</x:v>
      </x:c>
      <x:c r="K125" s="170" t="str">
        <x:v>TASK-32</x:v>
      </x:c>
      <x:c r="L125" s="170" t="str">
        <x:v>待确认</x:v>
      </x:c>
      <x:c r="M125" s="170" t="str">
        <x:v>政府CALL可编辑JNO；私人未显示，客户主档仍存J Number；适用/关联待核</x:v>
      </x:c>
      <x:c r="N125" s="170" t="str">
        <x:v>未业务验收</x:v>
      </x:c>
      <x:c r="O125" s="170" t="str">
        <x:v>B01</x:v>
      </x:c>
      <x:c r="P125" s="170" t="str">
        <x:v>记录明确诉求</x:v>
      </x:c>
      <x:c r="Q125" s="170" t="str">
        <x:v>SOURCE-014 materials/溝通筆記/ec+cs+報價組+會計0928.docx P14</x:v>
      </x:c>
      <x:c r="R125" s="170" t="str">
        <x:v>REQ-007、REQ-009、REQ-079</x:v>
      </x:c>
      <x:c r="S125" s="170" t="str"/>
      <x:c r="T125" s="178"/>
    </x:row>
    <x:row r="126" ht="70" customHeight="1">
      <x:c r="A126" s="170" t="str">
        <x:v>UPD</x:v>
      </x:c>
      <x:c r="B126" s="170" t="str">
        <x:v>公共基础</x:v>
      </x:c>
      <x:c r="C126" s="170" t="str">
        <x:v>UPD-003</x:v>
      </x:c>
      <x:c r="D126" s="170" t="str">
        <x:v>客户多合同与重复客户</x:v>
      </x:c>
      <x:c r="E126" s="170" t="str">
        <x:v>客户可有多个合同；允许重复客户记录，去重口径仍待定</x:v>
      </x:c>
      <x:c r="F126" s="170" t="str">
        <x:v>记录明确不等于一期已批准；细则参见C-01～16</x:v>
      </x:c>
      <x:c r="G126" s="170" t="str">
        <x:v>建议本期分批纳入</x:v>
      </x:c>
      <x:c r="H126" s="170" t="str">
        <x:v>P1</x:v>
      </x:c>
      <x:c r="I126" s="170" t="str">
        <x:v>记录明确诉求</x:v>
      </x:c>
      <x:c r="J126" s="170" t="str">
        <x:v>按原文实现并从对应角色验证；未决规则不填默认答案</x:v>
      </x:c>
      <x:c r="K126" s="170" t="str">
        <x:v>TASK-32</x:v>
      </x:c>
      <x:c r="L126" s="170" t="str">
        <x:v>待确认</x:v>
      </x:c>
      <x:c r="M126" s="170" t="str">
        <x:v>合同信息区预留；未实际创建同名不同合同并验证下游，不能判定不支持多合同</x:v>
      </x:c>
      <x:c r="N126" s="170" t="str">
        <x:v>未业务验收</x:v>
      </x:c>
      <x:c r="O126" s="170" t="str">
        <x:v>B01</x:v>
      </x:c>
      <x:c r="P126" s="170" t="str">
        <x:v>记录明确诉求</x:v>
      </x:c>
      <x:c r="Q126" s="170" t="str">
        <x:v>SOURCE-014 materials/溝通筆記/ec+cs+報價組+會計0928.docx P17</x:v>
      </x:c>
      <x:c r="R126" s="170" t="str">
        <x:v>REQ-008、REQ-067</x:v>
      </x:c>
      <x:c r="S126" s="170" t="str"/>
      <x:c r="T126" s="178"/>
    </x:row>
    <x:row r="127" ht="70" customHeight="1">
      <x:c r="A127" s="170" t="str">
        <x:v>UPD</x:v>
      </x:c>
      <x:c r="B127" s="170" t="str">
        <x:v>公共基础</x:v>
      </x:c>
      <x:c r="C127" s="170" t="str">
        <x:v>UPD-004</x:v>
      </x:c>
      <x:c r="D127" s="170" t="str">
        <x:v>新增客户职责</x:v>
      </x:c>
      <x:c r="E127" s="170" t="str">
        <x:v>标书组、Sales、报价组、CS需要新增客户入口；实际授权映射待确认</x:v>
      </x:c>
      <x:c r="F127" s="170" t="str">
        <x:v>记录明确不等于一期已批准；细则参见C-01～16</x:v>
      </x:c>
      <x:c r="G127" s="170" t="str">
        <x:v>建议本期分批纳入</x:v>
      </x:c>
      <x:c r="H127" s="170" t="str">
        <x:v>P1</x:v>
      </x:c>
      <x:c r="I127" s="170" t="str">
        <x:v>记录明确诉求</x:v>
      </x:c>
      <x:c r="J127" s="170" t="str">
        <x:v>按原文实现并从对应角色验证；未决规则不填默认答案</x:v>
      </x:c>
      <x:c r="K127" s="170" t="str">
        <x:v>TASK-32</x:v>
      </x:c>
      <x:c r="L127" s="170" t="str">
        <x:v>待确认</x:v>
      </x:c>
      <x:c r="M127" s="170" t="str">
        <x:v>待按对应场景复核</x:v>
      </x:c>
      <x:c r="N127" s="170" t="str">
        <x:v>未业务验收</x:v>
      </x:c>
      <x:c r="O127" s="170" t="str">
        <x:v>B01</x:v>
      </x:c>
      <x:c r="P127" s="170" t="str">
        <x:v>记录明确诉求</x:v>
      </x:c>
      <x:c r="Q127" s="170" t="str">
        <x:v>SOURCE-014 materials/溝通筆記/ec+cs+報價組+會計0928.docx P16</x:v>
      </x:c>
      <x:c r="R127" s="170" t="str">
        <x:v>REQ-067、REQ-072</x:v>
      </x:c>
      <x:c r="S127" s="170" t="str"/>
      <x:c r="T127" s="178"/>
    </x:row>
    <x:row r="128" ht="70" customHeight="1">
      <x:c r="A128" s="170" t="str">
        <x:v>UPD</x:v>
      </x:c>
      <x:c r="B128" s="170" t="str">
        <x:v>公共基础</x:v>
      </x:c>
      <x:c r="C128" s="170" t="str">
        <x:v>UPD-005</x:v>
      </x:c>
      <x:c r="D128" s="170" t="str">
        <x:v>人员双语姓名与搜索</x:v>
      </x:c>
      <x:c r="E128" s="170" t="str">
        <x:v>姓名需中英文，并可按中英文搜索</x:v>
      </x:c>
      <x:c r="F128" s="170" t="str">
        <x:v>记录明确不等于一期已批准；细则参见C-01～16</x:v>
      </x:c>
      <x:c r="G128" s="170" t="str">
        <x:v>建议本期分批纳入</x:v>
      </x:c>
      <x:c r="H128" s="170" t="str">
        <x:v>P1</x:v>
      </x:c>
      <x:c r="I128" s="170" t="str">
        <x:v>记录明确诉求</x:v>
      </x:c>
      <x:c r="J128" s="170" t="str">
        <x:v>按原文实现并从对应角色验证；未决规则不填默认答案</x:v>
      </x:c>
      <x:c r="K128" s="170" t="str">
        <x:v>TASK-32</x:v>
      </x:c>
      <x:c r="L128" s="170" t="str">
        <x:v>待确认</x:v>
      </x:c>
      <x:c r="M128" s="170" t="str">
        <x:v>用户管理混合姓名的中文/英文关键词及空匹配子项通过；其他人员选择器未验</x:v>
      </x:c>
      <x:c r="N128" s="170" t="str">
        <x:v>未业务验收</x:v>
      </x:c>
      <x:c r="O128" s="170" t="str">
        <x:v>B01</x:v>
      </x:c>
      <x:c r="P128" s="170" t="str">
        <x:v>记录明确诉求</x:v>
      </x:c>
      <x:c r="Q128" s="170" t="str">
        <x:v>SOURCE-015 materials/溝通筆記/ec原型+倉庫+cr0930.docx P37</x:v>
      </x:c>
      <x:c r="R128" s="170" t="str">
        <x:v>REQ-066</x:v>
      </x:c>
      <x:c r="S128" s="170" t="str"/>
      <x:c r="T128" s="178"/>
    </x:row>
    <x:row r="129" ht="70" customHeight="1">
      <x:c r="A129" s="170" t="str">
        <x:v>UPD</x:v>
      </x:c>
      <x:c r="B129" s="170" t="str">
        <x:v>公共基础</x:v>
      </x:c>
      <x:c r="C129" s="170" t="str">
        <x:v>UPD-006</x:v>
      </x:c>
      <x:c r="D129" s="170" t="str">
        <x:v>CR区域可见范围</x:v>
      </x:c>
      <x:c r="E129" s="170" t="str">
        <x:v>客户关系部查看对应区域的数据</x:v>
      </x:c>
      <x:c r="F129" s="170" t="str">
        <x:v>记录明确不等于一期已批准；细则参见C-01～16</x:v>
      </x:c>
      <x:c r="G129" s="170" t="str">
        <x:v>建议本期分批纳入</x:v>
      </x:c>
      <x:c r="H129" s="170" t="str">
        <x:v>P1</x:v>
      </x:c>
      <x:c r="I129" s="170" t="str">
        <x:v>记录明确诉求</x:v>
      </x:c>
      <x:c r="J129" s="170" t="str">
        <x:v>按原文实现并从对应角色验证；未决规则不填默认答案</x:v>
      </x:c>
      <x:c r="K129" s="170" t="str">
        <x:v>TASK-32</x:v>
      </x:c>
      <x:c r="L129" s="170" t="str">
        <x:v>待确认</x:v>
      </x:c>
      <x:c r="M129" s="170" t="str">
        <x:v>三名普通CR主要读取已整改复测，1区筛2区无记录；其他模块/动作/夜班/移动未全验，不算整项验收</x:v>
      </x:c>
      <x:c r="N129" s="170" t="str">
        <x:v>未业务验收</x:v>
      </x:c>
      <x:c r="O129" s="170" t="str">
        <x:v>B01</x:v>
      </x:c>
      <x:c r="P129" s="170" t="str">
        <x:v>记录明确诉求</x:v>
      </x:c>
      <x:c r="Q129" s="170" t="str">
        <x:v>SOURCE-015 materials/溝通筆記/ec原型+倉庫+cr0930.docx P40</x:v>
      </x:c>
      <x:c r="R129" s="170" t="str">
        <x:v>REQ-020、REQ-072</x:v>
      </x:c>
      <x:c r="S129" s="170" t="str"/>
      <x:c r="T129" s="178"/>
    </x:row>
    <x:row r="130" ht="70" customHeight="1">
      <x:c r="A130" s="170" t="str">
        <x:v>UPD</x:v>
      </x:c>
      <x:c r="B130" s="170" t="str">
        <x:v>公共基础</x:v>
      </x:c>
      <x:c r="C130" s="170" t="str">
        <x:v>UPD-007</x:v>
      </x:c>
      <x:c r="D130" s="170" t="str">
        <x:v>指定夜班组长全区CALL</x:v>
      </x:c>
      <x:c r="E130" s="170" t="str">
        <x:v>某几个夜班组长可看所有区域CALL；名单与动作授权未给出</x:v>
      </x:c>
      <x:c r="F130" s="170" t="str">
        <x:v>记录明确不等于一期已批准；细则参见C-01～16</x:v>
      </x:c>
      <x:c r="G130" s="170" t="str">
        <x:v>建议本期分批纳入</x:v>
      </x:c>
      <x:c r="H130" s="170" t="str">
        <x:v>P1</x:v>
      </x:c>
      <x:c r="I130" s="170" t="str">
        <x:v>记录明确诉求</x:v>
      </x:c>
      <x:c r="J130" s="170" t="str">
        <x:v>按原文实现并从对应角色验证；未决规则不填默认答案</x:v>
      </x:c>
      <x:c r="K130" s="170" t="str">
        <x:v>TASK-32</x:v>
      </x:c>
      <x:c r="L130" s="170" t="str">
        <x:v>待确认</x:v>
      </x:c>
      <x:c r="M130" s="170" t="str">
        <x:v>待按对应场景复核</x:v>
      </x:c>
      <x:c r="N130" s="170" t="str">
        <x:v>未业务验收</x:v>
      </x:c>
      <x:c r="O130" s="170" t="str">
        <x:v>B01</x:v>
      </x:c>
      <x:c r="P130" s="170" t="str">
        <x:v>记录明确诉求</x:v>
      </x:c>
      <x:c r="Q130" s="170" t="str">
        <x:v>SOURCE-015 materials/溝通筆記/ec原型+倉庫+cr0930.docx P41</x:v>
      </x:c>
      <x:c r="R130" s="170" t="str">
        <x:v>REQ-020、REQ-072</x:v>
      </x:c>
      <x:c r="S130" s="170" t="str"/>
      <x:c r="T130" s="178"/>
    </x:row>
    <x:row r="131" ht="70" customHeight="1">
      <x:c r="A131" s="170" t="str">
        <x:v>UPD</x:v>
      </x:c>
      <x:c r="B131" s="170" t="str">
        <x:v>标书</x:v>
      </x:c>
      <x:c r="C131" s="170" t="str">
        <x:v>UPD-008</x:v>
      </x:c>
      <x:c r="D131" s="170" t="str">
        <x:v>标书负责人非必填</x:v>
      </x:c>
      <x:c r="E131" s="170" t="str">
        <x:v>新建标书EC负责人不用必填</x:v>
      </x:c>
      <x:c r="F131" s="170" t="str">
        <x:v>记录明确不等于一期已批准；细则参见C-01～16</x:v>
      </x:c>
      <x:c r="G131" s="170" t="str">
        <x:v>建议本期分批纳入</x:v>
      </x:c>
      <x:c r="H131" s="170" t="str">
        <x:v>P1</x:v>
      </x:c>
      <x:c r="I131" s="170" t="str">
        <x:v>记录明确诉求</x:v>
      </x:c>
      <x:c r="J131" s="170" t="str">
        <x:v>按原文实现并从对应角色验证；未决规则不填默认答案</x:v>
      </x:c>
      <x:c r="K131" s="170" t="str">
        <x:v>TASK-35</x:v>
      </x:c>
      <x:c r="L131" s="170" t="str">
        <x:v>待确认</x:v>
      </x:c>
      <x:c r="M131" s="170" t="str">
        <x:v>待按对应场景复核</x:v>
      </x:c>
      <x:c r="N131" s="170" t="str">
        <x:v>未业务验收</x:v>
      </x:c>
      <x:c r="O131" s="170" t="str">
        <x:v>B04</x:v>
      </x:c>
      <x:c r="P131" s="170" t="str">
        <x:v>记录明确诉求</x:v>
      </x:c>
      <x:c r="Q131" s="170" t="str">
        <x:v>SOURCE-014 materials/溝通筆記/ec+cs+報價組+會計0928.docx P4</x:v>
      </x:c>
      <x:c r="R131" s="170" t="str">
        <x:v>REQ-046、REQ-047</x:v>
      </x:c>
      <x:c r="S131" s="170" t="str"/>
      <x:c r="T131" s="178"/>
    </x:row>
    <x:row r="132" ht="70" customHeight="1">
      <x:c r="A132" s="170" t="str">
        <x:v>UPD</x:v>
      </x:c>
      <x:c r="B132" s="170" t="str">
        <x:v>标书</x:v>
      </x:c>
      <x:c r="C132" s="170" t="str">
        <x:v>UPD-009</x:v>
      </x:c>
      <x:c r="D132" s="170" t="str">
        <x:v>标书日期时间</x:v>
      </x:c>
      <x:c r="E132" s="170" t="str">
        <x:v>需要具体时间，截止时间默认17:00；原文重命名表达需按字段核对</x:v>
      </x:c>
      <x:c r="F132" s="170" t="str">
        <x:v>记录明确不等于一期已批准；细则参见C-01～16</x:v>
      </x:c>
      <x:c r="G132" s="170" t="str">
        <x:v>建议本期分批纳入</x:v>
      </x:c>
      <x:c r="H132" s="170" t="str">
        <x:v>P1</x:v>
      </x:c>
      <x:c r="I132" s="170" t="str">
        <x:v>记录明确诉求</x:v>
      </x:c>
      <x:c r="J132" s="170" t="str">
        <x:v>按原文实现并从对应角色验证；未决规则不填默认答案</x:v>
      </x:c>
      <x:c r="K132" s="170" t="str">
        <x:v>TASK-35</x:v>
      </x:c>
      <x:c r="L132" s="170" t="str">
        <x:v>待确认</x:v>
      </x:c>
      <x:c r="M132" s="170" t="str">
        <x:v>待按对应场景复核</x:v>
      </x:c>
      <x:c r="N132" s="170" t="str">
        <x:v>未业务验收</x:v>
      </x:c>
      <x:c r="O132" s="170" t="str">
        <x:v>B04</x:v>
      </x:c>
      <x:c r="P132" s="170" t="str">
        <x:v>记录明确诉求</x:v>
      </x:c>
      <x:c r="Q132" s="170" t="str">
        <x:v>SOURCE-014 materials/溝通筆記/ec+cs+報價組+會計0928.docx P4</x:v>
      </x:c>
      <x:c r="R132" s="170" t="str">
        <x:v>REQ-047</x:v>
      </x:c>
      <x:c r="S132" s="170" t="str"/>
      <x:c r="T132" s="178"/>
    </x:row>
    <x:row r="133" ht="70" customHeight="1">
      <x:c r="A133" s="170" t="str">
        <x:v>UPD</x:v>
      </x:c>
      <x:c r="B133" s="170" t="str">
        <x:v>标书</x:v>
      </x:c>
      <x:c r="C133" s="170" t="str">
        <x:v>UPD-010</x:v>
      </x:c>
      <x:c r="D133" s="170" t="str">
        <x:v>标书六种状态</x:v>
      </x:c>
      <x:c r="E133" s="170" t="str">
        <x:v>待投标、已投标、已中标、未中标、已取消、不投标；合法转换另确认</x:v>
      </x:c>
      <x:c r="F133" s="170" t="str">
        <x:v>记录明确不等于一期已批准；细则参见C-01～16</x:v>
      </x:c>
      <x:c r="G133" s="170" t="str">
        <x:v>建议本期分批纳入</x:v>
      </x:c>
      <x:c r="H133" s="170" t="str">
        <x:v>P1</x:v>
      </x:c>
      <x:c r="I133" s="170" t="str">
        <x:v>记录明确诉求</x:v>
      </x:c>
      <x:c r="J133" s="170" t="str">
        <x:v>按原文实现并从对应角色验证；未决规则不填默认答案</x:v>
      </x:c>
      <x:c r="K133" s="170" t="str">
        <x:v>TASK-35</x:v>
      </x:c>
      <x:c r="L133" s="170" t="str">
        <x:v>待确认</x:v>
      </x:c>
      <x:c r="M133" s="170" t="str">
        <x:v>待按对应场景复核</x:v>
      </x:c>
      <x:c r="N133" s="170" t="str">
        <x:v>未业务验收</x:v>
      </x:c>
      <x:c r="O133" s="170" t="str">
        <x:v>B04</x:v>
      </x:c>
      <x:c r="P133" s="170" t="str">
        <x:v>记录明确诉求</x:v>
      </x:c>
      <x:c r="Q133" s="170" t="str">
        <x:v>SOURCE-014 materials/溝通筆記/ec+cs+報價組+會計0928.docx P6/P7</x:v>
      </x:c>
      <x:c r="R133" s="170" t="str">
        <x:v>REQ-048、REQ-069</x:v>
      </x:c>
      <x:c r="S133" s="170" t="str"/>
      <x:c r="T133" s="178"/>
    </x:row>
    <x:row r="134" ht="70" customHeight="1">
      <x:c r="A134" s="170" t="str">
        <x:v>UPD</x:v>
      </x:c>
      <x:c r="B134" s="170" t="str">
        <x:v>MR与备货</x:v>
      </x:c>
      <x:c r="C134" s="170" t="str">
        <x:v>UPD-011</x:v>
      </x:c>
      <x:c r="D134" s="170" t="str">
        <x:v>无报价的手工MR</x:v>
      </x:c>
      <x:c r="E134" s="170" t="str">
        <x:v>中标但无报价时，采购部手工填写MR</x:v>
      </x:c>
      <x:c r="F134" s="170" t="str">
        <x:v>记录明确不等于一期已批准；细则参见C-01～16</x:v>
      </x:c>
      <x:c r="G134" s="170" t="str">
        <x:v>建议本期分批纳入</x:v>
      </x:c>
      <x:c r="H134" s="170" t="str">
        <x:v>P1</x:v>
      </x:c>
      <x:c r="I134" s="170" t="str">
        <x:v>记录明确诉求</x:v>
      </x:c>
      <x:c r="J134" s="170" t="str">
        <x:v>按原文实现并从对应角色验证；未决规则不填默认答案</x:v>
      </x:c>
      <x:c r="K134" s="170" t="str">
        <x:v>TASK-33</x:v>
      </x:c>
      <x:c r="L134" s="170" t="str">
        <x:v>待确认</x:v>
      </x:c>
      <x:c r="M134" s="170" t="str">
        <x:v>待按对应场景复核</x:v>
      </x:c>
      <x:c r="N134" s="170" t="str">
        <x:v>未业务验收</x:v>
      </x:c>
      <x:c r="O134" s="170" t="str">
        <x:v>B02</x:v>
      </x:c>
      <x:c r="P134" s="170" t="str">
        <x:v>记录明确诉求</x:v>
      </x:c>
      <x:c r="Q134" s="170" t="str">
        <x:v>SOURCE-014 materials/溝通筆記/ec+cs+報價組+會計0928.docx P10</x:v>
      </x:c>
      <x:c r="R134" s="170" t="str">
        <x:v>REQ-051、REQ-054</x:v>
      </x:c>
      <x:c r="S134" s="170" t="str"/>
      <x:c r="T134" s="178"/>
    </x:row>
    <x:row r="135" ht="70" customHeight="1">
      <x:c r="A135" s="170" t="str">
        <x:v>UPD</x:v>
      </x:c>
      <x:c r="B135" s="170" t="str">
        <x:v>报价</x:v>
      </x:c>
      <x:c r="C135" s="170" t="str">
        <x:v>UPD-012</x:v>
      </x:c>
      <x:c r="D135" s="170" t="str">
        <x:v>邀请报价与标书关联</x:v>
      </x:c>
      <x:c r="E135" s="170" t="str">
        <x:v>邀请报价需要关联标书；可标记中标并生成标书，标书也可中标；双对象同步规则待定</x:v>
      </x:c>
      <x:c r="F135" s="170" t="str">
        <x:v>记录明确不等于一期已批准；细则参见C-01～16</x:v>
      </x:c>
      <x:c r="G135" s="170" t="str">
        <x:v>建议本期分批纳入</x:v>
      </x:c>
      <x:c r="H135" s="170" t="str">
        <x:v>P1</x:v>
      </x:c>
      <x:c r="I135" s="170" t="str">
        <x:v>记录明确诉求</x:v>
      </x:c>
      <x:c r="J135" s="170" t="str">
        <x:v>按原文实现并从对应角色验证；未决规则不填默认答案</x:v>
      </x:c>
      <x:c r="K135" s="170" t="str">
        <x:v>TASK-33</x:v>
      </x:c>
      <x:c r="L135" s="170" t="str">
        <x:v>待确认</x:v>
      </x:c>
      <x:c r="M135" s="170" t="str">
        <x:v>待按对应场景复核</x:v>
      </x:c>
      <x:c r="N135" s="170" t="str">
        <x:v>未业务验收</x:v>
      </x:c>
      <x:c r="O135" s="170" t="str">
        <x:v>B02</x:v>
      </x:c>
      <x:c r="P135" s="170" t="str">
        <x:v>记录明确诉求</x:v>
      </x:c>
      <x:c r="Q135" s="170" t="str">
        <x:v>SOURCE-014 materials/溝通筆記/ec+cs+報價組+會計0928.docx P21/P24</x:v>
      </x:c>
      <x:c r="R135" s="170" t="str">
        <x:v>REQ-040、REQ-044、REQ-046</x:v>
      </x:c>
      <x:c r="S135" s="170" t="str"/>
      <x:c r="T135" s="178"/>
    </x:row>
    <x:row r="136" ht="70" customHeight="1">
      <x:c r="A136" s="170" t="str">
        <x:v>UPD</x:v>
      </x:c>
      <x:c r="B136" s="170" t="str">
        <x:v>报价</x:v>
      </x:c>
      <x:c r="C136" s="170" t="str">
        <x:v>UPD-013</x:v>
      </x:c>
      <x:c r="D136" s="170" t="str">
        <x:v>报价保固默认与有效期</x:v>
      </x:c>
      <x:c r="E136" s="170" t="str">
        <x:v>原文保修默认1年；报价有效期60天、90天，不应混入保固选项</x:v>
      </x:c>
      <x:c r="F136" s="170" t="str">
        <x:v>记录明确不等于一期已批准；细则参见C-01～16</x:v>
      </x:c>
      <x:c r="G136" s="170" t="str">
        <x:v>建议本期分批纳入</x:v>
      </x:c>
      <x:c r="H136" s="170" t="str">
        <x:v>P1</x:v>
      </x:c>
      <x:c r="I136" s="170" t="str">
        <x:v>记录明确诉求</x:v>
      </x:c>
      <x:c r="J136" s="170" t="str">
        <x:v>按原文实现并从对应角色验证；未决规则不填默认答案</x:v>
      </x:c>
      <x:c r="K136" s="170" t="str">
        <x:v>TASK-33；TASK-045；UAT-02子项</x:v>
      </x:c>
      <x:c r="L136" s="170" t="str">
        <x:v>待确认</x:v>
      </x:c>
      <x:c r="M136" s="170" t="str">
        <x:v>侧栏保固/截止保存清空刷新、两新增默认1年/截止留空已局部复测；60/90细则和保固选项未收口，历史不回填</x:v>
      </x:c>
      <x:c r="N136" s="170" t="str">
        <x:v>未业务验收</x:v>
      </x:c>
      <x:c r="O136" s="170" t="str">
        <x:v>B02</x:v>
      </x:c>
      <x:c r="P136" s="170" t="str">
        <x:v>记录明确诉求</x:v>
      </x:c>
      <x:c r="Q136" s="170" t="str">
        <x:v>SOURCE-014 materials/溝通筆記/ec+cs+報價組+會計0928.docx P22</x:v>
      </x:c>
      <x:c r="R136" s="170" t="str">
        <x:v>REQ-041</x:v>
      </x:c>
      <x:c r="S136" s="170" t="str"/>
      <x:c r="T136" s="178"/>
    </x:row>
    <x:row r="137" ht="70" customHeight="1">
      <x:c r="A137" s="170" t="str">
        <x:v>UPD</x:v>
      </x:c>
      <x:c r="B137" s="170" t="str">
        <x:v>报价</x:v>
      </x:c>
      <x:c r="C137" s="170" t="str">
        <x:v>UPD-014</x:v>
      </x:c>
      <x:c r="D137" s="170" t="str">
        <x:v>取消邀请结果字段</x:v>
      </x:c>
      <x:c r="E137" s="170" t="str">
        <x:v>邀请结果不需要</x:v>
      </x:c>
      <x:c r="F137" s="170" t="str">
        <x:v>记录明确不等于一期已批准；细则参见C-01～16</x:v>
      </x:c>
      <x:c r="G137" s="170" t="str">
        <x:v>建议本期分批纳入</x:v>
      </x:c>
      <x:c r="H137" s="170" t="str">
        <x:v>P1</x:v>
      </x:c>
      <x:c r="I137" s="170" t="str">
        <x:v>记录明确诉求</x:v>
      </x:c>
      <x:c r="J137" s="170" t="str">
        <x:v>按原文实现并从对应角色验证；未决规则不填默认答案</x:v>
      </x:c>
      <x:c r="K137" s="170" t="str">
        <x:v>TASK-33</x:v>
      </x:c>
      <x:c r="L137" s="170" t="str">
        <x:v>待确认</x:v>
      </x:c>
      <x:c r="M137" s="170" t="str">
        <x:v>待按对应场景复核</x:v>
      </x:c>
      <x:c r="N137" s="170" t="str">
        <x:v>未业务验收</x:v>
      </x:c>
      <x:c r="O137" s="170" t="str">
        <x:v>B02</x:v>
      </x:c>
      <x:c r="P137" s="170" t="str">
        <x:v>记录明确诉求</x:v>
      </x:c>
      <x:c r="Q137" s="170" t="str">
        <x:v>SOURCE-014 materials/溝通筆記/ec+cs+報價組+會計0928.docx P23</x:v>
      </x:c>
      <x:c r="R137" s="170" t="str">
        <x:v>REQ-040、REQ-044</x:v>
      </x:c>
      <x:c r="S137" s="170" t="str"/>
      <x:c r="T137" s="178"/>
    </x:row>
    <x:row r="138" ht="70" customHeight="1">
      <x:c r="A138" s="170" t="str">
        <x:v>UPD</x:v>
      </x:c>
      <x:c r="B138" s="170" t="str">
        <x:v>报价</x:v>
      </x:c>
      <x:c r="C138" s="170" t="str">
        <x:v>UPD-015</x:v>
      </x:c>
      <x:c r="D138" s="170" t="str">
        <x:v>报价金额名称</x:v>
      </x:c>
      <x:c r="E138" s="170" t="str">
        <x:v>含税金额改为报价金额，不由此推断其他税务政策</x:v>
      </x:c>
      <x:c r="F138" s="170" t="str">
        <x:v>记录明确不等于一期已批准；细则参见C-01～16</x:v>
      </x:c>
      <x:c r="G138" s="170" t="str">
        <x:v>建议本期分批纳入</x:v>
      </x:c>
      <x:c r="H138" s="170" t="str">
        <x:v>P1</x:v>
      </x:c>
      <x:c r="I138" s="170" t="str">
        <x:v>记录明确诉求</x:v>
      </x:c>
      <x:c r="J138" s="170" t="str">
        <x:v>按原文实现并从对应角色验证；未决规则不填默认答案</x:v>
      </x:c>
      <x:c r="K138" s="170" t="str">
        <x:v>TASK-33</x:v>
      </x:c>
      <x:c r="L138" s="170" t="str">
        <x:v>待确认</x:v>
      </x:c>
      <x:c r="M138" s="170" t="str">
        <x:v>待按对应场景复核</x:v>
      </x:c>
      <x:c r="N138" s="170" t="str">
        <x:v>未业务验收</x:v>
      </x:c>
      <x:c r="O138" s="170" t="str">
        <x:v>B02</x:v>
      </x:c>
      <x:c r="P138" s="170" t="str">
        <x:v>记录明确诉求</x:v>
      </x:c>
      <x:c r="Q138" s="170" t="str">
        <x:v>SOURCE-014 materials/溝通筆記/ec+cs+報價組+會計0928.docx P26</x:v>
      </x:c>
      <x:c r="R138" s="170" t="str">
        <x:v>REQ-041</x:v>
      </x:c>
      <x:c r="S138" s="170" t="str"/>
      <x:c r="T138" s="178"/>
    </x:row>
    <x:row r="139" ht="70" customHeight="1">
      <x:c r="A139" s="170" t="str">
        <x:v>UPD</x:v>
      </x:c>
      <x:c r="B139" s="170" t="str">
        <x:v>保养</x:v>
      </x:c>
      <x:c r="C139" s="170" t="str">
        <x:v>UPD-016</x:v>
      </x:c>
      <x:c r="D139" s="170" t="str">
        <x:v>保养续保主动报价</x:v>
      </x:c>
      <x:c r="E139" s="170" t="str">
        <x:v>保养合同续保时主动发起报价</x:v>
      </x:c>
      <x:c r="F139" s="170" t="str">
        <x:v>记录明确不等于一期已批准；细则参见C-01～16</x:v>
      </x:c>
      <x:c r="G139" s="170" t="str">
        <x:v>建议本期分批纳入</x:v>
      </x:c>
      <x:c r="H139" s="170" t="str">
        <x:v>P1</x:v>
      </x:c>
      <x:c r="I139" s="170" t="str">
        <x:v>记录明确诉求</x:v>
      </x:c>
      <x:c r="J139" s="170" t="str">
        <x:v>按原文实现并从对应角色验证；未决规则不填默认答案</x:v>
      </x:c>
      <x:c r="K139" s="170" t="str">
        <x:v>TASK-34</x:v>
      </x:c>
      <x:c r="L139" s="170" t="str">
        <x:v>待确认</x:v>
      </x:c>
      <x:c r="M139" s="170" t="str">
        <x:v>待按对应场景复核</x:v>
      </x:c>
      <x:c r="N139" s="170" t="str">
        <x:v>未业务验收</x:v>
      </x:c>
      <x:c r="O139" s="170" t="str">
        <x:v>B03</x:v>
      </x:c>
      <x:c r="P139" s="170" t="str">
        <x:v>记录明确诉求</x:v>
      </x:c>
      <x:c r="Q139" s="170" t="str">
        <x:v>SOURCE-014 materials/溝通筆記/ec+cs+報價組+會計0928.docx P27</x:v>
      </x:c>
      <x:c r="R139" s="170" t="str">
        <x:v>REQ-040、REQ-061</x:v>
      </x:c>
      <x:c r="S139" s="170" t="str"/>
      <x:c r="T139" s="178"/>
    </x:row>
    <x:row r="140" ht="70" customHeight="1">
      <x:c r="A140" s="170" t="str">
        <x:v>UPD</x:v>
      </x:c>
      <x:c r="B140" s="170" t="str">
        <x:v>保养</x:v>
      </x:c>
      <x:c r="C140" s="170" t="str">
        <x:v>UPD-017</x:v>
      </x:c>
      <x:c r="D140" s="170" t="str">
        <x:v>续保提醒对象与比例</x:v>
      </x:c>
      <x:c r="E140" s="170" t="str">
        <x:v>私人合同提醒主管和CR；提到1/2、1/3时长比例，具体适用与政府规则未定</x:v>
      </x:c>
      <x:c r="F140" s="170" t="str">
        <x:v>记录明确不等于一期已批准；细则参见C-01～16</x:v>
      </x:c>
      <x:c r="G140" s="170" t="str">
        <x:v>建议本期分批纳入</x:v>
      </x:c>
      <x:c r="H140" s="170" t="str">
        <x:v>P1</x:v>
      </x:c>
      <x:c r="I140" s="170" t="str">
        <x:v>记录明确诉求</x:v>
      </x:c>
      <x:c r="J140" s="170" t="str">
        <x:v>按原文实现并从对应角色验证；未决规则不填默认答案</x:v>
      </x:c>
      <x:c r="K140" s="170" t="str">
        <x:v>TASK-34</x:v>
      </x:c>
      <x:c r="L140" s="170" t="str">
        <x:v>待确认</x:v>
      </x:c>
      <x:c r="M140" s="170" t="str">
        <x:v>待按对应场景复核</x:v>
      </x:c>
      <x:c r="N140" s="170" t="str">
        <x:v>未业务验收</x:v>
      </x:c>
      <x:c r="O140" s="170" t="str">
        <x:v>B03</x:v>
      </x:c>
      <x:c r="P140" s="170" t="str">
        <x:v>记录明确诉求</x:v>
      </x:c>
      <x:c r="Q140" s="170" t="str">
        <x:v>SOURCE-014 materials/溝通筆記/ec+cs+報價組+會計0928.docx P28</x:v>
      </x:c>
      <x:c r="R140" s="170" t="str">
        <x:v>REQ-005、REQ-061、REQ-075</x:v>
      </x:c>
      <x:c r="S140" s="170" t="str"/>
      <x:c r="T140" s="178"/>
    </x:row>
    <x:row r="141" ht="70" customHeight="1">
      <x:c r="A141" s="170" t="str">
        <x:v>UPD</x:v>
      </x:c>
      <x:c r="B141" s="170" t="str">
        <x:v>报价</x:v>
      </x:c>
      <x:c r="C141" s="170" t="str">
        <x:v>UPD-018</x:v>
      </x:c>
      <x:c r="D141" s="170" t="str">
        <x:v>参考报价带出物料</x:v>
      </x:c>
      <x:c r="E141" s="170" t="str">
        <x:v>邀请报价选择参考报价单后带出物料</x:v>
      </x:c>
      <x:c r="F141" s="170" t="str">
        <x:v>记录明确不等于一期已批准；细则参见C-01～16</x:v>
      </x:c>
      <x:c r="G141" s="170" t="str">
        <x:v>建议本期分批纳入</x:v>
      </x:c>
      <x:c r="H141" s="170" t="str">
        <x:v>P1</x:v>
      </x:c>
      <x:c r="I141" s="170" t="str">
        <x:v>记录明确诉求</x:v>
      </x:c>
      <x:c r="J141" s="170" t="str">
        <x:v>按原文实现并从对应角色验证；未决规则不填默认答案</x:v>
      </x:c>
      <x:c r="K141" s="170" t="str">
        <x:v>TASK-33</x:v>
      </x:c>
      <x:c r="L141" s="170" t="str">
        <x:v>待确认</x:v>
      </x:c>
      <x:c r="M141" s="170" t="str">
        <x:v>待按对应场景复核</x:v>
      </x:c>
      <x:c r="N141" s="170" t="str">
        <x:v>未业务验收</x:v>
      </x:c>
      <x:c r="O141" s="170" t="str">
        <x:v>B02</x:v>
      </x:c>
      <x:c r="P141" s="170" t="str">
        <x:v>记录明确诉求</x:v>
      </x:c>
      <x:c r="Q141" s="170" t="str">
        <x:v>SOURCE-014 materials/溝通筆記/ec+cs+報價組+會計0928.docx P29</x:v>
      </x:c>
      <x:c r="R141" s="170" t="str">
        <x:v>REQ-040、REQ-041</x:v>
      </x:c>
      <x:c r="S141" s="170" t="str"/>
      <x:c r="T141" s="178"/>
    </x:row>
    <x:row r="142" ht="70" customHeight="1">
      <x:c r="A142" s="170" t="str">
        <x:v>UPD</x:v>
      </x:c>
      <x:c r="B142" s="170" t="str">
        <x:v>报价</x:v>
      </x:c>
      <x:c r="C142" s="170" t="str">
        <x:v>UPD-019</x:v>
      </x:c>
      <x:c r="D142" s="170" t="str">
        <x:v>报价折扣</x:v>
      </x:c>
      <x:c r="E142" s="170" t="str">
        <x:v>需要discount；原文未明确百分比还是金额</x:v>
      </x:c>
      <x:c r="F142" s="170" t="str">
        <x:v>记录明确不等于一期已批准；细则参见C-01～16</x:v>
      </x:c>
      <x:c r="G142" s="170" t="str">
        <x:v>建议本期分批纳入</x:v>
      </x:c>
      <x:c r="H142" s="170" t="str">
        <x:v>P1</x:v>
      </x:c>
      <x:c r="I142" s="170" t="str">
        <x:v>记录明确诉求</x:v>
      </x:c>
      <x:c r="J142" s="170" t="str">
        <x:v>按原文实现并从对应角色验证；未决规则不填默认答案</x:v>
      </x:c>
      <x:c r="K142" s="170" t="str">
        <x:v>TASK-33</x:v>
      </x:c>
      <x:c r="L142" s="170" t="str">
        <x:v>待确认</x:v>
      </x:c>
      <x:c r="M142" s="170" t="str">
        <x:v>新增页已有折扣%；口径及编辑/计算/打印一致性待确认</x:v>
      </x:c>
      <x:c r="N142" s="170" t="str">
        <x:v>未业务验收</x:v>
      </x:c>
      <x:c r="O142" s="170" t="str">
        <x:v>B02</x:v>
      </x:c>
      <x:c r="P142" s="170" t="str">
        <x:v>记录明确诉求</x:v>
      </x:c>
      <x:c r="Q142" s="170" t="str">
        <x:v>SOURCE-015 materials/溝通筆記/ec原型+倉庫+cr0930.docx P2</x:v>
      </x:c>
      <x:c r="R142" s="170" t="str">
        <x:v>REQ-041</x:v>
      </x:c>
      <x:c r="S142" s="170" t="str"/>
      <x:c r="T142" s="178"/>
    </x:row>
    <x:row r="143" ht="70" customHeight="1">
      <x:c r="A143" s="170" t="str">
        <x:v>UPD</x:v>
      </x:c>
      <x:c r="B143" s="170" t="str">
        <x:v>报价</x:v>
      </x:c>
      <x:c r="C143" s="170" t="str">
        <x:v>UPD-020</x:v>
      </x:c>
      <x:c r="D143" s="170" t="str">
        <x:v>只填物料和总价</x:v>
      </x:c>
      <x:c r="E143" s="170" t="str">
        <x:v>支持不填写明细价格，只填物料及总价</x:v>
      </x:c>
      <x:c r="F143" s="170" t="str">
        <x:v>记录明确不等于一期已批准；细则参见C-01～16</x:v>
      </x:c>
      <x:c r="G143" s="170" t="str">
        <x:v>建议本期分批纳入</x:v>
      </x:c>
      <x:c r="H143" s="170" t="str">
        <x:v>P1</x:v>
      </x:c>
      <x:c r="I143" s="170" t="str">
        <x:v>记录明确诉求</x:v>
      </x:c>
      <x:c r="J143" s="170" t="str">
        <x:v>按原文实现并从对应角色验证；未决规则不填默认答案</x:v>
      </x:c>
      <x:c r="K143" s="170" t="str">
        <x:v>TASK-33</x:v>
      </x:c>
      <x:c r="L143" s="170" t="str">
        <x:v>待确认</x:v>
      </x:c>
      <x:c r="M143" s="170" t="str">
        <x:v>新增页已有只填物料与总价；完整操作及输出待验收</x:v>
      </x:c>
      <x:c r="N143" s="170" t="str">
        <x:v>未业务验收</x:v>
      </x:c>
      <x:c r="O143" s="170" t="str">
        <x:v>B02</x:v>
      </x:c>
      <x:c r="P143" s="170" t="str">
        <x:v>记录明确诉求</x:v>
      </x:c>
      <x:c r="Q143" s="170" t="str">
        <x:v>SOURCE-015 materials/溝通筆記/ec原型+倉庫+cr0930.docx P3</x:v>
      </x:c>
      <x:c r="R143" s="170" t="str">
        <x:v>REQ-041</x:v>
      </x:c>
      <x:c r="S143" s="170" t="str"/>
      <x:c r="T143" s="178"/>
    </x:row>
    <x:row r="144" ht="70" customHeight="1">
      <x:c r="A144" s="170" t="str">
        <x:v>UPD</x:v>
      </x:c>
      <x:c r="B144" s="170" t="str">
        <x:v>报价</x:v>
      </x:c>
      <x:c r="C144" s="170" t="str">
        <x:v>UPD-021</x:v>
      </x:c>
      <x:c r="D144" s="170" t="str">
        <x:v>货期范围与单位</x:v>
      </x:c>
      <x:c r="E144" s="170" t="str">
        <x:v>默认30 days，可选日/周；数字和范围手填，例30–60 days、6–8 week</x:v>
      </x:c>
      <x:c r="F144" s="170" t="str">
        <x:v>记录明确不等于一期已批准；细则参见C-01～16</x:v>
      </x:c>
      <x:c r="G144" s="170" t="str">
        <x:v>建议本期分批纳入</x:v>
      </x:c>
      <x:c r="H144" s="170" t="str">
        <x:v>P1</x:v>
      </x:c>
      <x:c r="I144" s="170" t="str">
        <x:v>记录明确诉求</x:v>
      </x:c>
      <x:c r="J144" s="170" t="str">
        <x:v>按原文实现并从对应角色验证；未决规则不填默认答案</x:v>
      </x:c>
      <x:c r="K144" s="170" t="str">
        <x:v>TASK-33</x:v>
      </x:c>
      <x:c r="L144" s="170" t="str">
        <x:v>待确认</x:v>
      </x:c>
      <x:c r="M144" s="170" t="str">
        <x:v>新增页日/周与范围字段已体现；输出待复测</x:v>
      </x:c>
      <x:c r="N144" s="170" t="str">
        <x:v>未业务验收</x:v>
      </x:c>
      <x:c r="O144" s="170" t="str">
        <x:v>B02</x:v>
      </x:c>
      <x:c r="P144" s="170" t="str">
        <x:v>记录明确诉求</x:v>
      </x:c>
      <x:c r="Q144" s="170" t="str">
        <x:v>SOURCE-015 materials/溝通筆記/ec原型+倉庫+cr0930.docx P5/P6/P7/P8</x:v>
      </x:c>
      <x:c r="R144" s="170" t="str">
        <x:v>REQ-041</x:v>
      </x:c>
      <x:c r="S144" s="170" t="str"/>
      <x:c r="T144" s="178"/>
    </x:row>
    <x:row r="145" ht="70" customHeight="1">
      <x:c r="A145" s="170" t="str">
        <x:v>UPD</x:v>
      </x:c>
      <x:c r="B145" s="170" t="str">
        <x:v>报价</x:v>
      </x:c>
      <x:c r="C145" s="170" t="str">
        <x:v>UPD-022</x:v>
      </x:c>
      <x:c r="D145" s="170" t="str">
        <x:v>报价历史签名与公司章</x:v>
      </x:c>
      <x:c r="E145" s="170" t="str">
        <x:v>保存历史签名；按负责人生成签名并加公司章；实际签署授权待确认</x:v>
      </x:c>
      <x:c r="F145" s="170" t="str">
        <x:v>记录明确不等于一期已批准；细则参见C-01～16</x:v>
      </x:c>
      <x:c r="G145" s="170" t="str">
        <x:v>建议本期分批纳入</x:v>
      </x:c>
      <x:c r="H145" s="170" t="str">
        <x:v>P1</x:v>
      </x:c>
      <x:c r="I145" s="170" t="str">
        <x:v>记录明确诉求</x:v>
      </x:c>
      <x:c r="J145" s="170" t="str">
        <x:v>按原文实现并从对应角色验证；未决规则不填默认答案</x:v>
      </x:c>
      <x:c r="K145" s="170" t="str">
        <x:v>TASK-33</x:v>
      </x:c>
      <x:c r="L145" s="170" t="str">
        <x:v>待确认</x:v>
      </x:c>
      <x:c r="M145" s="170" t="str">
        <x:v>待按对应场景复核</x:v>
      </x:c>
      <x:c r="N145" s="170" t="str">
        <x:v>未业务验收</x:v>
      </x:c>
      <x:c r="O145" s="170" t="str">
        <x:v>B02</x:v>
      </x:c>
      <x:c r="P145" s="170" t="str">
        <x:v>记录明确诉求</x:v>
      </x:c>
      <x:c r="Q145" s="170" t="str">
        <x:v>SOURCE-015 materials/溝通筆記/ec原型+倉庫+cr0930.docx P12</x:v>
      </x:c>
      <x:c r="R145" s="170" t="str">
        <x:v>REQ-044、REQ-045</x:v>
      </x:c>
      <x:c r="S145" s="170" t="str"/>
      <x:c r="T145" s="178"/>
    </x:row>
    <x:row r="146" ht="70" customHeight="1">
      <x:c r="A146" s="170" t="str">
        <x:v>UPD</x:v>
      </x:c>
      <x:c r="B146" s="170" t="str">
        <x:v>报价</x:v>
      </x:c>
      <x:c r="C146" s="170" t="str">
        <x:v>UPD-023</x:v>
      </x:c>
      <x:c r="D146" s="170" t="str">
        <x:v>保固术语</x:v>
      </x:c>
      <x:c r="E146" s="170" t="str">
        <x:v>新增报价的保修期改为保固期</x:v>
      </x:c>
      <x:c r="F146" s="170" t="str">
        <x:v>记录明确不等于一期已批准；细则参见C-01～16</x:v>
      </x:c>
      <x:c r="G146" s="170" t="str">
        <x:v>建议本期分批纳入</x:v>
      </x:c>
      <x:c r="H146" s="170" t="str">
        <x:v>P1</x:v>
      </x:c>
      <x:c r="I146" s="170" t="str">
        <x:v>记录明确诉求</x:v>
      </x:c>
      <x:c r="J146" s="170" t="str">
        <x:v>按原文实现并从对应角色验证；未决规则不填默认答案</x:v>
      </x:c>
      <x:c r="K146" s="170" t="str">
        <x:v>TASK-33；TASK-045；UAT-02子项</x:v>
      </x:c>
      <x:c r="L146" s="170" t="str">
        <x:v>待确认</x:v>
      </x:c>
      <x:c r="M146" s="170" t="str">
        <x:v>报价详情/编辑/修订/打印模板改保固期；编辑持久化局部复测；打印和全入口业务验收未完成</x:v>
      </x:c>
      <x:c r="N146" s="170" t="str">
        <x:v>未业务验收</x:v>
      </x:c>
      <x:c r="O146" s="170" t="str">
        <x:v>B02</x:v>
      </x:c>
      <x:c r="P146" s="170" t="str">
        <x:v>记录明确诉求</x:v>
      </x:c>
      <x:c r="Q146" s="170" t="str">
        <x:v>SOURCE-015 materials/溝通筆記/ec原型+倉庫+cr0930.docx P14</x:v>
      </x:c>
      <x:c r="R146" s="170" t="str">
        <x:v>REQ-041</x:v>
      </x:c>
      <x:c r="S146" s="170" t="str"/>
      <x:c r="T146" s="178"/>
    </x:row>
    <x:row r="147" ht="70" customHeight="1">
      <x:c r="A147" s="170" t="str">
        <x:v>UPD</x:v>
      </x:c>
      <x:c r="B147" s="170" t="str">
        <x:v>报价</x:v>
      </x:c>
      <x:c r="C147" s="170" t="str">
        <x:v>UPD-024</x:v>
      </x:c>
      <x:c r="D147" s="170" t="str">
        <x:v>Our Ref版本001</x:v>
      </x:c>
      <x:c r="E147" s="170" t="str">
        <x:v>Our Ref输出版本001；完整编号前缀与修订格式仍需对照</x:v>
      </x:c>
      <x:c r="F147" s="170" t="str">
        <x:v>记录明确不等于一期已批准；细则参见C-01～16</x:v>
      </x:c>
      <x:c r="G147" s="170" t="str">
        <x:v>建议本期分批纳入</x:v>
      </x:c>
      <x:c r="H147" s="170" t="str">
        <x:v>P1</x:v>
      </x:c>
      <x:c r="I147" s="170" t="str">
        <x:v>记录明确诉求</x:v>
      </x:c>
      <x:c r="J147" s="170" t="str">
        <x:v>按原文实现并从对应角色验证；未决规则不填默认答案</x:v>
      </x:c>
      <x:c r="K147" s="170" t="str">
        <x:v>TASK-33</x:v>
      </x:c>
      <x:c r="L147" s="170" t="str">
        <x:v>待确认</x:v>
      </x:c>
      <x:c r="M147" s="170" t="str">
        <x:v>新来源报价R0/OurRef无001版本段；完整前缀与修订关联仍待C-09</x:v>
      </x:c>
      <x:c r="N147" s="170" t="str">
        <x:v>未业务验收</x:v>
      </x:c>
      <x:c r="O147" s="170" t="str">
        <x:v>B02</x:v>
      </x:c>
      <x:c r="P147" s="170" t="str">
        <x:v>记录明确诉求</x:v>
      </x:c>
      <x:c r="Q147" s="170" t="str">
        <x:v>SOURCE-015 materials/溝通筆記/ec原型+倉庫+cr0930.docx P15</x:v>
      </x:c>
      <x:c r="R147" s="170" t="str">
        <x:v>REQ-044、REQ-079</x:v>
      </x:c>
      <x:c r="S147" s="170" t="str"/>
      <x:c r="T147" s="178"/>
    </x:row>
    <x:row r="148" ht="70" customHeight="1">
      <x:c r="A148" s="170" t="str">
        <x:v>UPD</x:v>
      </x:c>
      <x:c r="B148" s="170" t="str">
        <x:v>服务报告</x:v>
      </x:c>
      <x:c r="C148" s="170" t="str">
        <x:v>UPD-025</x:v>
      </x:c>
      <x:c r="D148" s="170" t="str">
        <x:v>服务报告中文</x:v>
      </x:c>
      <x:c r="E148" s="170" t="str">
        <x:v>服务报告需要中文；选项词汇应保留客户术语对应</x:v>
      </x:c>
      <x:c r="F148" s="170" t="str">
        <x:v>记录明确不等于一期已批准；细则参见C-01～16</x:v>
      </x:c>
      <x:c r="G148" s="170" t="str">
        <x:v>建议本期分批纳入</x:v>
      </x:c>
      <x:c r="H148" s="170" t="str">
        <x:v>P1</x:v>
      </x:c>
      <x:c r="I148" s="170" t="str">
        <x:v>记录明确诉求</x:v>
      </x:c>
      <x:c r="J148" s="170" t="str">
        <x:v>按原文实现并从对应角色验证；未决规则不填默认答案</x:v>
      </x:c>
      <x:c r="K148" s="170" t="str">
        <x:v>TASK-33</x:v>
      </x:c>
      <x:c r="L148" s="170" t="str">
        <x:v>待确认</x:v>
      </x:c>
      <x:c r="M148" s="170" t="str">
        <x:v>待按对应场景复核</x:v>
      </x:c>
      <x:c r="N148" s="170" t="str">
        <x:v>未业务验收</x:v>
      </x:c>
      <x:c r="O148" s="170" t="str">
        <x:v>B02</x:v>
      </x:c>
      <x:c r="P148" s="170" t="str">
        <x:v>记录明确诉求</x:v>
      </x:c>
      <x:c r="Q148" s="170" t="str">
        <x:v>SOURCE-015 materials/溝通筆記/ec原型+倉庫+cr0930.docx P21</x:v>
      </x:c>
      <x:c r="R148" s="170" t="str">
        <x:v>REQ-027</x:v>
      </x:c>
      <x:c r="S148" s="170" t="str"/>
      <x:c r="T148" s="178"/>
    </x:row>
    <x:row r="149" ht="70" customHeight="1">
      <x:c r="A149" s="170" t="str">
        <x:v>UPD</x:v>
      </x:c>
      <x:c r="B149" s="170" t="str">
        <x:v>服务报告</x:v>
      </x:c>
      <x:c r="C149" s="170" t="str">
        <x:v>UPD-026</x:v>
      </x:c>
      <x:c r="D149" s="170" t="str">
        <x:v>保固服务通知采购</x:v>
      </x:c>
      <x:c r="E149" s="170" t="str">
        <x:v>SR增加保固期选项；选择后直接通知采购，判定和收费规则未给出</x:v>
      </x:c>
      <x:c r="F149" s="170" t="str">
        <x:v>记录明确不等于一期已批准；细则参见C-01～16</x:v>
      </x:c>
      <x:c r="G149" s="170" t="str">
        <x:v>建议本期分批纳入</x:v>
      </x:c>
      <x:c r="H149" s="170" t="str">
        <x:v>P1</x:v>
      </x:c>
      <x:c r="I149" s="170" t="str">
        <x:v>记录明确诉求</x:v>
      </x:c>
      <x:c r="J149" s="170" t="str">
        <x:v>按原文实现并从对应角色验证；未决规则不填默认答案</x:v>
      </x:c>
      <x:c r="K149" s="170" t="str">
        <x:v>TASK-33</x:v>
      </x:c>
      <x:c r="L149" s="170" t="str">
        <x:v>待确认</x:v>
      </x:c>
      <x:c r="M149" s="170" t="str">
        <x:v>待按对应场景复核</x:v>
      </x:c>
      <x:c r="N149" s="170" t="str">
        <x:v>未业务验收</x:v>
      </x:c>
      <x:c r="O149" s="170" t="str">
        <x:v>B02</x:v>
      </x:c>
      <x:c r="P149" s="170" t="str">
        <x:v>记录明确诉求</x:v>
      </x:c>
      <x:c r="Q149" s="170" t="str">
        <x:v>SOURCE-015 materials/溝通筆記/ec原型+倉庫+cr0930.docx P23</x:v>
      </x:c>
      <x:c r="R149" s="170" t="str">
        <x:v>REQ-005、REQ-027、REQ-030</x:v>
      </x:c>
      <x:c r="S149" s="170" t="str"/>
      <x:c r="T149" s="178"/>
    </x:row>
    <x:row r="150" ht="70" customHeight="1">
      <x:c r="A150" s="170" t="str">
        <x:v>UPD</x:v>
      </x:c>
      <x:c r="B150" s="170" t="str">
        <x:v>服务报告</x:v>
      </x:c>
      <x:c r="C150" s="170" t="str">
        <x:v>UPD-027</x:v>
      </x:c>
      <x:c r="D150" s="170" t="str">
        <x:v>独立新增SR问题</x:v>
      </x:c>
      <x:c r="E150" s="170" t="str">
        <x:v>原文为“能否自己新增SR”；这是待决入口，不是已批准功能</x:v>
      </x:c>
      <x:c r="F150" s="170" t="str">
        <x:v>记录明确不等于一期已批准；细则参见C-01～16</x:v>
      </x:c>
      <x:c r="G150" s="170" t="str">
        <x:v>独立入口待决定</x:v>
      </x:c>
      <x:c r="H150" s="170" t="str">
        <x:v>P1</x:v>
      </x:c>
      <x:c r="I150" s="170" t="str">
        <x:v>待客户决策</x:v>
      </x:c>
      <x:c r="J150" s="170" t="str">
        <x:v>按原文实现并从对应角色验证；未决规则不填默认答案</x:v>
      </x:c>
      <x:c r="K150" s="170" t="str">
        <x:v>TASK-33</x:v>
      </x:c>
      <x:c r="L150" s="170" t="str">
        <x:v>待确认</x:v>
      </x:c>
      <x:c r="M150" s="170" t="str">
        <x:v>待按对应场景复核</x:v>
      </x:c>
      <x:c r="N150" s="170" t="str">
        <x:v>未业务验收</x:v>
      </x:c>
      <x:c r="O150" s="170" t="str">
        <x:v>B02</x:v>
      </x:c>
      <x:c r="P150" s="170" t="str">
        <x:v>待客户决策</x:v>
      </x:c>
      <x:c r="Q150" s="170" t="str">
        <x:v>SOURCE-015 materials/溝通筆記/ec原型+倉庫+cr0930.docx P25</x:v>
      </x:c>
      <x:c r="R150" s="170" t="str">
        <x:v>REQ-027、REQ-035、REQ-043</x:v>
      </x:c>
      <x:c r="S150" s="170" t="str"/>
      <x:c r="T150" s="178"/>
    </x:row>
    <x:row r="151" ht="70" customHeight="1">
      <x:c r="A151" s="170" t="str">
        <x:v>UPD</x:v>
      </x:c>
      <x:c r="B151" s="170" t="str">
        <x:v>MR与备货</x:v>
      </x:c>
      <x:c r="C151" s="170" t="str">
        <x:v>UPD-028</x:v>
      </x:c>
      <x:c r="D151" s="170" t="str">
        <x:v>MR业务状况</x:v>
      </x:c>
      <x:c r="E151" s="170" t="str">
        <x:v>MR需完成状态及已完成、已取消、处理中三个状况</x:v>
      </x:c>
      <x:c r="F151" s="170" t="str">
        <x:v>记录明确不等于一期已批准；细则参见C-01～16</x:v>
      </x:c>
      <x:c r="G151" s="170" t="str">
        <x:v>建议本期分批纳入</x:v>
      </x:c>
      <x:c r="H151" s="170" t="str">
        <x:v>P1</x:v>
      </x:c>
      <x:c r="I151" s="170" t="str">
        <x:v>记录明确诉求</x:v>
      </x:c>
      <x:c r="J151" s="170" t="str">
        <x:v>按原文实现并从对应角色验证；未决规则不填默认答案</x:v>
      </x:c>
      <x:c r="K151" s="170" t="str">
        <x:v>TASK-33；TASK-044；UAT-03子项</x:v>
      </x:c>
      <x:c r="L151" s="170" t="str">
        <x:v>待确认</x:v>
      </x:c>
      <x:c r="M151" s="170" t="str">
        <x:v>补申请已完成（演示）/材料待备货两维度；已完成/取消/处理中完整业务及真实审批回写未全覆盖</x:v>
      </x:c>
      <x:c r="N151" s="170" t="str">
        <x:v>未业务验收</x:v>
      </x:c>
      <x:c r="O151" s="170" t="str">
        <x:v>B02</x:v>
      </x:c>
      <x:c r="P151" s="170" t="str">
        <x:v>记录明确诉求</x:v>
      </x:c>
      <x:c r="Q151" s="170" t="str">
        <x:v>SOURCE-015 materials/溝通筆記/ec原型+倉庫+cr0930.docx P28/P29</x:v>
      </x:c>
      <x:c r="R151" s="170" t="str">
        <x:v>REQ-051、REQ-052</x:v>
      </x:c>
      <x:c r="S151" s="170" t="str"/>
      <x:c r="T151" s="178"/>
    </x:row>
    <x:row r="152" ht="70" customHeight="1">
      <x:c r="A152" s="170" t="str">
        <x:v>UPD</x:v>
      </x:c>
      <x:c r="B152" s="170" t="str">
        <x:v>MR与备货</x:v>
      </x:c>
      <x:c r="C152" s="170" t="str">
        <x:v>UPD-029</x:v>
      </x:c>
      <x:c r="D152" s="170" t="str">
        <x:v>仓管自主新增MR</x:v>
      </x:c>
      <x:c r="E152" s="170" t="str">
        <x:v>仓管需要自主新增MR；EC和仓库通写入边界仍待确认</x:v>
      </x:c>
      <x:c r="F152" s="170" t="str">
        <x:v>0930仓管自主新增MR诉求保留；本轮仓管仅出库是用户倾向且需客户确认，日常职责/例外入口未统一，不默认批准或取消新增MR权限</x:v>
      </x:c>
      <x:c r="G152" s="170" t="str">
        <x:v>建议本期分批纳入</x:v>
      </x:c>
      <x:c r="H152" s="170" t="str">
        <x:v>P1</x:v>
      </x:c>
      <x:c r="I152" s="170" t="str">
        <x:v>记录明确诉求</x:v>
      </x:c>
      <x:c r="J152" s="170" t="str">
        <x:v>按原文实现并从对应角色验证；未决规则不填默认答案</x:v>
      </x:c>
      <x:c r="K152" s="170" t="str">
        <x:v>TASK-33</x:v>
      </x:c>
      <x:c r="L152" s="170" t="str">
        <x:v>待确认</x:v>
      </x:c>
      <x:c r="M152" s="170" t="str">
        <x:v>当前未验证仓务独立EC入口；C-04系统/角色分工未决定</x:v>
      </x:c>
      <x:c r="N152" s="170" t="str">
        <x:v>未业务验收</x:v>
      </x:c>
      <x:c r="O152" s="170" t="str">
        <x:v>B02</x:v>
      </x:c>
      <x:c r="P152" s="170" t="str">
        <x:v>记录明确诉求</x:v>
      </x:c>
      <x:c r="Q152" s="170" t="str">
        <x:v>SOURCE-015 materials/溝通筆記/ec原型+倉庫+cr0930.docx P31</x:v>
      </x:c>
      <x:c r="R152" s="170" t="str">
        <x:v>REQ-051、REQ-072</x:v>
      </x:c>
      <x:c r="S152" s="170" t="str"/>
      <x:c r="T152" s="178"/>
    </x:row>
    <x:row r="153" ht="70" customHeight="1">
      <x:c r="A153" s="170" t="str">
        <x:v>UPD</x:v>
      </x:c>
      <x:c r="B153" s="170" t="str">
        <x:v>服务报告</x:v>
      </x:c>
      <x:c r="C153" s="170" t="str">
        <x:v>UPD-030</x:v>
      </x:c>
      <x:c r="D153" s="170" t="str">
        <x:v>报告Objective筛选</x:v>
      </x:c>
      <x:c r="E153" s="170" t="str">
        <x:v>报告管理需要Objective筛选</x:v>
      </x:c>
      <x:c r="F153" s="170" t="str">
        <x:v>记录明确不等于一期已批准；细则参见C-01～16</x:v>
      </x:c>
      <x:c r="G153" s="170" t="str">
        <x:v>建议本期分批纳入</x:v>
      </x:c>
      <x:c r="H153" s="170" t="str">
        <x:v>P1</x:v>
      </x:c>
      <x:c r="I153" s="170" t="str">
        <x:v>记录明确诉求</x:v>
      </x:c>
      <x:c r="J153" s="170" t="str">
        <x:v>按原文实现并从对应角色验证；未决规则不填默认答案</x:v>
      </x:c>
      <x:c r="K153" s="170" t="str">
        <x:v>TASK-33</x:v>
      </x:c>
      <x:c r="L153" s="170" t="str">
        <x:v>待确认</x:v>
      </x:c>
      <x:c r="M153" s="170" t="str">
        <x:v>Objective筛选/重置子项已验证3→1→3；中文/权限待核对</x:v>
      </x:c>
      <x:c r="N153" s="170" t="str">
        <x:v>未业务验收</x:v>
      </x:c>
      <x:c r="O153" s="170" t="str">
        <x:v>B02</x:v>
      </x:c>
      <x:c r="P153" s="170" t="str">
        <x:v>记录明确诉求</x:v>
      </x:c>
      <x:c r="Q153" s="170" t="str">
        <x:v>SOURCE-015 materials/溝通筆記/ec原型+倉庫+cr0930.docx P34</x:v>
      </x:c>
      <x:c r="R153" s="170" t="str">
        <x:v>REQ-036</x:v>
      </x:c>
      <x:c r="S153" s="170" t="str"/>
      <x:c r="T153" s="178"/>
    </x:row>
    <x:row r="154" ht="70" customHeight="1">
      <x:c r="A154" s="170" t="str">
        <x:v>UPD</x:v>
      </x:c>
      <x:c r="B154" s="170" t="str">
        <x:v>财务</x:v>
      </x:c>
      <x:c r="C154" s="170" t="str">
        <x:v>UPD-031</x:v>
      </x:c>
      <x:c r="D154" s="170" t="str">
        <x:v>财务地点英文名称</x:v>
      </x:c>
      <x:c r="E154" s="170" t="str">
        <x:v>地点需要英文名称</x:v>
      </x:c>
      <x:c r="F154" s="170" t="str">
        <x:v>记录明确不等于一期已批准；细则参见C-01～16</x:v>
      </x:c>
      <x:c r="G154" s="170" t="str">
        <x:v>建议本期分批纳入</x:v>
      </x:c>
      <x:c r="H154" s="170" t="str">
        <x:v>P1</x:v>
      </x:c>
      <x:c r="I154" s="170" t="str">
        <x:v>记录明确诉求</x:v>
      </x:c>
      <x:c r="J154" s="170" t="str">
        <x:v>按原文实现并从对应角色验证；未决规则不填默认答案</x:v>
      </x:c>
      <x:c r="K154" s="170" t="str">
        <x:v>TASK-36</x:v>
      </x:c>
      <x:c r="L154" s="170" t="str">
        <x:v>待确认</x:v>
      </x:c>
      <x:c r="M154" s="170" t="str">
        <x:v>待按对应场景复核</x:v>
      </x:c>
      <x:c r="N154" s="170" t="str">
        <x:v>未业务验收</x:v>
      </x:c>
      <x:c r="O154" s="170" t="str">
        <x:v>B05</x:v>
      </x:c>
      <x:c r="P154" s="170" t="str">
        <x:v>记录明确诉求</x:v>
      </x:c>
      <x:c r="Q154" s="170" t="str">
        <x:v>SOURCE-014 materials/溝通筆記/ec+cs+報價組+會計0928.docx P32</x:v>
      </x:c>
      <x:c r="R154" s="170" t="str">
        <x:v>REQ-060、REQ-067</x:v>
      </x:c>
      <x:c r="S154" s="170" t="str"/>
      <x:c r="T154" s="178"/>
    </x:row>
    <x:row r="155" ht="70" customHeight="1">
      <x:c r="A155" s="170" t="str">
        <x:v>UPD</x:v>
      </x:c>
      <x:c r="B155" s="170" t="str">
        <x:v>财务</x:v>
      </x:c>
      <x:c r="C155" s="170" t="str">
        <x:v>UPD-032</x:v>
      </x:c>
      <x:c r="D155" s="170" t="str">
        <x:v>待开票与欠文件</x:v>
      </x:c>
      <x:c r="E155" s="170" t="str">
        <x:v>完工纸、照片、客户确认PO齐备才待开票，否则欠文件；不同服务适用清单待确认</x:v>
      </x:c>
      <x:c r="F155" s="170" t="str">
        <x:v>记录明确不等于一期已批准；细则参见C-01～16</x:v>
      </x:c>
      <x:c r="G155" s="170" t="str">
        <x:v>建议本期分批纳入</x:v>
      </x:c>
      <x:c r="H155" s="170" t="str">
        <x:v>P1</x:v>
      </x:c>
      <x:c r="I155" s="170" t="str">
        <x:v>记录明确诉求</x:v>
      </x:c>
      <x:c r="J155" s="170" t="str">
        <x:v>按原文实现并从对应角色验证；未决规则不填默认答案</x:v>
      </x:c>
      <x:c r="K155" s="170" t="str">
        <x:v>TASK-36</x:v>
      </x:c>
      <x:c r="L155" s="170" t="str">
        <x:v>待确认</x:v>
      </x:c>
      <x:c r="M155" s="170" t="str">
        <x:v>维修CP、照片和PO按独立财务资料核对；不以主管完工改变票款。基本CP/SR适用已获用户说明，补证/特殊开票仍未验</x:v>
      </x:c>
      <x:c r="N155" s="170" t="str">
        <x:v>未业务验收</x:v>
      </x:c>
      <x:c r="O155" s="170" t="str">
        <x:v>B05</x:v>
      </x:c>
      <x:c r="P155" s="170" t="str">
        <x:v>记录明确诉求</x:v>
      </x:c>
      <x:c r="Q155" s="170" t="str">
        <x:v>SOURCE-014 materials/溝通筆記/ec+cs+報價組+會計0928.docx P33</x:v>
      </x:c>
      <x:c r="R155" s="170" t="str">
        <x:v>REQ-032、REQ-057</x:v>
      </x:c>
      <x:c r="S155" s="170" t="str"/>
      <x:c r="T155" s="178"/>
    </x:row>
    <x:row r="156" ht="70" customHeight="1">
      <x:c r="A156" s="170" t="str">
        <x:v>UPD</x:v>
      </x:c>
      <x:c r="B156" s="170" t="str">
        <x:v>财务</x:v>
      </x:c>
      <x:c r="C156" s="170" t="str">
        <x:v>UPD-033</x:v>
      </x:c>
      <x:c r="D156" s="170" t="str">
        <x:v>特殊开票原因</x:v>
      </x:c>
      <x:c r="E156" s="170" t="str">
        <x:v>特殊开票需要原因；例如客户同意完工；授权人员与审批细则未给出</x:v>
      </x:c>
      <x:c r="F156" s="170" t="str">
        <x:v>记录明确不等于一期已批准；细则参见C-01～16</x:v>
      </x:c>
      <x:c r="G156" s="170" t="str">
        <x:v>建议本期分批纳入</x:v>
      </x:c>
      <x:c r="H156" s="170" t="str">
        <x:v>P1</x:v>
      </x:c>
      <x:c r="I156" s="170" t="str">
        <x:v>记录明确诉求</x:v>
      </x:c>
      <x:c r="J156" s="170" t="str">
        <x:v>按原文实现并从对应角色验证；未决规则不填默认答案</x:v>
      </x:c>
      <x:c r="K156" s="170" t="str">
        <x:v>TASK-36</x:v>
      </x:c>
      <x:c r="L156" s="170" t="str">
        <x:v>待确认</x:v>
      </x:c>
      <x:c r="M156" s="170" t="str">
        <x:v>待按对应场景复核</x:v>
      </x:c>
      <x:c r="N156" s="170" t="str">
        <x:v>未业务验收</x:v>
      </x:c>
      <x:c r="O156" s="170" t="str">
        <x:v>B05</x:v>
      </x:c>
      <x:c r="P156" s="170" t="str">
        <x:v>记录明确诉求</x:v>
      </x:c>
      <x:c r="Q156" s="170" t="str">
        <x:v>SOURCE-014 materials/溝通筆記/ec+cs+報價組+會計0928.docx P34</x:v>
      </x:c>
      <x:c r="R156" s="170" t="str">
        <x:v>REQ-057、REQ-058</x:v>
      </x:c>
      <x:c r="S156" s="170" t="str"/>
      <x:c r="T156" s="178"/>
    </x:row>
    <x:row r="157" ht="70" customHeight="1">
      <x:c r="A157" s="170" t="str">
        <x:v>UPD</x:v>
      </x:c>
      <x:c r="B157" s="170" t="str">
        <x:v>财务</x:v>
      </x:c>
      <x:c r="C157" s="170" t="str">
        <x:v>UPD-034</x:v>
      </x:c>
      <x:c r="D157" s="170" t="str">
        <x:v>发票无需税率字段</x:v>
      </x:c>
      <x:c r="E157" s="170" t="str">
        <x:v>会计不需要税率字段</x:v>
      </x:c>
      <x:c r="F157" s="170" t="str">
        <x:v>记录明确不等于一期已批准；细则参见C-01～16</x:v>
      </x:c>
      <x:c r="G157" s="170" t="str">
        <x:v>建议本期分批纳入</x:v>
      </x:c>
      <x:c r="H157" s="170" t="str">
        <x:v>P1</x:v>
      </x:c>
      <x:c r="I157" s="170" t="str">
        <x:v>记录明确诉求</x:v>
      </x:c>
      <x:c r="J157" s="170" t="str">
        <x:v>按原文实现并从对应角色验证；未决规则不填默认答案</x:v>
      </x:c>
      <x:c r="K157" s="170" t="str">
        <x:v>TASK-36</x:v>
      </x:c>
      <x:c r="L157" s="170" t="str">
        <x:v>待确认</x:v>
      </x:c>
      <x:c r="M157" s="170" t="str">
        <x:v>待按对应场景复核</x:v>
      </x:c>
      <x:c r="N157" s="170" t="str">
        <x:v>未业务验收</x:v>
      </x:c>
      <x:c r="O157" s="170" t="str">
        <x:v>B05</x:v>
      </x:c>
      <x:c r="P157" s="170" t="str">
        <x:v>记录明确诉求</x:v>
      </x:c>
      <x:c r="Q157" s="170" t="str">
        <x:v>SOURCE-014 materials/溝通筆記/ec+cs+報價組+會計0928.docx P35</x:v>
      </x:c>
      <x:c r="R157" s="170" t="str">
        <x:v>REQ-058</x:v>
      </x:c>
      <x:c r="S157" s="170" t="str"/>
      <x:c r="T157" s="178"/>
    </x:row>
    <x:row r="158" ht="70" customHeight="1">
      <x:c r="A158" s="170" t="str">
        <x:v>UPD</x:v>
      </x:c>
      <x:c r="B158" s="170" t="str">
        <x:v>财务</x:v>
      </x:c>
      <x:c r="C158" s="170" t="str">
        <x:v>UPD-035</x:v>
      </x:c>
      <x:c r="D158" s="170" t="str">
        <x:v>发票两日期默认当天</x:v>
      </x:c>
      <x:c r="E158" s="170" t="str">
        <x:v>开票日期和到期日期默认当前日期</x:v>
      </x:c>
      <x:c r="F158" s="170" t="str">
        <x:v>记录明确不等于一期已批准；细则参见C-01～16</x:v>
      </x:c>
      <x:c r="G158" s="170" t="str">
        <x:v>建议本期分批纳入</x:v>
      </x:c>
      <x:c r="H158" s="170" t="str">
        <x:v>P1</x:v>
      </x:c>
      <x:c r="I158" s="170" t="str">
        <x:v>记录明确诉求</x:v>
      </x:c>
      <x:c r="J158" s="170" t="str">
        <x:v>按原文实现并从对应角色验证；未决规则不填默认答案</x:v>
      </x:c>
      <x:c r="K158" s="170" t="str">
        <x:v>TASK-36</x:v>
      </x:c>
      <x:c r="L158" s="170" t="str">
        <x:v>待确认</x:v>
      </x:c>
      <x:c r="M158" s="170" t="str">
        <x:v>待按对应场景复核</x:v>
      </x:c>
      <x:c r="N158" s="170" t="str">
        <x:v>未业务验收</x:v>
      </x:c>
      <x:c r="O158" s="170" t="str">
        <x:v>B05</x:v>
      </x:c>
      <x:c r="P158" s="170" t="str">
        <x:v>记录明确诉求</x:v>
      </x:c>
      <x:c r="Q158" s="170" t="str">
        <x:v>SOURCE-014 materials/溝通筆記/ec+cs+報價組+會計0928.docx P36</x:v>
      </x:c>
      <x:c r="R158" s="170" t="str">
        <x:v>REQ-058</x:v>
      </x:c>
      <x:c r="S158" s="170" t="str"/>
      <x:c r="T158" s="178"/>
    </x:row>
    <x:row r="159" ht="70" customHeight="1">
      <x:c r="A159" s="170" t="str">
        <x:v>UPD</x:v>
      </x:c>
      <x:c r="B159" s="170" t="str">
        <x:v>财务</x:v>
      </x:c>
      <x:c r="C159" s="170" t="str">
        <x:v>UPD-036</x:v>
      </x:c>
      <x:c r="D159" s="170" t="str">
        <x:v>发票编号月重置</x:v>
      </x:c>
      <x:c r="E159" s="170" t="str">
        <x:v>原文“年日+递增（每月清零）”；前缀精确格式未明，不能自行补为年月日</x:v>
      </x:c>
      <x:c r="F159" s="170" t="str">
        <x:v>记录明确不等于一期已批准；细则参见C-01～16</x:v>
      </x:c>
      <x:c r="G159" s="170" t="str">
        <x:v>建议本期分批纳入</x:v>
      </x:c>
      <x:c r="H159" s="170" t="str">
        <x:v>P1</x:v>
      </x:c>
      <x:c r="I159" s="170" t="str">
        <x:v>记录明确诉求</x:v>
      </x:c>
      <x:c r="J159" s="170" t="str">
        <x:v>按原文实现并从对应角色验证；未决规则不填默认答案</x:v>
      </x:c>
      <x:c r="K159" s="170" t="str">
        <x:v>TASK-36</x:v>
      </x:c>
      <x:c r="L159" s="170" t="str">
        <x:v>待确认</x:v>
      </x:c>
      <x:c r="M159" s="170" t="str">
        <x:v>待按对应场景复核</x:v>
      </x:c>
      <x:c r="N159" s="170" t="str">
        <x:v>未业务验收</x:v>
      </x:c>
      <x:c r="O159" s="170" t="str">
        <x:v>B05</x:v>
      </x:c>
      <x:c r="P159" s="170" t="str">
        <x:v>记录明确诉求</x:v>
      </x:c>
      <x:c r="Q159" s="170" t="str">
        <x:v>SOURCE-014 materials/溝通筆記/ec+cs+報價組+會計0928.docx P37</x:v>
      </x:c>
      <x:c r="R159" s="170" t="str">
        <x:v>REQ-058、REQ-079</x:v>
      </x:c>
      <x:c r="S159" s="170" t="str"/>
      <x:c r="T159" s="178"/>
    </x:row>
    <x:row r="160" ht="70" customHeight="1">
      <x:c r="A160" s="170" t="str">
        <x:v>UPD</x:v>
      </x:c>
      <x:c r="B160" s="170" t="str">
        <x:v>财务</x:v>
      </x:c>
      <x:c r="C160" s="170" t="str">
        <x:v>UPD-037</x:v>
      </x:c>
      <x:c r="D160" s="170" t="str">
        <x:v>发票描述</x:v>
      </x:c>
      <x:c r="E160" s="170" t="str">
        <x:v>invoice描述应包含合同编号、PO、PM period</x:v>
      </x:c>
      <x:c r="F160" s="170" t="str">
        <x:v>记录明确不等于一期已批准；细则参见C-01～16</x:v>
      </x:c>
      <x:c r="G160" s="170" t="str">
        <x:v>建议本期分批纳入</x:v>
      </x:c>
      <x:c r="H160" s="170" t="str">
        <x:v>P1</x:v>
      </x:c>
      <x:c r="I160" s="170" t="str">
        <x:v>记录明确诉求</x:v>
      </x:c>
      <x:c r="J160" s="170" t="str">
        <x:v>按原文实现并从对应角色验证；未决规则不填默认答案</x:v>
      </x:c>
      <x:c r="K160" s="170" t="str">
        <x:v>TASK-36</x:v>
      </x:c>
      <x:c r="L160" s="170" t="str">
        <x:v>待确认</x:v>
      </x:c>
      <x:c r="M160" s="170" t="str">
        <x:v>待按对应场景复核</x:v>
      </x:c>
      <x:c r="N160" s="170" t="str">
        <x:v>未业务验收</x:v>
      </x:c>
      <x:c r="O160" s="170" t="str">
        <x:v>B05</x:v>
      </x:c>
      <x:c r="P160" s="170" t="str">
        <x:v>记录明确诉求</x:v>
      </x:c>
      <x:c r="Q160" s="170" t="str">
        <x:v>SOURCE-014 materials/溝通筆記/ec+cs+報價組+會計0928.docx P38</x:v>
      </x:c>
      <x:c r="R160" s="170" t="str">
        <x:v>REQ-058、REQ-061</x:v>
      </x:c>
      <x:c r="S160" s="170" t="str"/>
      <x:c r="T160" s="178"/>
    </x:row>
    <x:row r="161" ht="70" customHeight="1">
      <x:c r="A161" s="170" t="str">
        <x:v>UPD</x:v>
      </x:c>
      <x:c r="B161" s="170" t="str">
        <x:v>财务</x:v>
      </x:c>
      <x:c r="C161" s="170" t="str">
        <x:v>UPD-038</x:v>
      </x:c>
      <x:c r="D161" s="170" t="str">
        <x:v>低额开票原因</x:v>
      </x:c>
      <x:c r="E161" s="170" t="str">
        <x:v>开票总价低于报价总金额时需要填写原因</x:v>
      </x:c>
      <x:c r="F161" s="170" t="str">
        <x:v>记录明确不等于一期已批准；细则参见C-01～16</x:v>
      </x:c>
      <x:c r="G161" s="170" t="str">
        <x:v>建议本期分批纳入</x:v>
      </x:c>
      <x:c r="H161" s="170" t="str">
        <x:v>P1</x:v>
      </x:c>
      <x:c r="I161" s="170" t="str">
        <x:v>记录明确诉求</x:v>
      </x:c>
      <x:c r="J161" s="170" t="str">
        <x:v>按原文实现并从对应角色验证；未决规则不填默认答案</x:v>
      </x:c>
      <x:c r="K161" s="170" t="str">
        <x:v>TASK-36</x:v>
      </x:c>
      <x:c r="L161" s="170" t="str">
        <x:v>待确认</x:v>
      </x:c>
      <x:c r="M161" s="170" t="str">
        <x:v>待按对应场景复核</x:v>
      </x:c>
      <x:c r="N161" s="170" t="str">
        <x:v>未业务验收</x:v>
      </x:c>
      <x:c r="O161" s="170" t="str">
        <x:v>B05</x:v>
      </x:c>
      <x:c r="P161" s="170" t="str">
        <x:v>记录明确诉求</x:v>
      </x:c>
      <x:c r="Q161" s="170" t="str">
        <x:v>SOURCE-014 materials/溝通筆記/ec+cs+報價組+會計0928.docx P39</x:v>
      </x:c>
      <x:c r="R161" s="170" t="str">
        <x:v>REQ-057、REQ-058</x:v>
      </x:c>
      <x:c r="S161" s="170" t="str"/>
      <x:c r="T161" s="178"/>
    </x:row>
    <x:row r="162" ht="70" customHeight="1">
      <x:c r="A162" s="170" t="str">
        <x:v>UPD</x:v>
      </x:c>
      <x:c r="B162" s="170" t="str">
        <x:v>新增线索</x:v>
      </x:c>
      <x:c r="C162" s="170" t="str">
        <x:v>UPD-039</x:v>
      </x:c>
      <x:c r="D162" s="170" t="str">
        <x:v>借用及升降机线索</x:v>
      </x:c>
      <x:c r="E162" s="170" t="str">
        <x:v>仅一行“借用系统、升降机申请”，缺场景、责任和范围，先保留线索</x:v>
      </x:c>
      <x:c r="F162" s="170" t="str">
        <x:v>记录明确不等于一期已批准；细则参见C-01～16</x:v>
      </x:c>
      <x:c r="G162" s="170" t="str">
        <x:v>建议后续单独评审</x:v>
      </x:c>
      <x:c r="H162" s="170" t="str">
        <x:v>P2</x:v>
      </x:c>
      <x:c r="I162" s="170" t="str">
        <x:v>待客户决策</x:v>
      </x:c>
      <x:c r="J162" s="170" t="str">
        <x:v>按原文实现并从对应角色验证；未决规则不填默认答案</x:v>
      </x:c>
      <x:c r="K162" s="170" t="str">
        <x:v>TASK-37</x:v>
      </x:c>
      <x:c r="L162" s="170" t="str">
        <x:v>待确认</x:v>
      </x:c>
      <x:c r="M162" s="170" t="str">
        <x:v>待按对应场景复核</x:v>
      </x:c>
      <x:c r="N162" s="170" t="str">
        <x:v>未业务验收</x:v>
      </x:c>
      <x:c r="O162" s="170" t="str">
        <x:v>B06</x:v>
      </x:c>
      <x:c r="P162" s="170" t="str">
        <x:v>待客户决策</x:v>
      </x:c>
      <x:c r="Q162" s="170" t="str">
        <x:v>SOURCE-014 materials/溝通筆記/ec+cs+報價組+會計0928.docx P42</x:v>
      </x:c>
      <x:c r="R162" s="170" t="str"/>
      <x:c r="S162" s="170" t="str"/>
      <x:c r="T162" s="178"/>
    </x:row>
  </x:sheetData>
  <x:mergeCells>
    <x:mergeCell ref="A1:K1"/>
    <x:mergeCell ref="A2:K2"/>
    <x:mergeCell ref="B5:B8"/>
    <x:mergeCell ref="B9:B12"/>
    <x:mergeCell ref="B13:B17"/>
    <x:mergeCell ref="B18:B21"/>
    <x:mergeCell ref="B22:B26"/>
    <x:mergeCell ref="B27:B30"/>
    <x:mergeCell ref="B31:B34"/>
    <x:mergeCell ref="B35:B37"/>
    <x:mergeCell ref="B38:B40"/>
    <x:mergeCell ref="B41:B43"/>
  </x:mergeCells>
  <x:conditionalFormatting sqref="I5:I83">
    <x:cfRule type="containsText" dxfId="13" priority="1" operator="containsText" text="已完成"/>
    <x:cfRule type="containsText" dxfId="14" priority="2" operator="containsText" text="PASS"/>
    <x:cfRule type="containsText" dxfId="15" priority="3" operator="containsText" text="基本完成"/>
    <x:cfRule type="containsText" dxfId="16" priority="4" operator="containsText" text="部分完成"/>
    <x:cfRule type="containsText" dxfId="17" priority="5" operator="containsText" text="部分通过"/>
    <x:cfRule type="containsText" dxfId="18" priority="6" operator="containsText" text="修复中"/>
    <x:cfRule type="containsText" dxfId="19" priority="7" operator="containsText" text="待收口"/>
    <x:cfRule type="containsText" dxfId="20" priority="8" operator="containsText" text="待验收"/>
    <x:cfRule type="containsText" dxfId="21" priority="9" operator="containsText" text="待确认"/>
    <x:cfRule type="containsText" dxfId="22" priority="10" operator="containsText" text="待开发"/>
    <x:cfRule type="containsText" dxfId="23" priority="11" operator="containsText" text="BLOCKED"/>
    <x:cfRule type="containsText" dxfId="24" priority="12" operator="containsText" text="未开始"/>
    <x:cfRule type="containsText" dxfId="25" priority="13" operator="containsText" text="未完成"/>
  </x:conditionalFormatting>
  <x:dataValidations count="5">
    <x:dataValidation type="list" sqref="H5:H83">
      <x:formula1>"P0,P1,P2,P3"</x:formula1>
    </x:dataValidation>
    <x:dataValidation type="list" sqref="H5:H43">
      <x:formula1>"P0,P1,P2"</x:formula1>
    </x:dataValidation>
    <x:dataValidation type="list" sqref="L5:L162">
      <x:formula1>"待确认,已确认,不适用"</x:formula1>
    </x:dataValidation>
    <x:dataValidation type="list" sqref="N5:N162">
      <x:formula1>"未业务验收,验收中,已通过,不适用"</x:formula1>
    </x:dataValidation>
    <x:dataValidation type="list" sqref="I5:I162">
      <x:formula1>"历史条目待内容复核,记录明确诉求,待客户决策,存量事实判定：CONFIRMED,存量事实判定：ASSUMPTION,存量事实判定：CONFLICT,存量事实判定：MISSING,存量事实判定：PENDING_CUSTOMER,存量事实判定：OUT_OF_SCOPE"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30" hidden="0" customWidth="1"/>
    <x:col min="14" max="14" width="18" hidden="0" customWidth="1"/>
    <x:col min="15" max="15" width="20" hidden="0" customWidth="1"/>
    <x:col min="16" max="16" width="36" hidden="0" customWidth="1"/>
  </x:cols>
  <x:sheetData>
    <x:row r="1" ht="34" customHeight="1">
      <x:c r="A1" s="3" t="str">
        <x:v>旧模块参考与当前定稿批次</x:v>
      </x:c>
      <x:c r="B1" s="3" t="str">
        <x:v>功能模块明细</x:v>
      </x:c>
      <x:c r="C1" s="3" t="str">
        <x:v>功能模块明细</x:v>
      </x:c>
      <x:c r="D1" s="3" t="str">
        <x:v>功能模块明细</x:v>
      </x:c>
      <x:c r="E1" s="3" t="str">
        <x:v>功能模块明细</x:v>
      </x:c>
      <x:c r="F1" s="3" t="str">
        <x:v>功能模块明细</x:v>
      </x:c>
      <x:c r="G1" s="3" t="str">
        <x:v>功能模块明细</x:v>
      </x:c>
      <x:c r="H1" s="3" t="str">
        <x:v>功能模块明细</x:v>
      </x:c>
      <x:c r="I1" s="3" t="str">
        <x:v>功能模块明细</x:v>
      </x:c>
      <x:c r="J1" s="3" t="str">
        <x:v>功能模块明细</x:v>
      </x:c>
    </x:row>
    <x:row r="2" ht="25" customHeight="1">
      <x:c r="A2" s="113" t="str">
        <x:v>上方旧模块/开发标准仅历史参考，旧权重停用。当前进度看下方批次的确认/修改/验收，签收证据齐备才冻结。</x:v>
      </x:c>
      <x:c r="B2" s="113" t="str">
        <x:v>完成度按已确认需求、原型证据、POC、生产实现、测试和上线准备综合判断；原型完成不等于生产上线。权重合计 100%。</x:v>
      </x:c>
      <x:c r="C2" s="113" t="str">
        <x:v>完成度按已确认需求、原型证据、POC、生产实现、测试和上线准备综合判断；原型完成不等于生产上线。权重合计 100%。</x:v>
      </x:c>
      <x:c r="D2" s="113" t="str">
        <x:v>完成度按已确认需求、原型证据、POC、生产实现、测试和上线准备综合判断；原型完成不等于生产上线。权重合计 100%。</x:v>
      </x:c>
      <x:c r="E2" s="113" t="str">
        <x:v>完成度按已确认需求、原型证据、POC、生产实现、测试和上线准备综合判断；原型完成不等于生产上线。权重合计 100%。</x:v>
      </x:c>
      <x:c r="F2" s="113" t="str">
        <x:v>完成度按已确认需求、原型证据、POC、生产实现、测试和上线准备综合判断；原型完成不等于生产上线。权重合计 100%。</x:v>
      </x:c>
      <x:c r="G2" s="113" t="str">
        <x:v>完成度按已确认需求、原型证据、POC、生产实现、测试和上线准备综合判断；原型完成不等于生产上线。权重合计 100%。</x:v>
      </x:c>
      <x:c r="H2" s="113" t="str">
        <x:v>完成度按已确认需求、原型证据、POC、生产实现、测试和上线准备综合判断；原型完成不等于生产上线。权重合计 100%。</x:v>
      </x:c>
      <x:c r="I2" s="113" t="str">
        <x:v>完成度按已确认需求、原型证据、POC、生产实现、测试和上线准备综合判断；原型完成不等于生产上线。权重合计 100%。</x:v>
      </x:c>
      <x:c r="J2" s="113" t="str">
        <x:v>完成度按已确认需求、原型证据、POC、生产实现、测试和上线准备综合判断；原型完成不等于生产上线。权重合计 100%。</x:v>
      </x:c>
    </x:row>
    <x:row r="3" ht="8" customHeight="1"/>
    <x:row r="4" ht="26" customHeight="1">
      <x:c r="A4" s="90" t="str">
        <x:v>模块ID</x:v>
      </x:c>
      <x:c r="B4" s="91" t="str">
        <x:v>功能模块</x:v>
      </x:c>
      <x:c r="C4" s="91" t="str">
        <x:v>当前可用能力</x:v>
      </x:c>
      <x:c r="D4" s="91" t="str">
        <x:v>上线缺口</x:v>
      </x:c>
      <x:c r="E4" s="91" t="str">
        <x:v>状态</x:v>
      </x:c>
      <x:c r="F4" s="91" t="str">
        <x:v>历史权重（停用）</x:v>
      </x:c>
      <x:c r="G4" s="91" t="str">
        <x:v>旧估算（停用）</x:v>
      </x:c>
      <x:c r="H4" s="91" t="str">
        <x:v>优先级</x:v>
      </x:c>
      <x:c r="I4" s="91" t="str">
        <x:v>历史开发标准（本轮不执行）</x:v>
      </x:c>
      <x:c r="J4" s="92" t="str">
        <x:v>验收编号</x:v>
      </x:c>
    </x:row>
    <x:row r="5" ht="42" customHeight="1">
      <x:c r="A5" s="100" t="str">
        <x:v>MOD-01</x:v>
      </x:c>
      <x:c r="B5" s="100" t="str">
        <x:v>需求与范围治理</x:v>
      </x:c>
      <x:c r="C5" s="100" t="str">
        <x:v>已形成一期 MVP PRD、详细规格、需求质量清单、材料索引与待确认问题清单</x:v>
      </x:c>
      <x:c r="D5" s="100" t="str">
        <x:v>PRD 状态仍为待客户确认；7 状态／10 状态及 P0/P1/P2 边界尚未冻结；缺已批准 plan.md、tasks.md</x:v>
      </x:c>
      <x:c r="E5" s="100" t="str">
        <x:v>原型/资料存在，定稿未验收</x:v>
      </x:c>
      <x:c r="F5" s="103" t="n">
        <x:v>0.15</x:v>
      </x:c>
      <x:c r="G5" s="103"/>
      <x:c r="H5" s="100" t="str">
        <x:v>P0</x:v>
      </x:c>
      <x:c r="I5" s="100" t="str">
        <x:v>客户书面批准一期范围、角色、流程、状态、字段及验收标准，并补齐 plan.md、tasks.md</x:v>
      </x:c>
      <x:c r="J5" s="100" t="str">
        <x:v>A01／A02</x:v>
      </x:c>
    </x:row>
    <x:row r="6" ht="42" customHeight="1">
      <x:c r="A6" s="101" t="str">
        <x:v>MOD-02</x:v>
      </x:c>
      <x:c r="B6" s="101" t="str">
        <x:v>交互原型与公网发布</x:v>
      </x:c>
      <x:c r="C6" s="101" t="str">
        <x:v>多角色 PC／移动端单文件原型已完成；包含 CALL、分派、报价、标书、备货、会计、报告、统计和设置；GitHub Pages 已发布</x:v>
      </x:c>
      <x:c r="D6" s="101" t="str">
        <x:v>当前原型包含超出一期 P0 的报价／采购／财务完整演示；需按批准范围复核并形成新一轮客户评审记录</x:v>
      </x:c>
      <x:c r="E6" s="101" t="str">
        <x:v>原型/资料存在，定稿未验收</x:v>
      </x:c>
      <x:c r="F6" s="104" t="n">
        <x:v>0.15</x:v>
      </x:c>
      <x:c r="G6" s="104"/>
      <x:c r="H6" s="101" t="str">
        <x:v>P0</x:v>
      </x:c>
      <x:c r="I6" s="101" t="str">
        <x:v>原型与批准 PRD 一致，CS／Leader／师傅主流程可走通，评审问题闭环并形成版本验收记录</x:v>
      </x:c>
      <x:c r="J6" s="101" t="str">
        <x:v>A03／A04</x:v>
      </x:c>
    </x:row>
    <x:row r="7" ht="42" customHeight="1">
      <x:c r="A7" s="101" t="str">
        <x:v>MOD-03</x:v>
      </x:c>
      <x:c r="B7" s="101" t="str">
        <x:v>工单受理与闭环</x:v>
      </x:c>
      <x:c r="C7" s="101" t="str">
        <x:v>原型已演示建单、列表、详情、状态流转、处理记录、服务报告与完工单</x:v>
      </x:c>
      <x:c r="D7" s="101" t="str">
        <x:v>唯一编号规则、政府前缀、状态终点、真实附件与操作日志尚未在生产环境验证</x:v>
      </x:c>
      <x:c r="E7" s="101" t="str">
        <x:v>原型/资料存在，定稿未验收</x:v>
      </x:c>
      <x:c r="F7" s="104" t="n">
        <x:v>0.15</x:v>
      </x:c>
      <x:c r="G7" s="104"/>
      <x:c r="H7" s="101" t="str">
        <x:v>P0</x:v>
      </x:c>
      <x:c r="I7" s="101" t="str">
        <x:v>普通／政府样例建单、查询、流转、附件和时间线全部按批准规则通过验收</x:v>
      </x:c>
      <x:c r="J7" s="101" t="str">
        <x:v>A05／A09</x:v>
      </x:c>
    </x:row>
    <x:row r="8" ht="42" customHeight="1">
      <x:c r="A8" s="101" t="str">
        <x:v>MOD-04</x:v>
      </x:c>
      <x:c r="B8" s="101" t="str">
        <x:v>派单、角色与数据权限</x:v>
      </x:c>
      <x:c r="C8" s="101" t="str">
        <x:v>原型已演示区域、Team Leader、师傅、角色导航、分派、拒单／改派及分派中心优化</x:v>
      </x:c>
      <x:c r="D8" s="101" t="str">
        <x:v>区域—团队—Leader—师傅映射缺失；角色权限目前主要为前端演示，未验证真实账号和服务端数据范围</x:v>
      </x:c>
      <x:c r="E8" s="101" t="str">
        <x:v>原型/资料存在，定稿未验收</x:v>
      </x:c>
      <x:c r="F8" s="104" t="n">
        <x:v>0.1</x:v>
      </x:c>
      <x:c r="G8" s="104"/>
      <x:c r="H8" s="101" t="str">
        <x:v>P0</x:v>
      </x:c>
      <x:c r="I8" s="101" t="str">
        <x:v>真实组织与试点账号完成权限、越权、派单、拒单和改派验证，操作全程留痕</x:v>
      </x:c>
      <x:c r="J8" s="101" t="str">
        <x:v>A06／A08</x:v>
      </x:c>
    </x:row>
    <x:row r="9" ht="42" customHeight="1">
      <x:c r="A9" s="101" t="str">
        <x:v>MOD-05</x:v>
      </x:c>
      <x:c r="B9" s="101" t="str">
        <x:v>师傅移动端与现场证据</x:v>
      </x:c>
      <x:c r="C9" s="101" t="str">
        <x:v>已提供师傅／主管移动工作台、接单、到场、处理、服务报告、完工单上传与签名演示</x:v>
      </x:c>
      <x:c r="D9" s="101" t="str">
        <x:v>不可拍照清单、照片强制／豁免规则、真实手机网络、容量和附件存储均未验证</x:v>
      </x:c>
      <x:c r="E9" s="101" t="str">
        <x:v>原型/资料存在，定稿未验收</x:v>
      </x:c>
      <x:c r="F9" s="104" t="n">
        <x:v>0.1</x:v>
      </x:c>
      <x:c r="G9" s="104"/>
      <x:c r="H9" s="101" t="str">
        <x:v>P0</x:v>
      </x:c>
      <x:c r="I9" s="101" t="str">
        <x:v>师傅用真实手机完成可拍照与不可拍照各一单，状态、证据、时长和权限符合验收标准</x:v>
      </x:c>
      <x:c r="J9" s="101" t="str">
        <x:v>A07／A10</x:v>
      </x:c>
    </x:row>
    <x:row r="10" ht="42" customHeight="1">
      <x:c r="A10" s="101" t="str">
        <x:v>MOD-06</x:v>
      </x:c>
      <x:c r="B10" s="101" t="str">
        <x:v>报价采购财务扩展原型</x:v>
      </x:c>
      <x:c r="C10" s="101" t="str">
        <x:v>原型已演示报价版本、标书、采购／备货、完工纸、发票、收款及报告联动</x:v>
      </x:c>
      <x:c r="D10" s="101" t="str">
        <x:v>当前 PRD 仅允许一期预留关联字段，完整流程未获客户确认；不得视为生产交付</x:v>
      </x:c>
      <x:c r="E10" s="101" t="str">
        <x:v>原型/资料存在，定稿未验收</x:v>
      </x:c>
      <x:c r="F10" s="104" t="n">
        <x:v>0.05</x:v>
      </x:c>
      <x:c r="G10" s="104"/>
      <x:c r="H10" s="101" t="str">
        <x:v>P2</x:v>
      </x:c>
      <x:c r="I10" s="101" t="str">
        <x:v>客户确认纳入范围或明确移入二期变更池，原型入口与一期基线保持一致</x:v>
      </x:c>
      <x:c r="J10" s="101" t="str">
        <x:v>A02／A11</x:v>
      </x:c>
    </x:row>
    <x:row r="11" ht="42" customHeight="1">
      <x:c r="A11" s="101" t="str">
        <x:v>MOD-07</x:v>
      </x:c>
      <x:c r="B11" s="101" t="str">
        <x:v>钉钉／宜搭 POC</x:v>
      </x:c>
      <x:c r="C11" s="101" t="str">
        <x:v>已有技术可行性分析与 POC 前置条件清单</x:v>
      </x:c>
      <x:c r="D11" s="101" t="str">
        <x:v>无宜搭应用、真实钉钉账号、消息、数据权限、图片容量和网络验证证据</x:v>
      </x:c>
      <x:c r="E11" s="101" t="str">
        <x:v>后续阶段，未启动</x:v>
      </x:c>
      <x:c r="F11" s="104" t="n">
        <x:v>0.1</x:v>
      </x:c>
      <x:c r="G11" s="104"/>
      <x:c r="H11" s="101" t="str">
        <x:v>P0</x:v>
      </x:c>
      <x:c r="I11" s="101" t="str">
        <x:v>真实账号、权限、移动端、消息、图片上传与容量验证通过并形成 POC 结论</x:v>
      </x:c>
      <x:c r="J11" s="101" t="str">
        <x:v>A08／A10</x:v>
      </x:c>
    </x:row>
    <x:row r="12" ht="42" customHeight="1">
      <x:c r="A12" s="101" t="str">
        <x:v>MOD-08</x:v>
      </x:c>
      <x:c r="B12" s="101" t="str">
        <x:v>试点主数据与组织准备</x:v>
      </x:c>
      <x:c r="C12" s="101" t="str">
        <x:v>已有客户、地址、区域、团队、人员、编号、照片策略等字段模板和导入需求</x:v>
      </x:c>
      <x:c r="D12" s="101" t="str">
        <x:v>试点团队、客户／地址清单、区域映射、工单样例和不可拍照清单尚未收到或签认</x:v>
      </x:c>
      <x:c r="E12" s="101" t="str">
        <x:v>后续阶段，未启动</x:v>
      </x:c>
      <x:c r="F12" s="104" t="n">
        <x:v>0.08</x:v>
      </x:c>
      <x:c r="G12" s="104"/>
      <x:c r="H12" s="101" t="str">
        <x:v>P0</x:v>
      </x:c>
      <x:c r="I12" s="101" t="str">
        <x:v>1 个试点区域、角色人员、20–30 张样例工单及主数据完成清洗和客户签认</x:v>
      </x:c>
      <x:c r="J12" s="101" t="str">
        <x:v>A12</x:v>
      </x:c>
    </x:row>
    <x:row r="13" ht="42" customHeight="1">
      <x:c r="A13" s="101" t="str">
        <x:v>MOD-09</x:v>
      </x:c>
      <x:c r="B13" s="101" t="str">
        <x:v>生产开发与集成</x:v>
      </x:c>
      <x:c r="C13" s="101" t="str">
        <x:v>当前仓库具备静态 HTML 原型与 GitHub Pages 发布链路</x:v>
      </x:c>
      <x:c r="D13" s="101" t="str">
        <x:v>无已批准实施计划、生产后端、真实数据服务、消息、附件存储、监控和部署交付</x:v>
      </x:c>
      <x:c r="E13" s="101" t="str">
        <x:v>后续阶段，未启动</x:v>
      </x:c>
      <x:c r="F13" s="104" t="n">
        <x:v>0.07</x:v>
      </x:c>
      <x:c r="G13" s="104"/>
      <x:c r="H13" s="101" t="str">
        <x:v>P0</x:v>
      </x:c>
      <x:c r="I13" s="101" t="str">
        <x:v>基于批准 PRD 与 POC 结论完成 P0 生产实现、集成测试、部署与运维准备</x:v>
      </x:c>
      <x:c r="J13" s="101" t="str">
        <x:v>A13</x:v>
      </x:c>
    </x:row>
    <x:row r="14" ht="42" customHeight="1">
      <x:c r="A14" s="101" t="str">
        <x:v>MOD-10</x:v>
      </x:c>
      <x:c r="B14" s="101" t="str">
        <x:v>UAT、试点与上线</x:v>
      </x:c>
      <x:c r="C14" s="101" t="str">
        <x:v>已有 7 个 P0 验收场景和 5 项可量化成功标准</x:v>
      </x:c>
      <x:c r="D14" s="101" t="str">
        <x:v>无测试工单、UAT 记录、7–10 个工作日试点、问题闭环和签收证据</x:v>
      </x:c>
      <x:c r="E14" s="101" t="str">
        <x:v>后续阶段，未启动</x:v>
      </x:c>
      <x:c r="F14" s="104" t="n">
        <x:v>0.05</x:v>
      </x:c>
      <x:c r="G14" s="104"/>
      <x:c r="H14" s="101" t="str">
        <x:v>P0</x:v>
      </x:c>
      <x:c r="I14" s="101" t="str">
        <x:v>试点完成、P0 场景通过、UAT 问题关闭、上线与操作交接完成</x:v>
      </x:c>
      <x:c r="J14" s="101" t="str">
        <x:v>A14</x:v>
      </x:c>
    </x:row>
    <x:row r="15" ht="7" customHeight="1">
      <x:c r="A15" s="101"/>
      <x:c r="B15" s="101"/>
      <x:c r="C15" s="101"/>
      <x:c r="D15" s="101"/>
      <x:c r="E15" s="101"/>
      <x:c r="F15" s="104"/>
      <x:c r="G15" s="104"/>
      <x:c r="H15" s="101"/>
      <x:c r="I15" s="101"/>
      <x:c r="J15" s="101"/>
    </x:row>
    <x:row r="16" ht="7" customHeight="1">
      <x:c r="A16" s="101"/>
      <x:c r="B16" s="101"/>
      <x:c r="C16" s="101"/>
      <x:c r="D16" s="101"/>
      <x:c r="E16" s="101"/>
      <x:c r="F16" s="104"/>
      <x:c r="G16" s="104"/>
      <x:c r="H16" s="101"/>
      <x:c r="I16" s="101"/>
      <x:c r="J16" s="101"/>
    </x:row>
    <x:row r="17" ht="7" customHeight="1">
      <x:c r="A17" s="101"/>
      <x:c r="B17" s="101"/>
      <x:c r="C17" s="101"/>
      <x:c r="D17" s="101"/>
      <x:c r="E17" s="101"/>
      <x:c r="F17" s="104"/>
      <x:c r="G17" s="104"/>
      <x:c r="H17" s="101"/>
      <x:c r="I17" s="101"/>
      <x:c r="J17" s="101"/>
    </x:row>
    <x:row r="18" ht="7" customHeight="1">
      <x:c r="A18" s="101"/>
      <x:c r="B18" s="101"/>
      <x:c r="C18" s="101"/>
      <x:c r="D18" s="101"/>
      <x:c r="E18" s="101"/>
      <x:c r="F18" s="104"/>
      <x:c r="G18" s="104"/>
      <x:c r="H18" s="101"/>
      <x:c r="I18" s="101"/>
      <x:c r="J18" s="101"/>
    </x:row>
    <x:row r="19" ht="7" customHeight="1">
      <x:c r="A19" s="101"/>
      <x:c r="B19" s="101"/>
      <x:c r="C19" s="101"/>
      <x:c r="D19" s="101"/>
      <x:c r="E19" s="101"/>
      <x:c r="F19" s="104"/>
      <x:c r="G19" s="104"/>
      <x:c r="H19" s="101"/>
      <x:c r="I19" s="101"/>
      <x:c r="J19" s="101"/>
    </x:row>
    <x:row r="20" ht="7" customHeight="1">
      <x:c r="A20" s="102"/>
      <x:c r="B20" s="102"/>
      <x:c r="C20" s="102"/>
      <x:c r="D20" s="102"/>
      <x:c r="E20" s="102"/>
      <x:c r="F20" s="105"/>
      <x:c r="G20" s="105"/>
      <x:c r="H20" s="102"/>
      <x:c r="I20" s="102"/>
      <x:c r="J20" s="102"/>
    </x:row>
    <x:row r="21">
      <x:c r="A21" t="str">
        <x:v>本次定稿批次</x:v>
      </x:c>
    </x:row>
    <x:row r="23" ht="34" customHeight="1">
      <x:c r="A23" s="167" t="str">
        <x:v>批次</x:v>
      </x:c>
      <x:c r="B23" s="167" t="str">
        <x:v>业务</x:v>
      </x:c>
      <x:c r="C23" s="167" t="str">
        <x:v>本批工作</x:v>
      </x:c>
      <x:c r="D23" s="167" t="str">
        <x:v>完成条件</x:v>
      </x:c>
      <x:c r="E23" s="167" t="str">
        <x:v>当前阶段</x:v>
      </x:c>
      <x:c r="F23" s="167" t="str">
        <x:v>客户范围/规则确认</x:v>
      </x:c>
      <x:c r="G23" s="167" t="str">
        <x:v>原型修改</x:v>
      </x:c>
      <x:c r="H23" s="167" t="str">
        <x:v>业务验收</x:v>
      </x:c>
      <x:c r="I23" s="167" t="str">
        <x:v>主写人</x:v>
      </x:c>
      <x:c r="J23" s="167" t="str">
        <x:v>关键卡点</x:v>
      </x:c>
      <x:c r="K23" s="167" t="str">
        <x:v>客户确认人</x:v>
      </x:c>
      <x:c r="L23" s="167" t="str">
        <x:v>确认日期</x:v>
      </x:c>
      <x:c r="M23" s="167" t="str">
        <x:v>验收证据</x:v>
      </x:c>
      <x:c r="N23" s="167" t="str">
        <x:v>本批阻塞关闭</x:v>
      </x:c>
      <x:c r="O23" s="223" t="str">
        <x:v>内部准备状态</x:v>
      </x:c>
      <x:c r="P23" s="223" t="str">
        <x:v>内部评审证据</x:v>
      </x:c>
    </x:row>
    <x:row r="24" ht="90" customHeight="1">
      <x:c r="A24" s="170" t="str">
        <x:v>B00</x:v>
      </x:c>
      <x:c r="B24" s="170" t="str">
        <x:v>开工准备</x:v>
      </x:c>
      <x:c r="C24" s="170" t="str">
        <x:v>核对资料、复核审计、升级表格与Hub</x:v>
      </x:c>
      <x:c r="D24" s="170" t="str">
        <x:v>新旧编号保留、每项有出处和复核状态、范围/客户问题可评审</x:v>
      </x:c>
      <x:c r="E24" s="170" t="str">
        <x:f>"资料准备完成"</x:f>
        <x:v>资料准备完成</x:v>
      </x:c>
      <x:c r="F24" s="170" t="str">
        <x:v>不适用</x:v>
      </x:c>
      <x:c r="G24" s="170" t="str">
        <x:v>未整改</x:v>
      </x:c>
      <x:c r="H24" s="170" t="str">
        <x:v>未业务验收</x:v>
      </x:c>
      <x:c r="I24" s="170" t="str">
        <x:v>待指定实际人</x:v>
      </x:c>
      <x:c r="J24" s="170" t="str">
        <x:v>范围与维护人待确认</x:v>
      </x:c>
      <x:c r="K24" s="170" t="str"/>
      <x:c r="L24" s="178" t="str"/>
      <x:c r="M24" s="170" t="str"/>
      <x:c r="N24" s="170" t="str">
        <x:v>不适用</x:v>
      </x:c>
      <x:c r="O24" s="227" t="str">
        <x:v>资料准备完成</x:v>
      </x:c>
      <x:c r="P24" s="227" t="str">
        <x:v>10/12准备复核；仅局部原型检查</x:v>
      </x:c>
    </x:row>
    <x:row r="25" ht="90" customHeight="1">
      <x:c r="A25" s="170" t="str">
        <x:v>B01</x:v>
      </x:c>
      <x:c r="B25" s="170" t="str">
        <x:v>公共基础</x:v>
      </x:c>
      <x:c r="C25" s="170" t="str">
        <x:v>客户合同、人员、区域、权限和对象状态</x:v>
      </x:c>
      <x:c r="D25" s="170" t="str">
        <x:v>正确选客户/合同/地点、双语搜索、逐记录正反授权、状态定义可核对</x:v>
      </x:c>
      <x:c r="E25" s="170" t="str">
        <x:f>IF(AND(O25="可供客户评审",P25&lt;&gt;""),IF(AND(F25="已确认",G25="已修改",H25="已通过",K25&lt;&gt;"",L25&lt;&gt;"",M25&lt;&gt;"",N25="是"),"已冻结",IF(F25&lt;&gt;"已确认","待客户确认",IF(G25&lt;&gt;"已修改","待原型整改",IF(H25&lt;&gt;"已通过","待业务验收","待补签收或阻塞证据")))),IF(O25="可供客户评审","待补内部评审证据",IF(O25="未开始","待内部梳理/走查",O25)))</x:f>
        <x:v>走查中</x:v>
      </x:c>
      <x:c r="F25" s="185" t="str">
        <x:v>待确认</x:v>
      </x:c>
      <x:c r="G25" s="185" t="str">
        <x:f>'推进明细'!S36</x:f>
        <x:v>整改中</x:v>
      </x:c>
      <x:c r="H25" s="185" t="str">
        <x:v>未业务验收</x:v>
      </x:c>
      <x:c r="I25" s="185" t="str">
        <x:v>Codex（内部整合）；业务签收人待实际指定</x:v>
      </x:c>
      <x:c r="J25" s="185" t="str">
        <x:v>本期范围/本批关键规则及前置批次</x:v>
      </x:c>
      <x:c r="K25" s="185" t="str"/>
      <x:c r="L25" s="186" t="str"/>
      <x:c r="M25" s="185" t="str"/>
      <x:c r="N25" s="185" t="str">
        <x:v>否</x:v>
      </x:c>
      <x:c r="O25" s="227" t="str">
        <x:v>走查中</x:v>
      </x:c>
      <x:c r="P25" s="227" t="str">
        <x:v>SOURCE-024客户控件/CR读取限定证据；docs/review/2026-10-14-sr-finance/SR-FINANCE-WALKTHROUGH.md §主表汇总修正。局部整改、整批未验收，无客户签收</x:v>
      </x:c>
    </x:row>
    <x:row r="26" ht="90" customHeight="1">
      <x:c r="A26" s="170" t="str">
        <x:v>B02</x:v>
      </x:c>
      <x:c r="B26" s="170" t="str">
        <x:v>第一条维修链</x:v>
      </x:c>
      <x:c r="C26" s="170" t="str">
        <x:v>受理、报价修订、中单、MR、备货、预约、现场、SR、完工资料交财务</x:v>
      </x:c>
      <x:c r="D26" s="170" t="str">
        <x:v>从真实角色入口到完工交财务，材料门槛/缺件/退回/权限可验证</x:v>
      </x:c>
      <x:c r="E26" s="170" t="str">
        <x:f>IF(AND(O26="可供客户评审",P26&lt;&gt;""),IF(AND(F26="已确认",G26="已修改",H26="已通过",K26&lt;&gt;"",L26&lt;&gt;"",M26&lt;&gt;"",N26="是"),"已冻结",IF(F26&lt;&gt;"已确认","待客户确认",IF(G26&lt;&gt;"已修改","待原型整改",IF(H26&lt;&gt;"已通过","待业务验收","待补签收或阻塞证据")))),IF(O26="可供客户评审","待补内部评审证据",IF(O26="未开始","待内部梳理/走查",O26)))</x:f>
        <x:v>走查中</x:v>
      </x:c>
      <x:c r="F26" s="185" t="str">
        <x:v>待确认</x:v>
      </x:c>
      <x:c r="G26" s="185" t="str">
        <x:f>'推进明细'!S37</x:f>
        <x:v>整改中</x:v>
      </x:c>
      <x:c r="H26" s="185" t="str">
        <x:v>未业务验收</x:v>
      </x:c>
      <x:c r="I26" s="185" t="str">
        <x:v>Codex（内部整合）；业务签收人待实际指定</x:v>
      </x:c>
      <x:c r="J26" s="185" t="str">
        <x:v>本期范围/本批关键规则及前置批次</x:v>
      </x:c>
      <x:c r="K26" s="185" t="str"/>
      <x:c r="L26" s="186" t="str"/>
      <x:c r="M26" s="185" t="str"/>
      <x:c r="N26" s="185" t="str">
        <x:v>否</x:v>
      </x:c>
      <x:c r="O26" s="227" t="str">
        <x:v>走查中</x:v>
      </x:c>
      <x:c r="P26" s="227" t="str">
        <x:v>docs/review/2026-10-14-sr-finance/SR-FINANCE-WALKTHROUGH.md 最新CP复测/旧001仅技术证据；003材料链未通过</x:v>
      </x:c>
    </x:row>
    <x:row r="27" ht="90" customHeight="1">
      <x:c r="A27" s="170" t="str">
        <x:v>B03</x:v>
      </x:c>
      <x:c r="B27" s="170" t="str">
        <x:v>保养与二次维修</x:v>
      </x:c>
      <x:c r="C27" s="170" t="str">
        <x:v>整期计划、每期服务、M+P、续保及维修报价</x:v>
      </x:c>
      <x:c r="D27" s="170" t="str">
        <x:v>首尾期独立、M/P不串行强绑、多SR/二次维修来源不丢</x:v>
      </x:c>
      <x:c r="E27" s="170" t="str">
        <x:f>IF(AND(O27="可供客户评审",P27&lt;&gt;""),IF(AND(F27="已确认",G27="已修改",H27="已通过",K27&lt;&gt;"",L27&lt;&gt;"",M27&lt;&gt;"",N27="是"),"已冻结",IF(F27&lt;&gt;"已确认","待客户确认",IF(G27&lt;&gt;"已修改","待原型整改",IF(H27&lt;&gt;"已通过","待业务验收","待补签收或阻塞证据")))),IF(O27="可供客户评审","待补内部评审证据",IF(O27="未开始","待内部梳理/走查",O27)))</x:f>
        <x:v>待内部梳理/走查</x:v>
      </x:c>
      <x:c r="F27" s="185" t="str">
        <x:v>待确认</x:v>
      </x:c>
      <x:c r="G27" s="185" t="str">
        <x:v>未整改</x:v>
      </x:c>
      <x:c r="H27" s="185" t="str">
        <x:v>未业务验收</x:v>
      </x:c>
      <x:c r="I27" s="185" t="str">
        <x:v>待指定实际人</x:v>
      </x:c>
      <x:c r="J27" s="185" t="str">
        <x:v>本期范围/本批关键规则及前置批次</x:v>
      </x:c>
      <x:c r="K27" s="185" t="str"/>
      <x:c r="L27" s="186" t="str"/>
      <x:c r="M27" s="185" t="str"/>
      <x:c r="N27" s="185" t="str">
        <x:v>否</x:v>
      </x:c>
      <x:c r="O27" s="227" t="str">
        <x:v>未开始</x:v>
      </x:c>
      <x:c r="P27" s="227"/>
    </x:row>
    <x:row r="28" ht="90" customHeight="1">
      <x:c r="A28" s="170" t="str">
        <x:v>B04</x:v>
      </x:c>
      <x:c r="B28" s="170" t="str">
        <x:v>标书业务</x:v>
      </x:c>
      <x:c r="C28" s="170" t="str">
        <x:v>应标、回标、六状态、结果及无报价履约</x:v>
      </x:c>
      <x:c r="D28" s="170" t="str">
        <x:v>已投标/取消/不投标可查；有报价与无报价两条履约均可达</x:v>
      </x:c>
      <x:c r="E28" s="170" t="str">
        <x:f>IF(AND(O28="可供客户评审",P28&lt;&gt;""),IF(AND(F28="已确认",G28="已修改",H28="已通过",K28&lt;&gt;"",L28&lt;&gt;"",M28&lt;&gt;"",N28="是"),"已冻结",IF(F28&lt;&gt;"已确认","待客户确认",IF(G28&lt;&gt;"已修改","待原型整改",IF(H28&lt;&gt;"已通过","待业务验收","待补签收或阻塞证据")))),IF(O28="可供客户评审","待补内部评审证据",IF(O28="未开始","待内部梳理/走查",O28)))</x:f>
        <x:v>待内部梳理/走查</x:v>
      </x:c>
      <x:c r="F28" s="185" t="str">
        <x:v>待确认</x:v>
      </x:c>
      <x:c r="G28" s="185" t="str">
        <x:v>未整改</x:v>
      </x:c>
      <x:c r="H28" s="185" t="str">
        <x:v>未业务验收</x:v>
      </x:c>
      <x:c r="I28" s="185" t="str">
        <x:v>待指定实际人</x:v>
      </x:c>
      <x:c r="J28" s="185" t="str">
        <x:v>本期范围/本批关键规则及前置批次</x:v>
      </x:c>
      <x:c r="K28" s="185" t="str"/>
      <x:c r="L28" s="186" t="str"/>
      <x:c r="M28" s="185" t="str"/>
      <x:c r="N28" s="185" t="str">
        <x:v>否</x:v>
      </x:c>
      <x:c r="O28" s="227" t="str">
        <x:v>未开始</x:v>
      </x:c>
      <x:c r="P28" s="227"/>
    </x:row>
    <x:row r="29" ht="90" customHeight="1">
      <x:c r="A29" s="170" t="str">
        <x:v>B05</x:v>
      </x:c>
      <x:c r="B29" s="170" t="str">
        <x:v>财务业务</x:v>
      </x:c>
      <x:c r="C29" s="170" t="str">
        <x:v>资料包、补件、例外、周期账单、开票、收款与对账</x:v>
      </x:c>
      <x:c r="D29" s="170" t="str">
        <x:v>普通成交能进入财务，正常/例外有证据与授权，完工/收款分开</x:v>
      </x:c>
      <x:c r="E29" s="170" t="str">
        <x:f>IF(AND(O29="可供客户评审",P29&lt;&gt;""),IF(AND(F29="已确认",G29="已修改",H29="已通过",K29&lt;&gt;"",L29&lt;&gt;"",M29&lt;&gt;"",N29="是"),"已冻结",IF(F29&lt;&gt;"已确认","待客户确认",IF(G29&lt;&gt;"已修改","待原型整改",IF(H29&lt;&gt;"已通过","待业务验收","待补签收或阻塞证据")))),IF(O29="可供客户评审","待补内部评审证据",IF(O29="未开始","待内部梳理/走查",O29)))</x:f>
        <x:v>走查中</x:v>
      </x:c>
      <x:c r="F29" s="185" t="str">
        <x:v>待确认</x:v>
      </x:c>
      <x:c r="G29" s="185" t="str">
        <x:f>'推进明细'!S40</x:f>
        <x:v>整改中</x:v>
      </x:c>
      <x:c r="H29" s="185" t="str">
        <x:v>未业务验收</x:v>
      </x:c>
      <x:c r="I29" s="185" t="str">
        <x:v>Codex（内部整合）；业务签收人待实际指定</x:v>
      </x:c>
      <x:c r="J29" s="185" t="str">
        <x:v>本期范围/本批关键规则及前置批次</x:v>
      </x:c>
      <x:c r="K29" s="185" t="str"/>
      <x:c r="L29" s="186" t="str"/>
      <x:c r="M29" s="185" t="str"/>
      <x:c r="N29" s="185" t="str">
        <x:v>否</x:v>
      </x:c>
      <x:c r="O29" s="227" t="str">
        <x:v>走查中</x:v>
      </x:c>
      <x:c r="P29" s="227" t="str">
        <x:v>docs/review/2026-10-14-sr-finance/SR-FINANCE-WALKTHROUGH.md 维修状态及CP只读共享；不自动财务接件/开票/收款，完整B05未验收</x:v>
      </x:c>
    </x:row>
    <x:row r="30" ht="90" customHeight="1">
      <x:c r="A30" s="170" t="str">
        <x:v>B06</x:v>
      </x:c>
      <x:c r="B30" s="170" t="str">
        <x:v>跨流程例外</x:v>
      </x:c>
      <x:c r="C30" s="170" t="str">
        <x:v>CM/PM冲突、现场款、取消、重开、关联对象及跨区授权</x:v>
      </x:c>
      <x:c r="D30" s="170" t="str">
        <x:v>只执行客户选定策略，原预约/原件/金额与关联历史保留</x:v>
      </x:c>
      <x:c r="E30" s="170" t="str">
        <x:f>IF(AND(O30="可供客户评审",P30&lt;&gt;""),IF(AND(F30="已确认",G30="已修改",H30="已通过",K30&lt;&gt;"",L30&lt;&gt;"",M30&lt;&gt;"",N30="是"),"已冻结",IF(F30&lt;&gt;"已确认","待客户确认",IF(G30&lt;&gt;"已修改","待原型整改",IF(H30&lt;&gt;"已通过","待业务验收","待补签收或阻塞证据")))),IF(O30="可供客户评审","待补内部评审证据",IF(O30="未开始","待内部梳理/走查",O30)))</x:f>
        <x:v>待内部梳理/走查</x:v>
      </x:c>
      <x:c r="F30" s="185" t="str">
        <x:v>待确认</x:v>
      </x:c>
      <x:c r="G30" s="185" t="str">
        <x:v>未整改</x:v>
      </x:c>
      <x:c r="H30" s="185" t="str">
        <x:v>未业务验收</x:v>
      </x:c>
      <x:c r="I30" s="185" t="str">
        <x:v>待指定实际人</x:v>
      </x:c>
      <x:c r="J30" s="185" t="str">
        <x:v>本期范围/本批关键规则及前置批次</x:v>
      </x:c>
      <x:c r="K30" s="185" t="str"/>
      <x:c r="L30" s="186" t="str"/>
      <x:c r="M30" s="185" t="str"/>
      <x:c r="N30" s="185" t="str">
        <x:v>否</x:v>
      </x:c>
      <x:c r="O30" s="227" t="str">
        <x:v>未开始</x:v>
      </x:c>
      <x:c r="P30" s="227"/>
    </x:row>
    <x:row r="31" ht="90" customHeight="1">
      <x:c r="A31" s="170" t="str">
        <x:v>B07</x:v>
      </x:c>
      <x:c r="B31" s="170" t="str">
        <x:v>全链定版</x:v>
      </x:c>
      <x:c r="C31" s="170" t="str">
        <x:v>本期正常/异常、角色交接、通知、权限和客户签收</x:v>
      </x:c>
      <x:c r="D31" s="170" t="str">
        <x:v>本期阻塞关闭，确认表/原型版本/验收证据对应并签收</x:v>
      </x:c>
      <x:c r="E31" s="170" t="str">
        <x:f>IF(AND(O31="可供客户评审",P31&lt;&gt;""),IF(AND(F31="已确认",G31="已修改",H31="已通过",K31&lt;&gt;"",L31&lt;&gt;"",M31&lt;&gt;"",N31="是"),"已冻结",IF(F31&lt;&gt;"已确认","待客户确认",IF(G31&lt;&gt;"已修改","待原型整改",IF(H31&lt;&gt;"已通过","待业务验收","待补签收或阻塞证据")))),IF(O31="可供客户评审","待补内部评审证据",IF(O31="未开始","待内部梳理/走查",O31)))</x:f>
        <x:v>待内部梳理/走查</x:v>
      </x:c>
      <x:c r="F31" s="185" t="str">
        <x:v>待确认</x:v>
      </x:c>
      <x:c r="G31" s="185" t="str">
        <x:v>未整改</x:v>
      </x:c>
      <x:c r="H31" s="185" t="str">
        <x:v>未业务验收</x:v>
      </x:c>
      <x:c r="I31" s="185" t="str">
        <x:v>待指定实际人</x:v>
      </x:c>
      <x:c r="J31" s="185" t="str">
        <x:v>本期范围/本批关键规则及前置批次</x:v>
      </x:c>
      <x:c r="K31" s="185" t="str"/>
      <x:c r="L31" s="186" t="str"/>
      <x:c r="M31" s="185" t="str"/>
      <x:c r="N31" s="185" t="str">
        <x:v>否</x:v>
      </x:c>
      <x:c r="O31" s="227" t="str">
        <x:v>未开始</x:v>
      </x:c>
      <x:c r="P31" s="227"/>
    </x:row>
  </x:sheetData>
  <x:mergeCells>
    <x:mergeCell ref="A1:J1"/>
    <x:mergeCell ref="A2:J2"/>
  </x:mergeCells>
  <x:conditionalFormatting sqref="E5:E20">
    <x:cfRule type="containsText" dxfId="26" priority="1" operator="containsText" text="已完成"/>
    <x:cfRule type="containsText" dxfId="27" priority="2" operator="containsText" text="PASS"/>
    <x:cfRule type="containsText" dxfId="28" priority="3" operator="containsText" text="基本完成"/>
    <x:cfRule type="containsText" dxfId="29" priority="4" operator="containsText" text="部分完成"/>
    <x:cfRule type="containsText" dxfId="30" priority="5" operator="containsText" text="部分通过"/>
    <x:cfRule type="containsText" dxfId="31" priority="6" operator="containsText" text="修复中"/>
    <x:cfRule type="containsText" dxfId="32" priority="7" operator="containsText" text="待收口"/>
    <x:cfRule type="containsText" dxfId="33" priority="8" operator="containsText" text="待验收"/>
    <x:cfRule type="containsText" dxfId="34" priority="9" operator="containsText" text="待确认"/>
    <x:cfRule type="containsText" dxfId="35" priority="10" operator="containsText" text="待开发"/>
    <x:cfRule type="containsText" dxfId="36" priority="11" operator="containsText" text="BLOCKED"/>
    <x:cfRule type="containsText" dxfId="37" priority="12" operator="containsText" text="未开始"/>
    <x:cfRule type="containsText" dxfId="38" priority="13" operator="containsText" text="未完成"/>
  </x:conditionalFormatting>
  <x:conditionalFormatting sqref="G5:G20">
    <x:cfRule type="dataBar" priority="14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{2766924D-512E-A0BA-337A-14511178730F}</x14:id>
        </x:ext>
      </x:extLst>
    </x:cfRule>
  </x:conditionalFormatting>
  <x:dataValidations count="8">
    <x:dataValidation type="decimal" operator="between" sqref="G5:G20">
      <x:formula1>0</x:formula1>
      <x:formula2>1</x:formula2>
    </x:dataValidation>
    <x:dataValidation type="list" sqref="E5:E20">
      <x:formula1>"基本完成,部分完成,待收口,未开始,BLOCKED"</x:formula1>
    </x:dataValidation>
    <x:dataValidation type="list" sqref="H5:H20">
      <x:formula1>"P0,P1,P2,P3"</x:formula1>
    </x:dataValidation>
    <x:dataValidation type="list" sqref="F25:F31">
      <x:formula1>"待确认,已确认,不适用"</x:formula1>
    </x:dataValidation>
    <x:dataValidation type="list" sqref="G25:G31">
      <x:formula1>"未整改,整改中,已修改,不适用"</x:formula1>
    </x:dataValidation>
    <x:dataValidation type="list" sqref="H25:H31">
      <x:formula1>"未业务验收,验收中,已通过,不适用"</x:formula1>
    </x:dataValidation>
    <x:dataValidation type="list" sqref="N25:N31">
      <x:formula1>"否,是"</x:formula1>
    </x:dataValidation>
    <x:dataValidation type="list" sqref="O25:O31">
      <x:formula1>"未开始,梳理中,走查中,整改复测中,可供客户评审"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0bf128e95e314234"/>
    <x:tablePart xmlns:r="http://schemas.openxmlformats.org/officeDocument/2006/relationships" r:id="R359724170c4044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2766924D-512E-A0BA-337A-14511178730F}">
            <x14:dataBar gradient="1">
              <x14:cfvo type="min"/>
              <x14:cfvo type="max"/>
              <x14:fillColor rgb="FF4F46E5"/>
            </x14:dataBar>
          </x14:cfRule>
          <xm:sqref>G5:G20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40" hidden="0" customWidth="1"/>
    <x:col min="4" max="4" width="18" hidden="0" customWidth="1"/>
    <x:col min="5" max="5" width="10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52" hidden="0" customWidth="1"/>
    <x:col min="12" max="12" width="36" hidden="0" customWidth="1"/>
    <x:col min="13" max="13" width="36" hidden="0" customWidth="1"/>
    <x:col min="14" max="14" width="20" hidden="0" customWidth="1"/>
    <x:col min="15" max="15" width="20" hidden="0" customWidth="1"/>
    <x:col min="16" max="16" width="20" hidden="0" customWidth="1"/>
    <x:col min="17" max="17" width="28" hidden="0" customWidth="1"/>
    <x:col min="18" max="18" width="20" hidden="0" customWidth="1"/>
    <x:col min="19" max="19" width="20" hidden="0" customWidth="1"/>
    <x:col min="20" max="20" width="20" hidden="0" customWidth="1"/>
    <x:col min="21" max="21" width="44" hidden="0" customWidth="1"/>
    <x:col min="22" max="22" width="20" hidden="0" customWidth="1"/>
  </x:cols>
  <x:sheetData>
    <x:row r="1" ht="34" customHeight="1">
      <x:c r="A1" s="3" t="str">
        <x:v>项目推进明细</x:v>
      </x:c>
      <x:c r="B1" s="3" t="str">
        <x:v>项目推进明细</x:v>
      </x:c>
      <x:c r="C1" s="3" t="str">
        <x:v>项目推进明细</x:v>
      </x:c>
      <x:c r="D1" s="3" t="str">
        <x:v>项目推进明细</x:v>
      </x:c>
      <x:c r="E1" s="3" t="str">
        <x:v>项目推进明细</x:v>
      </x:c>
      <x:c r="F1" s="3" t="str">
        <x:v>项目推进明细</x:v>
      </x:c>
      <x:c r="G1" s="3" t="str">
        <x:v>项目推进明细</x:v>
      </x:c>
      <x:c r="H1" s="3" t="str">
        <x:v>项目推进明细</x:v>
      </x:c>
      <x:c r="I1" s="3" t="str">
        <x:v>项目推进明细</x:v>
      </x:c>
      <x:c r="J1" s="3" t="str">
        <x:v>项目推进明细</x:v>
      </x:c>
      <x:c r="K1" s="3" t="str">
        <x:v>项目推进明细</x:v>
      </x:c>
      <x:c r="L1" s="3" t="str">
        <x:v>项目推进明细</x:v>
      </x:c>
      <x:c r="M1" s="3" t="str">
        <x:v>项目推进明细</x:v>
      </x:c>
      <x:c r="N1" s="3" t="str">
        <x:v>项目推进明细</x:v>
      </x:c>
    </x:row>
    <x:row r="2" ht="25" customHeight="1">
      <x:c r="A2" s="113" t="str">
        <x:v>仅“本期定稿”行计当前任务；旧开发排期和状态折算百分比停用。实际维护人、日期、客户批准和全链验收未提供时保持待定。</x:v>
      </x:c>
      <x:c r="B2" s="113" t="str">
        <x:v>状态可直接编辑；完成度由状态公式自动换算。筛选 P0＋非“已完成”即可查看当前主线。责任方暂按角色，PEND-01 确认后替换为姓名；未来日期为建议基线。</x:v>
      </x:c>
      <x:c r="C2" s="113" t="str">
        <x:v>状态可直接编辑；完成度由状态公式自动换算。筛选 P0＋非“已完成”即可查看当前主线。责任方暂按角色，PEND-01 确认后替换为姓名；未来日期为建议基线。</x:v>
      </x:c>
      <x:c r="D2" s="113" t="str">
        <x:v>状态可直接编辑；完成度由状态公式自动换算。筛选 P0＋非“已完成”即可查看当前主线。责任方暂按角色，PEND-01 确认后替换为姓名；未来日期为建议基线。</x:v>
      </x:c>
      <x:c r="E2" s="113" t="str">
        <x:v>状态可直接编辑；完成度由状态公式自动换算。筛选 P0＋非“已完成”即可查看当前主线。责任方暂按角色，PEND-01 确认后替换为姓名；未来日期为建议基线。</x:v>
      </x:c>
      <x:c r="F2" s="113" t="str">
        <x:v>状态可直接编辑；完成度由状态公式自动换算。筛选 P0＋非“已完成”即可查看当前主线。责任方暂按角色，PEND-01 确认后替换为姓名；未来日期为建议基线。</x:v>
      </x:c>
      <x:c r="G2" s="113" t="str">
        <x:v>状态可直接编辑；完成度由状态公式自动换算。筛选 P0＋非“已完成”即可查看当前主线。责任方暂按角色，PEND-01 确认后替换为姓名；未来日期为建议基线。</x:v>
      </x:c>
      <x:c r="H2" s="113" t="str">
        <x:v>状态可直接编辑；完成度由状态公式自动换算。筛选 P0＋非“已完成”即可查看当前主线。责任方暂按角色，PEND-01 确认后替换为姓名；未来日期为建议基线。</x:v>
      </x:c>
      <x:c r="I2" s="113" t="str">
        <x:v>状态可直接编辑；完成度由状态公式自动换算。筛选 P0＋非“已完成”即可查看当前主线。责任方暂按角色，PEND-01 确认后替换为姓名；未来日期为建议基线。</x:v>
      </x:c>
      <x:c r="J2" s="113" t="str">
        <x:v>状态可直接编辑；完成度由状态公式自动换算。筛选 P0＋非“已完成”即可查看当前主线。责任方暂按角色，PEND-01 确认后替换为姓名；未来日期为建议基线。</x:v>
      </x:c>
      <x:c r="K2" s="113" t="str">
        <x:v>状态可直接编辑；完成度由状态公式自动换算。筛选 P0＋非“已完成”即可查看当前主线。责任方暂按角色，PEND-01 确认后替换为姓名；未来日期为建议基线。</x:v>
      </x:c>
      <x:c r="L2" s="113" t="str">
        <x:v>状态可直接编辑；完成度由状态公式自动换算。筛选 P0＋非“已完成”即可查看当前主线。责任方暂按角色，PEND-01 确认后替换为姓名；未来日期为建议基线。</x:v>
      </x:c>
      <x:c r="M2" s="113" t="str">
        <x:v>状态可直接编辑；完成度由状态公式自动换算。筛选 P0＋非“已完成”即可查看当前主线。责任方暂按角色，PEND-01 确认后替换为姓名；未来日期为建议基线。</x:v>
      </x:c>
      <x:c r="N2" s="113" t="str">
        <x:v>状态可直接编辑；完成度由状态公式自动换算。筛选 P0＋非“已完成”即可查看当前主线。责任方暂按角色，PEND-01 确认后替换为姓名；未来日期为建议基线。</x:v>
      </x:c>
    </x:row>
    <x:row r="3" ht="8" customHeight="1"/>
    <x:row r="4" ht="34" customHeight="1">
      <x:c r="A4" s="90" t="str">
        <x:v>任务ID</x:v>
      </x:c>
      <x:c r="B4" s="91" t="str">
        <x:v>功能模块</x:v>
      </x:c>
      <x:c r="C4" s="91" t="str">
        <x:v>任务名称</x:v>
      </x:c>
      <x:c r="D4" s="91" t="str">
        <x:v>类型</x:v>
      </x:c>
      <x:c r="E4" s="91" t="str">
        <x:v>优先级</x:v>
      </x:c>
      <x:c r="F4" s="91" t="str">
        <x:v>责任方</x:v>
      </x:c>
      <x:c r="G4" s="91" t="str">
        <x:v>状态</x:v>
      </x:c>
      <x:c r="H4" s="91" t="str">
        <x:v>计划开始</x:v>
      </x:c>
      <x:c r="I4" s="91" t="str">
        <x:v>计划完成</x:v>
      </x:c>
      <x:c r="J4" s="91" t="str">
        <x:v>完成标志（不折算%）</x:v>
      </x:c>
      <x:c r="K4" s="91" t="str">
        <x:v>验收标准／完成条件</x:v>
      </x:c>
      <x:c r="L4" s="91" t="str">
        <x:v>阻塞原因</x:v>
      </x:c>
      <x:c r="M4" s="91" t="str">
        <x:v>下一步</x:v>
      </x:c>
      <x:c r="N4" s="92" t="str">
        <x:v>里程碑</x:v>
      </x:c>
      <x:c r="O4" s="167" t="str">
        <x:v>记录口径</x:v>
      </x:c>
      <x:c r="P4" s="167" t="str">
        <x:v>业务批次</x:v>
      </x:c>
      <x:c r="Q4" s="167" t="str">
        <x:v>依赖</x:v>
      </x:c>
      <x:c r="R4" s="167" t="str">
        <x:v>客户确认</x:v>
      </x:c>
      <x:c r="S4" s="167" t="str">
        <x:v>原型修改</x:v>
      </x:c>
      <x:c r="T4" s="167" t="str">
        <x:v>业务验收</x:v>
      </x:c>
      <x:c r="U4" s="167" t="str">
        <x:v>来源/证据</x:v>
      </x:c>
      <x:c r="V4" s="167" t="str">
        <x:v>实际维护人</x:v>
      </x:c>
    </x:row>
    <x:row r="5" ht="38" customHeight="1">
      <x:c r="A5" s="100" t="str">
        <x:v>TASK-001</x:v>
      </x:c>
      <x:c r="B5" s="100" t="str">
        <x:v>需求与范围治理</x:v>
      </x:c>
      <x:c r="C5" s="100" t="str">
        <x:v>完成材料索引、需求分析和现状梳理</x:v>
      </x:c>
      <x:c r="D5" s="100" t="str">
        <x:v>需求</x:v>
      </x:c>
      <x:c r="E5" s="100" t="str">
        <x:v>P0</x:v>
      </x:c>
      <x:c r="F5" s="100" t="str">
        <x:v>产品负责人／业务分析</x:v>
      </x:c>
      <x:c r="G5" s="100" t="str">
        <x:v>历史记录待复核</x:v>
      </x:c>
      <x:c r="H5" s="138"/>
      <x:c r="I5" s="138"/>
      <x:c r="J5" s="182"/>
      <x:c r="K5" s="100" t="str">
        <x:v>材料、需求和项目状态报告可追溯</x:v>
      </x:c>
      <x:c r="L5" s="100" t="str"/>
      <x:c r="M5" s="100" t="str">
        <x:v>保持来源索引</x:v>
      </x:c>
      <x:c r="N5" s="100" t="str">
        <x:v>M0 资料与需求</x:v>
      </x:c>
      <x:c r="O5" s="170" t="str">
        <x:v>历史参考</x:v>
      </x:c>
      <x:c r="P5" s="170" t="str">
        <x:v>待归批</x:v>
      </x:c>
      <x:c r="Q5" s="170" t="str">
        <x:v>以本期范围和关键规则为前置</x:v>
      </x:c>
      <x:c r="R5" s="170" t="str">
        <x:v>待确认</x:v>
      </x:c>
      <x:c r="S5" s="170" t="str">
        <x:v>待当前版本复核</x:v>
      </x:c>
      <x:c r="T5" s="170" t="str">
        <x:v>未业务验收</x:v>
      </x:c>
      <x:c r="U5" s="170" t="str">
        <x:v>旧主台账2026-08-31；不沿用旧完成度</x:v>
      </x:c>
      <x:c r="V5" s="170" t="str">
        <x:v>待指定</x:v>
      </x:c>
    </x:row>
    <x:row r="6" ht="38" customHeight="1">
      <x:c r="A6" s="101" t="str">
        <x:v>TASK-002</x:v>
      </x:c>
      <x:c r="B6" s="101" t="str">
        <x:v>需求与范围治理</x:v>
      </x:c>
      <x:c r="C6" s="101" t="str">
        <x:v>形成一期 MVP PRD 与详细规格</x:v>
      </x:c>
      <x:c r="D6" s="101" t="str">
        <x:v>需求</x:v>
      </x:c>
      <x:c r="E6" s="101" t="str">
        <x:v>P0</x:v>
      </x:c>
      <x:c r="F6" s="101" t="str">
        <x:v>产品负责人</x:v>
      </x:c>
      <x:c r="G6" s="101" t="str">
        <x:v>历史记录待复核</x:v>
      </x:c>
      <x:c r="H6" s="139"/>
      <x:c r="I6" s="139"/>
      <x:c r="J6" s="183"/>
      <x:c r="K6" s="101" t="str">
        <x:v>PRD、详细规格和质量清单完成</x:v>
      </x:c>
      <x:c r="L6" s="101" t="str"/>
      <x:c r="M6" s="101" t="str">
        <x:v>提交客户确认</x:v>
      </x:c>
      <x:c r="N6" s="101" t="str">
        <x:v>M0 资料与需求</x:v>
      </x:c>
      <x:c r="O6" s="170" t="str">
        <x:v>历史参考</x:v>
      </x:c>
      <x:c r="P6" s="170" t="str">
        <x:v>待归批</x:v>
      </x:c>
      <x:c r="Q6" s="170" t="str">
        <x:v>以本期范围和关键规则为前置</x:v>
      </x:c>
      <x:c r="R6" s="170" t="str">
        <x:v>待确认</x:v>
      </x:c>
      <x:c r="S6" s="170" t="str">
        <x:v>待当前版本复核</x:v>
      </x:c>
      <x:c r="T6" s="170" t="str">
        <x:v>未业务验收</x:v>
      </x:c>
      <x:c r="U6" s="170" t="str">
        <x:v>旧主台账2026-08-31；不沿用旧完成度</x:v>
      </x:c>
      <x:c r="V6" s="170" t="str">
        <x:v>待指定</x:v>
      </x:c>
    </x:row>
    <x:row r="7" ht="38" customHeight="1">
      <x:c r="A7" s="101" t="str">
        <x:v>TASK-003</x:v>
      </x:c>
      <x:c r="B7" s="101" t="str">
        <x:v>交互原型与公网发布</x:v>
      </x:c>
      <x:c r="C7" s="101" t="str">
        <x:v>完成旧版 MVP 原型固化和验收记录</x:v>
      </x:c>
      <x:c r="D7" s="101" t="str">
        <x:v>原型／评审</x:v>
      </x:c>
      <x:c r="E7" s="101" t="str">
        <x:v>P0</x:v>
      </x:c>
      <x:c r="F7" s="101" t="str">
        <x:v>产品负责人／设计</x:v>
      </x:c>
      <x:c r="G7" s="101" t="str">
        <x:v>历史记录待复核</x:v>
      </x:c>
      <x:c r="H7" s="139"/>
      <x:c r="I7" s="139"/>
      <x:c r="J7" s="183"/>
      <x:c r="K7" s="101" t="str">
        <x:v>原型截图、范围检查和问题清单完成</x:v>
      </x:c>
      <x:c r="L7" s="101" t="str"/>
      <x:c r="M7" s="101" t="str">
        <x:v>以当前 ui-prototype 复核</x:v>
      </x:c>
      <x:c r="N7" s="101" t="str">
        <x:v>M0 原型基线</x:v>
      </x:c>
      <x:c r="O7" s="170" t="str">
        <x:v>历史参考</x:v>
      </x:c>
      <x:c r="P7" s="170" t="str">
        <x:v>待归批</x:v>
      </x:c>
      <x:c r="Q7" s="170" t="str">
        <x:v>以本期范围和关键规则为前置</x:v>
      </x:c>
      <x:c r="R7" s="170" t="str">
        <x:v>待确认</x:v>
      </x:c>
      <x:c r="S7" s="170" t="str">
        <x:v>待当前版本复核</x:v>
      </x:c>
      <x:c r="T7" s="170" t="str">
        <x:v>未业务验收</x:v>
      </x:c>
      <x:c r="U7" s="170" t="str">
        <x:v>旧主台账2026-08-31；不沿用旧完成度</x:v>
      </x:c>
      <x:c r="V7" s="170" t="str">
        <x:v>待指定</x:v>
      </x:c>
    </x:row>
    <x:row r="8" ht="38" customHeight="1">
      <x:c r="A8" s="101" t="str">
        <x:v>TASK-004</x:v>
      </x:c>
      <x:c r="B8" s="101" t="str">
        <x:v>交互原型与公网发布</x:v>
      </x:c>
      <x:c r="C8" s="101" t="str">
        <x:v>完成多角色 PC／移动端全流程演示</x:v>
      </x:c>
      <x:c r="D8" s="101" t="str">
        <x:v>原型</x:v>
      </x:c>
      <x:c r="E8" s="101" t="str">
        <x:v>P0</x:v>
      </x:c>
      <x:c r="F8" s="101" t="str">
        <x:v>产品设计／前端</x:v>
      </x:c>
      <x:c r="G8" s="101" t="str">
        <x:v>历史记录待复核</x:v>
      </x:c>
      <x:c r="H8" s="139"/>
      <x:c r="I8" s="139"/>
      <x:c r="J8" s="183"/>
      <x:c r="K8" s="101" t="str">
        <x:v>CALL、分派、移动执行和报告链路可演示</x:v>
      </x:c>
      <x:c r="L8" s="101" t="str"/>
      <x:c r="M8" s="101" t="str">
        <x:v>保持版本可访问</x:v>
      </x:c>
      <x:c r="N8" s="101" t="str">
        <x:v>M0 原型基线</x:v>
      </x:c>
      <x:c r="O8" s="170" t="str">
        <x:v>历史参考</x:v>
      </x:c>
      <x:c r="P8" s="170" t="str">
        <x:v>待归批</x:v>
      </x:c>
      <x:c r="Q8" s="170" t="str">
        <x:v>以本期范围和关键规则为前置</x:v>
      </x:c>
      <x:c r="R8" s="170" t="str">
        <x:v>待确认</x:v>
      </x:c>
      <x:c r="S8" s="170" t="str">
        <x:v>待当前版本复核</x:v>
      </x:c>
      <x:c r="T8" s="170" t="str">
        <x:v>未业务验收</x:v>
      </x:c>
      <x:c r="U8" s="170" t="str">
        <x:v>旧主台账2026-08-31；不沿用旧完成度</x:v>
      </x:c>
      <x:c r="V8" s="170" t="str">
        <x:v>待指定</x:v>
      </x:c>
    </x:row>
    <x:row r="9" ht="38" customHeight="1">
      <x:c r="A9" s="101" t="str">
        <x:v>TASK-005</x:v>
      </x:c>
      <x:c r="B9" s="101" t="str">
        <x:v>报价采购财务扩展原型</x:v>
      </x:c>
      <x:c r="C9" s="101" t="str">
        <x:v>完成报价、标书、备货、会计和完工纸演示</x:v>
      </x:c>
      <x:c r="D9" s="101" t="str">
        <x:v>原型</x:v>
      </x:c>
      <x:c r="E9" s="101" t="str">
        <x:v>P2</x:v>
      </x:c>
      <x:c r="F9" s="101" t="str">
        <x:v>产品设计／前端</x:v>
      </x:c>
      <x:c r="G9" s="101" t="str">
        <x:v>历史记录待复核</x:v>
      </x:c>
      <x:c r="H9" s="139"/>
      <x:c r="I9" s="139"/>
      <x:c r="J9" s="183"/>
      <x:c r="K9" s="101" t="str">
        <x:v>扩展模块在原型中可演示</x:v>
      </x:c>
      <x:c r="L9" s="101" t="str">
        <x:v>超出一期 P0，需范围决策</x:v>
      </x:c>
      <x:c r="M9" s="101" t="str">
        <x:v>纳入变更池评审</x:v>
      </x:c>
      <x:c r="N9" s="101" t="str">
        <x:v>M0 原型基线</x:v>
      </x:c>
      <x:c r="O9" s="170" t="str">
        <x:v>历史参考</x:v>
      </x:c>
      <x:c r="P9" s="170" t="str">
        <x:v>待归批</x:v>
      </x:c>
      <x:c r="Q9" s="170" t="str">
        <x:v>以本期范围和关键规则为前置</x:v>
      </x:c>
      <x:c r="R9" s="170" t="str">
        <x:v>待确认</x:v>
      </x:c>
      <x:c r="S9" s="170" t="str">
        <x:v>待当前版本复核</x:v>
      </x:c>
      <x:c r="T9" s="170" t="str">
        <x:v>未业务验收</x:v>
      </x:c>
      <x:c r="U9" s="170" t="str">
        <x:v>旧主台账2026-08-31；不沿用旧完成度</x:v>
      </x:c>
      <x:c r="V9" s="170" t="str">
        <x:v>待指定</x:v>
      </x:c>
    </x:row>
    <x:row r="10" ht="38" customHeight="1">
      <x:c r="A10" s="101" t="str">
        <x:v>TASK-006</x:v>
      </x:c>
      <x:c r="B10" s="101" t="str">
        <x:v>交互原型与公网发布</x:v>
      </x:c>
      <x:c r="C10" s="101" t="str">
        <x:v>发布 GitHub Pages 公网原型</x:v>
      </x:c>
      <x:c r="D10" s="101" t="str">
        <x:v>发布</x:v>
      </x:c>
      <x:c r="E10" s="101" t="str">
        <x:v>P0</x:v>
      </x:c>
      <x:c r="F10" s="101" t="str">
        <x:v>前端／项目负责人</x:v>
      </x:c>
      <x:c r="G10" s="101" t="str">
        <x:v>历史记录待复核</x:v>
      </x:c>
      <x:c r="H10" s="139"/>
      <x:c r="I10" s="139"/>
      <x:c r="J10" s="183"/>
      <x:c r="K10" s="101" t="str">
        <x:v>公网地址返回 HTTP 200，版本对应 main</x:v>
      </x:c>
      <x:c r="L10" s="101" t="str"/>
      <x:c r="M10" s="101" t="str">
        <x:v>每次 main 更新后自动发布</x:v>
      </x:c>
      <x:c r="N10" s="101" t="str">
        <x:v>M0 原型基线</x:v>
      </x:c>
      <x:c r="O10" s="170" t="str">
        <x:v>历史参考</x:v>
      </x:c>
      <x:c r="P10" s="170" t="str">
        <x:v>待归批</x:v>
      </x:c>
      <x:c r="Q10" s="170" t="str">
        <x:v>以本期范围和关键规则为前置</x:v>
      </x:c>
      <x:c r="R10" s="170" t="str">
        <x:v>待确认</x:v>
      </x:c>
      <x:c r="S10" s="170" t="str">
        <x:v>待当前版本复核</x:v>
      </x:c>
      <x:c r="T10" s="170" t="str">
        <x:v>未业务验收</x:v>
      </x:c>
      <x:c r="U10" s="170" t="str">
        <x:v>旧主台账2026-08-31；不沿用旧完成度</x:v>
      </x:c>
      <x:c r="V10" s="170" t="str">
        <x:v>待指定</x:v>
      </x:c>
    </x:row>
    <x:row r="11" ht="38" customHeight="1">
      <x:c r="A11" s="101" t="str">
        <x:v>TASK-007</x:v>
      </x:c>
      <x:c r="B11" s="101" t="str">
        <x:v>派单、角色与数据权限</x:v>
      </x:c>
      <x:c r="C11" s="101" t="str">
        <x:v>完成角色切换、侧边栏、分派中心和人员样例优化</x:v>
      </x:c>
      <x:c r="D11" s="101" t="str">
        <x:v>原型</x:v>
      </x:c>
      <x:c r="E11" s="101" t="str">
        <x:v>P0</x:v>
      </x:c>
      <x:c r="F11" s="101" t="str">
        <x:v>产品设计／前端</x:v>
      </x:c>
      <x:c r="G11" s="101" t="str">
        <x:v>历史记录待复核</x:v>
      </x:c>
      <x:c r="H11" s="139"/>
      <x:c r="I11" s="139"/>
      <x:c r="J11" s="183"/>
      <x:c r="K11" s="101" t="str">
        <x:v>角色入口和分派中心演示可用</x:v>
      </x:c>
      <x:c r="L11" s="101" t="str"/>
      <x:c r="M11" s="101" t="str">
        <x:v>等待真实权限 POC</x:v>
      </x:c>
      <x:c r="N11" s="101" t="str">
        <x:v>M0 原型基线</x:v>
      </x:c>
      <x:c r="O11" s="170" t="str">
        <x:v>历史参考</x:v>
      </x:c>
      <x:c r="P11" s="170" t="str">
        <x:v>待归批</x:v>
      </x:c>
      <x:c r="Q11" s="170" t="str">
        <x:v>以本期范围和关键规则为前置</x:v>
      </x:c>
      <x:c r="R11" s="170" t="str">
        <x:v>待确认</x:v>
      </x:c>
      <x:c r="S11" s="170" t="str">
        <x:v>待当前版本复核</x:v>
      </x:c>
      <x:c r="T11" s="170" t="str">
        <x:v>未业务验收</x:v>
      </x:c>
      <x:c r="U11" s="170" t="str">
        <x:v>旧主台账2026-08-31；不沿用旧完成度</x:v>
      </x:c>
      <x:c r="V11" s="170" t="str">
        <x:v>待指定</x:v>
      </x:c>
    </x:row>
    <x:row r="12" ht="38" customHeight="1">
      <x:c r="A12" s="101" t="str">
        <x:v>TASK-008</x:v>
      </x:c>
      <x:c r="B12" s="101" t="str">
        <x:v>交互原型与公网发布</x:v>
      </x:c>
      <x:c r="C12" s="101" t="str">
        <x:v>修复 JS 语法并优化备货管理</x:v>
      </x:c>
      <x:c r="D12" s="101" t="str">
        <x:v>修复</x:v>
      </x:c>
      <x:c r="E12" s="101" t="str">
        <x:v>P0</x:v>
      </x:c>
      <x:c r="F12" s="101" t="str">
        <x:v>前端</x:v>
      </x:c>
      <x:c r="G12" s="101" t="str">
        <x:v>历史记录待复核</x:v>
      </x:c>
      <x:c r="H12" s="139"/>
      <x:c r="I12" s="139"/>
      <x:c r="J12" s="183"/>
      <x:c r="K12" s="101" t="str">
        <x:v>main 提交 c2d9c4b 已发布</x:v>
      </x:c>
      <x:c r="L12" s="101" t="str"/>
      <x:c r="M12" s="101" t="str">
        <x:v>纳入当前评审版本</x:v>
      </x:c>
      <x:c r="N12" s="101" t="str">
        <x:v>M0 原型基线</x:v>
      </x:c>
      <x:c r="O12" s="170" t="str">
        <x:v>历史参考</x:v>
      </x:c>
      <x:c r="P12" s="170" t="str">
        <x:v>待归批</x:v>
      </x:c>
      <x:c r="Q12" s="170" t="str">
        <x:v>以本期范围和关键规则为前置</x:v>
      </x:c>
      <x:c r="R12" s="170" t="str">
        <x:v>待确认</x:v>
      </x:c>
      <x:c r="S12" s="170" t="str">
        <x:v>待当前版本复核</x:v>
      </x:c>
      <x:c r="T12" s="170" t="str">
        <x:v>未业务验收</x:v>
      </x:c>
      <x:c r="U12" s="170" t="str">
        <x:v>旧主台账2026-08-31；不沿用旧完成度</x:v>
      </x:c>
      <x:c r="V12" s="170" t="str">
        <x:v>待指定</x:v>
      </x:c>
    </x:row>
    <x:row r="13" ht="38" customHeight="1">
      <x:c r="A13" s="101" t="str">
        <x:v>TASK-009</x:v>
      </x:c>
      <x:c r="B13" s="101" t="str">
        <x:v>需求与范围治理</x:v>
      </x:c>
      <x:c r="C13" s="101" t="str">
        <x:v>复核仓库与 GitHub 最新版本一致</x:v>
      </x:c>
      <x:c r="D13" s="101" t="str">
        <x:v>版本治理</x:v>
      </x:c>
      <x:c r="E13" s="101" t="str">
        <x:v>P0</x:v>
      </x:c>
      <x:c r="F13" s="101" t="str">
        <x:v>项目负责人</x:v>
      </x:c>
      <x:c r="G13" s="101" t="str">
        <x:v>历史记录待复核</x:v>
      </x:c>
      <x:c r="H13" s="139"/>
      <x:c r="I13" s="139"/>
      <x:c r="J13" s="183"/>
      <x:c r="K13" s="101" t="str">
        <x:v>本地 main 与 origin/main 一致</x:v>
      </x:c>
      <x:c r="L13" s="101" t="str"/>
      <x:c r="M13" s="101" t="str">
        <x:v>保持单一评审基线</x:v>
      </x:c>
      <x:c r="N13" s="101" t="str">
        <x:v>M0 原型基线</x:v>
      </x:c>
      <x:c r="O13" s="170" t="str">
        <x:v>历史参考</x:v>
      </x:c>
      <x:c r="P13" s="170" t="str">
        <x:v>待归批</x:v>
      </x:c>
      <x:c r="Q13" s="170" t="str">
        <x:v>以本期范围和关键规则为前置</x:v>
      </x:c>
      <x:c r="R13" s="170" t="str">
        <x:v>待确认</x:v>
      </x:c>
      <x:c r="S13" s="170" t="str">
        <x:v>待当前版本复核</x:v>
      </x:c>
      <x:c r="T13" s="170" t="str">
        <x:v>未业务验收</x:v>
      </x:c>
      <x:c r="U13" s="170" t="str">
        <x:v>旧主台账2026-08-31；不沿用旧完成度</x:v>
      </x:c>
      <x:c r="V13" s="170" t="str">
        <x:v>待指定</x:v>
      </x:c>
    </x:row>
    <x:row r="14" ht="38" customHeight="1">
      <x:c r="A14" s="101" t="str">
        <x:v>TASK-010</x:v>
      </x:c>
      <x:c r="B14" s="101" t="str">
        <x:v>交互原型与公网发布</x:v>
      </x:c>
      <x:c r="C14" s="101" t="str">
        <x:v>按当前 PRD 复核最新版原型范围与主流程</x:v>
      </x:c>
      <x:c r="D14" s="101" t="str">
        <x:v>评审</x:v>
      </x:c>
      <x:c r="E14" s="101" t="str">
        <x:v>P0</x:v>
      </x:c>
      <x:c r="F14" s="101" t="str">
        <x:v>产品负责人／测试验收</x:v>
      </x:c>
      <x:c r="G14" s="101" t="str">
        <x:v>历史记录待复核</x:v>
      </x:c>
      <x:c r="H14" s="139"/>
      <x:c r="I14" s="139"/>
      <x:c r="J14" s="183"/>
      <x:c r="K14" s="101" t="str">
        <x:v>逐页标注已确认、待确认和超范围项</x:v>
      </x:c>
      <x:c r="L14" s="101" t="str">
        <x:v>PRD 尚未批准</x:v>
      </x:c>
      <x:c r="M14" s="101" t="str">
        <x:v>输出客户评审问题清单</x:v>
      </x:c>
      <x:c r="N14" s="101" t="str">
        <x:v>M1 范围冻结</x:v>
      </x:c>
      <x:c r="O14" s="170" t="str">
        <x:v>历史参考</x:v>
      </x:c>
      <x:c r="P14" s="170" t="str">
        <x:v>待归批</x:v>
      </x:c>
      <x:c r="Q14" s="170" t="str">
        <x:v>以本期范围和关键规则为前置</x:v>
      </x:c>
      <x:c r="R14" s="170" t="str">
        <x:v>待确认</x:v>
      </x:c>
      <x:c r="S14" s="170" t="str">
        <x:v>待当前版本复核</x:v>
      </x:c>
      <x:c r="T14" s="170" t="str">
        <x:v>未业务验收</x:v>
      </x:c>
      <x:c r="U14" s="170" t="str">
        <x:v>旧主台账2026-08-31；不沿用旧完成度</x:v>
      </x:c>
      <x:c r="V14" s="170" t="str">
        <x:v>待指定</x:v>
      </x:c>
    </x:row>
    <x:row r="15" ht="38" customHeight="1">
      <x:c r="A15" s="101" t="str">
        <x:v>TASK-011</x:v>
      </x:c>
      <x:c r="B15" s="101" t="str">
        <x:v>需求与范围治理</x:v>
      </x:c>
      <x:c r="C15" s="101" t="str">
        <x:v>召开一期范围确认会</x:v>
      </x:c>
      <x:c r="D15" s="101" t="str">
        <x:v>会议／决策</x:v>
      </x:c>
      <x:c r="E15" s="101" t="str">
        <x:v>P0</x:v>
      </x:c>
      <x:c r="F15" s="101" t="str">
        <x:v>客户业务负责人／产品负责人</x:v>
      </x:c>
      <x:c r="G15" s="101" t="str">
        <x:v>历史记录待复核</x:v>
      </x:c>
      <x:c r="H15" s="139"/>
      <x:c r="I15" s="139"/>
      <x:c r="J15" s="183"/>
      <x:c r="K15" s="101" t="str">
        <x:v>确认 P0/P1/P2、7／10 状态和扩展模块边界</x:v>
      </x:c>
      <x:c r="L15" s="101" t="str">
        <x:v>需客户参会与书面结论</x:v>
      </x:c>
      <x:c r="M15" s="101" t="str">
        <x:v>与TASK-030及C-01统一处理，不另问一套范围</x:v>
      </x:c>
      <x:c r="N15" s="101" t="str">
        <x:v>M1 范围冻结</x:v>
      </x:c>
      <x:c r="O15" s="170" t="str">
        <x:v>历史参考</x:v>
      </x:c>
      <x:c r="P15" s="170" t="str">
        <x:v>待归批</x:v>
      </x:c>
      <x:c r="Q15" s="170" t="str">
        <x:v>以本期范围和关键规则为前置</x:v>
      </x:c>
      <x:c r="R15" s="170" t="str">
        <x:v>待确认</x:v>
      </x:c>
      <x:c r="S15" s="170" t="str">
        <x:v>待当前版本复核</x:v>
      </x:c>
      <x:c r="T15" s="170" t="str">
        <x:v>未业务验收</x:v>
      </x:c>
      <x:c r="U15" s="170" t="str">
        <x:v>旧主台账2026-08-31；不沿用旧完成度</x:v>
      </x:c>
      <x:c r="V15" s="170" t="str">
        <x:v>待指定</x:v>
      </x:c>
    </x:row>
    <x:row r="16" ht="38" customHeight="1">
      <x:c r="A16" s="101" t="str">
        <x:v>TASK-012</x:v>
      </x:c>
      <x:c r="B16" s="101" t="str">
        <x:v>需求与范围治理</x:v>
      </x:c>
      <x:c r="C16" s="101" t="str">
        <x:v>关闭 PM/CM、编号、完工确认与照片豁免规则</x:v>
      </x:c>
      <x:c r="D16" s="101" t="str">
        <x:v>业务规则</x:v>
      </x:c>
      <x:c r="E16" s="101" t="str">
        <x:v>P0</x:v>
      </x:c>
      <x:c r="F16" s="101" t="str">
        <x:v>客户业务负责人／Leader／CS</x:v>
      </x:c>
      <x:c r="G16" s="101" t="str">
        <x:v>历史记录待复核</x:v>
      </x:c>
      <x:c r="H16" s="139"/>
      <x:c r="I16" s="139"/>
      <x:c r="J16" s="183"/>
      <x:c r="K16" s="101" t="str">
        <x:v>CQ-01～CQ-05 有书面答案</x:v>
      </x:c>
      <x:c r="L16" s="101" t="str">
        <x:v>缺真实样例和规则负责人</x:v>
      </x:c>
      <x:c r="M16" s="101" t="str">
        <x:v>明确诉求不重问；仅核对C-02/08/09等未定细则</x:v>
      </x:c>
      <x:c r="N16" s="101" t="str">
        <x:v>M1 范围冻结</x:v>
      </x:c>
      <x:c r="O16" s="170" t="str">
        <x:v>历史参考</x:v>
      </x:c>
      <x:c r="P16" s="170" t="str">
        <x:v>待归批</x:v>
      </x:c>
      <x:c r="Q16" s="170" t="str">
        <x:v>以本期范围和关键规则为前置</x:v>
      </x:c>
      <x:c r="R16" s="170" t="str">
        <x:v>待确认</x:v>
      </x:c>
      <x:c r="S16" s="170" t="str">
        <x:v>待当前版本复核</x:v>
      </x:c>
      <x:c r="T16" s="170" t="str">
        <x:v>未业务验收</x:v>
      </x:c>
      <x:c r="U16" s="170" t="str">
        <x:v>旧主台账2026-08-31；不沿用旧完成度</x:v>
      </x:c>
      <x:c r="V16" s="170" t="str">
        <x:v>待指定</x:v>
      </x:c>
    </x:row>
    <x:row r="17" ht="38" customHeight="1">
      <x:c r="A17" s="101" t="str">
        <x:v>TASK-013</x:v>
      </x:c>
      <x:c r="B17" s="101" t="str">
        <x:v>需求与范围治理</x:v>
      </x:c>
      <x:c r="C17" s="101" t="str">
        <x:v>冻结角色、页面、状态和一期验收标准</x:v>
      </x:c>
      <x:c r="D17" s="101" t="str">
        <x:v>基线</x:v>
      </x:c>
      <x:c r="E17" s="101" t="str">
        <x:v>P0</x:v>
      </x:c>
      <x:c r="F17" s="101" t="str">
        <x:v>产品负责人／客户业务负责人</x:v>
      </x:c>
      <x:c r="G17" s="101" t="str">
        <x:v>历史记录待复核</x:v>
      </x:c>
      <x:c r="H17" s="139"/>
      <x:c r="I17" s="139"/>
      <x:c r="J17" s="183"/>
      <x:c r="K17" s="101" t="str">
        <x:v>PRD 状态更新为已批准</x:v>
      </x:c>
      <x:c r="L17" s="101" t="str">
        <x:v>依赖 TASK-010～012</x:v>
      </x:c>
      <x:c r="M17" s="101" t="str">
        <x:v>批准 PRD 与原型评审基线</x:v>
      </x:c>
      <x:c r="N17" s="101" t="str">
        <x:v>M1 范围冻结</x:v>
      </x:c>
      <x:c r="O17" s="170" t="str">
        <x:v>历史参考</x:v>
      </x:c>
      <x:c r="P17" s="170" t="str">
        <x:v>待归批</x:v>
      </x:c>
      <x:c r="Q17" s="170" t="str">
        <x:v>以本期范围和关键规则为前置</x:v>
      </x:c>
      <x:c r="R17" s="170" t="str">
        <x:v>待确认</x:v>
      </x:c>
      <x:c r="S17" s="170" t="str">
        <x:v>待当前版本复核</x:v>
      </x:c>
      <x:c r="T17" s="170" t="str">
        <x:v>未业务验收</x:v>
      </x:c>
      <x:c r="U17" s="170" t="str">
        <x:v>旧主台账2026-08-31；不沿用旧完成度</x:v>
      </x:c>
      <x:c r="V17" s="170" t="str">
        <x:v>待指定</x:v>
      </x:c>
    </x:row>
    <x:row r="18" ht="38" customHeight="1">
      <x:c r="A18" s="101" t="str">
        <x:v>TASK-014</x:v>
      </x:c>
      <x:c r="B18" s="101" t="str">
        <x:v>试点主数据与组织准备</x:v>
      </x:c>
      <x:c r="C18" s="101" t="str">
        <x:v>确定试点区域、人员和项目责任人</x:v>
      </x:c>
      <x:c r="D18" s="101" t="str">
        <x:v>试点准备</x:v>
      </x:c>
      <x:c r="E18" s="101" t="str">
        <x:v>P0</x:v>
      </x:c>
      <x:c r="F18" s="101" t="str">
        <x:v>客户项目负责人</x:v>
      </x:c>
      <x:c r="G18" s="101" t="str">
        <x:v>历史记录待复核</x:v>
      </x:c>
      <x:c r="H18" s="139"/>
      <x:c r="I18" s="139"/>
      <x:c r="J18" s="183"/>
      <x:c r="K18" s="101" t="str">
        <x:v>1 个区域、1 名 Leader、3–5 名师傅、1–2 名 CS 签认</x:v>
      </x:c>
      <x:c r="L18" s="101" t="str">
        <x:v>客户未指定人员</x:v>
      </x:c>
      <x:c r="M18" s="101" t="str">
        <x:v>提交试点名单</x:v>
      </x:c>
      <x:c r="N18" s="101" t="str">
        <x:v>M2 POC 准备</x:v>
      </x:c>
      <x:c r="O18" s="170" t="str">
        <x:v>历史参考</x:v>
      </x:c>
      <x:c r="P18" s="170" t="str">
        <x:v>待归批</x:v>
      </x:c>
      <x:c r="Q18" s="170" t="str">
        <x:v>以本期范围和关键规则为前置</x:v>
      </x:c>
      <x:c r="R18" s="170" t="str">
        <x:v>待确认</x:v>
      </x:c>
      <x:c r="S18" s="170" t="str">
        <x:v>待当前版本复核</x:v>
      </x:c>
      <x:c r="T18" s="170" t="str">
        <x:v>未业务验收</x:v>
      </x:c>
      <x:c r="U18" s="170" t="str">
        <x:v>旧主台账2026-08-31；不沿用旧完成度</x:v>
      </x:c>
      <x:c r="V18" s="170" t="str">
        <x:v>待指定</x:v>
      </x:c>
    </x:row>
    <x:row r="19" ht="38" customHeight="1">
      <x:c r="A19" s="101" t="str">
        <x:v>TASK-015</x:v>
      </x:c>
      <x:c r="B19" s="101" t="str">
        <x:v>试点主数据与组织准备</x:v>
      </x:c>
      <x:c r="C19" s="101" t="str">
        <x:v>收集主数据、区域映射和 20–30 张样例工单</x:v>
      </x:c>
      <x:c r="D19" s="101" t="str">
        <x:v>数据</x:v>
      </x:c>
      <x:c r="E19" s="101" t="str">
        <x:v>P0</x:v>
      </x:c>
      <x:c r="F19" s="101" t="str">
        <x:v>客户数据负责人／业务负责人</x:v>
      </x:c>
      <x:c r="G19" s="101" t="str">
        <x:v>后续阶段，未启动</x:v>
      </x:c>
      <x:c r="H19" s="139"/>
      <x:c r="I19" s="139"/>
      <x:c r="J19" s="183"/>
      <x:c r="K19" s="101" t="str">
        <x:v>客户、地址、团队、人员、编号和照片策略数据可用</x:v>
      </x:c>
      <x:c r="L19" s="101" t="str">
        <x:v>依赖客户提供原始清单</x:v>
      </x:c>
      <x:c r="M19" s="101" t="str">
        <x:v>发放数据模板并签认</x:v>
      </x:c>
      <x:c r="N19" s="101" t="str">
        <x:v>M2 POC 准备</x:v>
      </x:c>
      <x:c r="O19" s="170" t="str">
        <x:v>后续开发</x:v>
      </x:c>
      <x:c r="P19" s="170" t="str">
        <x:v>待归批</x:v>
      </x:c>
      <x:c r="Q19" s="170" t="str">
        <x:v>以本期范围和关键规则为前置</x:v>
      </x:c>
      <x:c r="R19" s="170" t="str">
        <x:v>待确认</x:v>
      </x:c>
      <x:c r="S19" s="170" t="str">
        <x:v>待当前版本复核</x:v>
      </x:c>
      <x:c r="T19" s="170" t="str">
        <x:v>未业务验收</x:v>
      </x:c>
      <x:c r="U19" s="170" t="str">
        <x:v>旧主台账2026-08-31；不沿用旧完成度</x:v>
      </x:c>
      <x:c r="V19" s="170" t="str">
        <x:v>待指定</x:v>
      </x:c>
    </x:row>
    <x:row r="20" ht="38" customHeight="1">
      <x:c r="A20" s="101" t="str">
        <x:v>TASK-016</x:v>
      </x:c>
      <x:c r="B20" s="101" t="str">
        <x:v>钉钉／宜搭 POC</x:v>
      </x:c>
      <x:c r="C20" s="101" t="str">
        <x:v>确认许可、账号人数、存储容量与 POC 环境</x:v>
      </x:c>
      <x:c r="D20" s="101" t="str">
        <x:v>环境／商务</x:v>
      </x:c>
      <x:c r="E20" s="101" t="str">
        <x:v>P0</x:v>
      </x:c>
      <x:c r="F20" s="101" t="str">
        <x:v>客户 IT／采购／项目负责人</x:v>
      </x:c>
      <x:c r="G20" s="101" t="str">
        <x:v>后续阶段，未启动</x:v>
      </x:c>
      <x:c r="H20" s="139"/>
      <x:c r="I20" s="139"/>
      <x:c r="J20" s="183"/>
      <x:c r="K20" s="101" t="str">
        <x:v>许可、容量、环境和费用结论明确</x:v>
      </x:c>
      <x:c r="L20" s="101" t="str">
        <x:v>近 800 人与图片容量未验证</x:v>
      </x:c>
      <x:c r="M20" s="101" t="str">
        <x:v>获取平台配置与账号方案</x:v>
      </x:c>
      <x:c r="N20" s="101" t="str">
        <x:v>M2 POC 准备</x:v>
      </x:c>
      <x:c r="O20" s="170" t="str">
        <x:v>后续开发</x:v>
      </x:c>
      <x:c r="P20" s="170" t="str">
        <x:v>待归批</x:v>
      </x:c>
      <x:c r="Q20" s="170" t="str">
        <x:v>以本期范围和关键规则为前置</x:v>
      </x:c>
      <x:c r="R20" s="170" t="str">
        <x:v>待确认</x:v>
      </x:c>
      <x:c r="S20" s="170" t="str">
        <x:v>待当前版本复核</x:v>
      </x:c>
      <x:c r="T20" s="170" t="str">
        <x:v>未业务验收</x:v>
      </x:c>
      <x:c r="U20" s="170" t="str">
        <x:v>旧主台账2026-08-31；不沿用旧完成度</x:v>
      </x:c>
      <x:c r="V20" s="170" t="str">
        <x:v>待指定</x:v>
      </x:c>
    </x:row>
    <x:row r="21" ht="38" customHeight="1">
      <x:c r="A21" s="101" t="str">
        <x:v>TASK-017</x:v>
      </x:c>
      <x:c r="B21" s="101" t="str">
        <x:v>钉钉／宜搭 POC</x:v>
      </x:c>
      <x:c r="C21" s="101" t="str">
        <x:v>验证真实账号免登、角色和数据权限</x:v>
      </x:c>
      <x:c r="D21" s="101" t="str">
        <x:v>POC／安全</x:v>
      </x:c>
      <x:c r="E21" s="101" t="str">
        <x:v>P0</x:v>
      </x:c>
      <x:c r="F21" s="101" t="str">
        <x:v>技术开发／客户 IT／测试验收</x:v>
      </x:c>
      <x:c r="G21" s="101" t="str">
        <x:v>后续阶段，未启动</x:v>
      </x:c>
      <x:c r="H21" s="139"/>
      <x:c r="I21" s="139"/>
      <x:c r="J21" s="183"/>
      <x:c r="K21" s="101" t="str">
        <x:v>CS、Leader、师傅、管理员权限与越权测试通过</x:v>
      </x:c>
      <x:c r="L21" s="101" t="str">
        <x:v>依赖 TASK-014／016</x:v>
      </x:c>
      <x:c r="M21" s="101" t="str">
        <x:v>准备测试账号和权限矩阵</x:v>
      </x:c>
      <x:c r="N21" s="101" t="str">
        <x:v>M2 POC 验证</x:v>
      </x:c>
      <x:c r="O21" s="170" t="str">
        <x:v>后续开发</x:v>
      </x:c>
      <x:c r="P21" s="170" t="str">
        <x:v>待归批</x:v>
      </x:c>
      <x:c r="Q21" s="170" t="str">
        <x:v>以本期范围和关键规则为前置</x:v>
      </x:c>
      <x:c r="R21" s="170" t="str">
        <x:v>待确认</x:v>
      </x:c>
      <x:c r="S21" s="170" t="str">
        <x:v>待当前版本复核</x:v>
      </x:c>
      <x:c r="T21" s="170" t="str">
        <x:v>未业务验收</x:v>
      </x:c>
      <x:c r="U21" s="170" t="str">
        <x:v>旧主台账2026-08-31；不沿用旧完成度</x:v>
      </x:c>
      <x:c r="V21" s="170" t="str">
        <x:v>待指定</x:v>
      </x:c>
    </x:row>
    <x:row r="22" ht="38" customHeight="1">
      <x:c r="A22" s="101" t="str">
        <x:v>TASK-018</x:v>
      </x:c>
      <x:c r="B22" s="101" t="str">
        <x:v>钉钉／宜搭 POC</x:v>
      </x:c>
      <x:c r="C22" s="101" t="str">
        <x:v>验证消息、移动端、弱网、图片上传与容量</x:v>
      </x:c>
      <x:c r="D22" s="101" t="str">
        <x:v>POC／集成</x:v>
      </x:c>
      <x:c r="E22" s="101" t="str">
        <x:v>P0</x:v>
      </x:c>
      <x:c r="F22" s="101" t="str">
        <x:v>技术开发／测试验收／客户 IT</x:v>
      </x:c>
      <x:c r="G22" s="101" t="str">
        <x:v>后续阶段，未启动</x:v>
      </x:c>
      <x:c r="H22" s="139"/>
      <x:c r="I22" s="139"/>
      <x:c r="J22" s="183"/>
      <x:c r="K22" s="101" t="str">
        <x:v>关键通知到达；照片成功率、容量和归档策略有结论</x:v>
      </x:c>
      <x:c r="L22" s="101" t="str">
        <x:v>依赖 POC 环境和样例</x:v>
      </x:c>
      <x:c r="M22" s="101" t="str">
        <x:v>准备场景脚本和测试手机</x:v>
      </x:c>
      <x:c r="N22" s="101" t="str">
        <x:v>M2 POC 验证</x:v>
      </x:c>
      <x:c r="O22" s="170" t="str">
        <x:v>后续开发</x:v>
      </x:c>
      <x:c r="P22" s="170" t="str">
        <x:v>待归批</x:v>
      </x:c>
      <x:c r="Q22" s="170" t="str">
        <x:v>以本期范围和关键规则为前置</x:v>
      </x:c>
      <x:c r="R22" s="170" t="str">
        <x:v>待确认</x:v>
      </x:c>
      <x:c r="S22" s="170" t="str">
        <x:v>待当前版本复核</x:v>
      </x:c>
      <x:c r="T22" s="170" t="str">
        <x:v>未业务验收</x:v>
      </x:c>
      <x:c r="U22" s="170" t="str">
        <x:v>旧主台账2026-08-31；不沿用旧完成度</x:v>
      </x:c>
      <x:c r="V22" s="170" t="str">
        <x:v>待指定</x:v>
      </x:c>
    </x:row>
    <x:row r="23" ht="38" customHeight="1">
      <x:c r="A23" s="101" t="str">
        <x:v>TASK-019</x:v>
      </x:c>
      <x:c r="B23" s="101" t="str">
        <x:v>需求与范围治理</x:v>
      </x:c>
      <x:c r="C23" s="101" t="str">
        <x:v>根据确认结论更新 PRD 并补齐技术计划</x:v>
      </x:c>
      <x:c r="D23" s="101" t="str">
        <x:v>规格／计划</x:v>
      </x:c>
      <x:c r="E23" s="101" t="str">
        <x:v>P0</x:v>
      </x:c>
      <x:c r="F23" s="101" t="str">
        <x:v>产品负责人／技术负责人</x:v>
      </x:c>
      <x:c r="G23" s="101" t="str">
        <x:v>后续阶段，未启动</x:v>
      </x:c>
      <x:c r="H23" s="139"/>
      <x:c r="I23" s="139"/>
      <x:c r="J23" s="183"/>
      <x:c r="K23" s="101" t="str">
        <x:v>spec.md 已批准，plan.md 完整</x:v>
      </x:c>
      <x:c r="L23" s="101" t="str">
        <x:v>依赖范围冻结和 POC 结论</x:v>
      </x:c>
      <x:c r="M23" s="101" t="str">
        <x:v>记录所有范围变更</x:v>
      </x:c>
      <x:c r="N23" s="101" t="str">
        <x:v>M3 实施准备</x:v>
      </x:c>
      <x:c r="O23" s="170" t="str">
        <x:v>后续开发</x:v>
      </x:c>
      <x:c r="P23" s="170" t="str">
        <x:v>待归批</x:v>
      </x:c>
      <x:c r="Q23" s="170" t="str">
        <x:v>以本期范围和关键规则为前置</x:v>
      </x:c>
      <x:c r="R23" s="170" t="str">
        <x:v>待确认</x:v>
      </x:c>
      <x:c r="S23" s="170" t="str">
        <x:v>待当前版本复核</x:v>
      </x:c>
      <x:c r="T23" s="170" t="str">
        <x:v>未业务验收</x:v>
      </x:c>
      <x:c r="U23" s="170" t="str">
        <x:v>旧主台账2026-08-31；不沿用旧完成度</x:v>
      </x:c>
      <x:c r="V23" s="170" t="str">
        <x:v>待指定</x:v>
      </x:c>
    </x:row>
    <x:row r="24" ht="38" customHeight="1">
      <x:c r="A24" s="101" t="str">
        <x:v>TASK-020</x:v>
      </x:c>
      <x:c r="B24" s="101" t="str">
        <x:v>需求与范围治理</x:v>
      </x:c>
      <x:c r="C24" s="101" t="str">
        <x:v>生成可执行 tasks.md 与验收映射</x:v>
      </x:c>
      <x:c r="D24" s="101" t="str">
        <x:v>计划</x:v>
      </x:c>
      <x:c r="E24" s="101" t="str">
        <x:v>P0</x:v>
      </x:c>
      <x:c r="F24" s="101" t="str">
        <x:v>技术负责人／测试验收</x:v>
      </x:c>
      <x:c r="G24" s="101" t="str">
        <x:v>后续阶段，未启动</x:v>
      </x:c>
      <x:c r="H24" s="139"/>
      <x:c r="I24" s="139"/>
      <x:c r="J24" s="183"/>
      <x:c r="K24" s="101" t="str">
        <x:v>每项任务关联需求、文件、完成定义和验证方式</x:v>
      </x:c>
      <x:c r="L24" s="101" t="str">
        <x:v>依赖 TASK-019</x:v>
      </x:c>
      <x:c r="M24" s="101" t="str">
        <x:v>拆分 P0 实施任务</x:v>
      </x:c>
      <x:c r="N24" s="101" t="str">
        <x:v>M3 实施准备</x:v>
      </x:c>
      <x:c r="O24" s="170" t="str">
        <x:v>后续开发</x:v>
      </x:c>
      <x:c r="P24" s="170" t="str">
        <x:v>待归批</x:v>
      </x:c>
      <x:c r="Q24" s="170" t="str">
        <x:v>以本期范围和关键规则为前置</x:v>
      </x:c>
      <x:c r="R24" s="170" t="str">
        <x:v>待确认</x:v>
      </x:c>
      <x:c r="S24" s="170" t="str">
        <x:v>待当前版本复核</x:v>
      </x:c>
      <x:c r="T24" s="170" t="str">
        <x:v>未业务验收</x:v>
      </x:c>
      <x:c r="U24" s="170" t="str">
        <x:v>旧主台账2026-08-31；不沿用旧完成度</x:v>
      </x:c>
      <x:c r="V24" s="170" t="str">
        <x:v>待指定</x:v>
      </x:c>
    </x:row>
    <x:row r="25" ht="38" customHeight="1">
      <x:c r="A25" s="101" t="str">
        <x:v>TASK-021</x:v>
      </x:c>
      <x:c r="B25" s="101" t="str">
        <x:v>生产开发与集成</x:v>
      </x:c>
      <x:c r="C25" s="101" t="str">
        <x:v>实现批准范围内的 P0 生产闭环</x:v>
      </x:c>
      <x:c r="D25" s="101" t="str">
        <x:v>开发／集成</x:v>
      </x:c>
      <x:c r="E25" s="101" t="str">
        <x:v>P0</x:v>
      </x:c>
      <x:c r="F25" s="101" t="str">
        <x:v>技术开发</x:v>
      </x:c>
      <x:c r="G25" s="101" t="str">
        <x:v>后续阶段，未启动</x:v>
      </x:c>
      <x:c r="H25" s="139"/>
      <x:c r="I25" s="139"/>
      <x:c r="J25" s="183"/>
      <x:c r="K25" s="101" t="str">
        <x:v>真实后端、权限、附件、消息和审计可运行</x:v>
      </x:c>
      <x:c r="L25" s="101" t="str">
        <x:v>当前 Gate 1／2 未通过</x:v>
      </x:c>
      <x:c r="M25" s="101" t="str">
        <x:v>仅在 TASK-020 完成后启动</x:v>
      </x:c>
      <x:c r="N25" s="101" t="str">
        <x:v>M4 生产实现</x:v>
      </x:c>
      <x:c r="O25" s="170" t="str">
        <x:v>后续开发</x:v>
      </x:c>
      <x:c r="P25" s="170" t="str">
        <x:v>待归批</x:v>
      </x:c>
      <x:c r="Q25" s="170" t="str">
        <x:v>以本期范围和关键规则为前置</x:v>
      </x:c>
      <x:c r="R25" s="170" t="str">
        <x:v>待确认</x:v>
      </x:c>
      <x:c r="S25" s="170" t="str">
        <x:v>待当前版本复核</x:v>
      </x:c>
      <x:c r="T25" s="170" t="str">
        <x:v>未业务验收</x:v>
      </x:c>
      <x:c r="U25" s="170" t="str">
        <x:v>旧主台账2026-08-31；不沿用旧完成度</x:v>
      </x:c>
      <x:c r="V25" s="170" t="str">
        <x:v>待指定</x:v>
      </x:c>
    </x:row>
    <x:row r="26" ht="38" customHeight="1">
      <x:c r="A26" s="101" t="str">
        <x:v>TASK-022</x:v>
      </x:c>
      <x:c r="B26" s="101" t="str">
        <x:v>试点主数据与组织准备</x:v>
      </x:c>
      <x:c r="C26" s="101" t="str">
        <x:v>清洗并导入试点主数据</x:v>
      </x:c>
      <x:c r="D26" s="101" t="str">
        <x:v>数据／导入</x:v>
      </x:c>
      <x:c r="E26" s="101" t="str">
        <x:v>P0</x:v>
      </x:c>
      <x:c r="F26" s="101" t="str">
        <x:v>数据负责人／技术开发</x:v>
      </x:c>
      <x:c r="G26" s="101" t="str">
        <x:v>后续阶段，未启动</x:v>
      </x:c>
      <x:c r="H26" s="139"/>
      <x:c r="I26" s="139"/>
      <x:c r="J26" s="183"/>
      <x:c r="K26" s="101" t="str">
        <x:v>导入数量、异常和映射均签认</x:v>
      </x:c>
      <x:c r="L26" s="101" t="str">
        <x:v>依赖 TASK-015 和生产环境</x:v>
      </x:c>
      <x:c r="M26" s="101" t="str">
        <x:v>先完成数据质量检查</x:v>
      </x:c>
      <x:c r="N26" s="101" t="str">
        <x:v>M4 生产实现</x:v>
      </x:c>
      <x:c r="O26" s="170" t="str">
        <x:v>后续开发</x:v>
      </x:c>
      <x:c r="P26" s="170" t="str">
        <x:v>待归批</x:v>
      </x:c>
      <x:c r="Q26" s="170" t="str">
        <x:v>以本期范围和关键规则为前置</x:v>
      </x:c>
      <x:c r="R26" s="170" t="str">
        <x:v>待确认</x:v>
      </x:c>
      <x:c r="S26" s="170" t="str">
        <x:v>待当前版本复核</x:v>
      </x:c>
      <x:c r="T26" s="170" t="str">
        <x:v>未业务验收</x:v>
      </x:c>
      <x:c r="U26" s="170" t="str">
        <x:v>旧主台账2026-08-31；不沿用旧完成度</x:v>
      </x:c>
      <x:c r="V26" s="170" t="str">
        <x:v>待指定</x:v>
      </x:c>
    </x:row>
    <x:row r="27" ht="38" customHeight="1">
      <x:c r="A27" s="101" t="str">
        <x:v>TASK-023</x:v>
      </x:c>
      <x:c r="B27" s="101" t="str">
        <x:v>UAT、试点与上线</x:v>
      </x:c>
      <x:c r="C27" s="101" t="str">
        <x:v>执行 P0 回归与业务 UAT</x:v>
      </x:c>
      <x:c r="D27" s="101" t="str">
        <x:v>测试／验收</x:v>
      </x:c>
      <x:c r="E27" s="101" t="str">
        <x:v>P0</x:v>
      </x:c>
      <x:c r="F27" s="101" t="str">
        <x:v>测试验收／业务负责人</x:v>
      </x:c>
      <x:c r="G27" s="101" t="str">
        <x:v>后续阶段，未启动</x:v>
      </x:c>
      <x:c r="H27" s="139"/>
      <x:c r="I27" s="139"/>
      <x:c r="J27" s="183"/>
      <x:c r="K27" s="101" t="str">
        <x:v>AT-01～AT-07 全部有结果和证据</x:v>
      </x:c>
      <x:c r="L27" s="101" t="str">
        <x:v>依赖 TASK-021～022</x:v>
      </x:c>
      <x:c r="M27" s="101" t="str">
        <x:v>准备 UAT 用例与数据</x:v>
      </x:c>
      <x:c r="N27" s="101" t="str">
        <x:v>M5 UAT</x:v>
      </x:c>
      <x:c r="O27" s="170" t="str">
        <x:v>后续开发</x:v>
      </x:c>
      <x:c r="P27" s="170" t="str">
        <x:v>待归批</x:v>
      </x:c>
      <x:c r="Q27" s="170" t="str">
        <x:v>以本期范围和关键规则为前置</x:v>
      </x:c>
      <x:c r="R27" s="170" t="str">
        <x:v>待确认</x:v>
      </x:c>
      <x:c r="S27" s="170" t="str">
        <x:v>待当前版本复核</x:v>
      </x:c>
      <x:c r="T27" s="170" t="str">
        <x:v>未业务验收</x:v>
      </x:c>
      <x:c r="U27" s="170" t="str">
        <x:v>旧主台账2026-08-31；不沿用旧完成度</x:v>
      </x:c>
      <x:c r="V27" s="170" t="str">
        <x:v>待指定</x:v>
      </x:c>
    </x:row>
    <x:row r="28" ht="38" customHeight="1">
      <x:c r="A28" s="101" t="str">
        <x:v>TASK-024</x:v>
      </x:c>
      <x:c r="B28" s="101" t="str">
        <x:v>UAT、试点与上线</x:v>
      </x:c>
      <x:c r="C28" s="101" t="str">
        <x:v>运行 7–10 个工作日试点并闭环问题</x:v>
      </x:c>
      <x:c r="D28" s="101" t="str">
        <x:v>试点</x:v>
      </x:c>
      <x:c r="E28" s="101" t="str">
        <x:v>P0</x:v>
      </x:c>
      <x:c r="F28" s="101" t="str">
        <x:v>业务负责人／试点团队／项目负责人</x:v>
      </x:c>
      <x:c r="G28" s="101" t="str">
        <x:v>后续阶段，未启动</x:v>
      </x:c>
      <x:c r="H28" s="139"/>
      <x:c r="I28" s="139"/>
      <x:c r="J28" s="183"/>
      <x:c r="K28" s="101" t="str">
        <x:v>20–30 张工单闭环，责任人与卡点可识别</x:v>
      </x:c>
      <x:c r="L28" s="101" t="str">
        <x:v>依赖 UAT 通过</x:v>
      </x:c>
      <x:c r="M28" s="101" t="str">
        <x:v>建立每日问题台账</x:v>
      </x:c>
      <x:c r="N28" s="101" t="str">
        <x:v>M6 试点</x:v>
      </x:c>
      <x:c r="O28" s="170" t="str">
        <x:v>后续开发</x:v>
      </x:c>
      <x:c r="P28" s="170" t="str">
        <x:v>待归批</x:v>
      </x:c>
      <x:c r="Q28" s="170" t="str">
        <x:v>以本期范围和关键规则为前置</x:v>
      </x:c>
      <x:c r="R28" s="170" t="str">
        <x:v>待确认</x:v>
      </x:c>
      <x:c r="S28" s="170" t="str">
        <x:v>待当前版本复核</x:v>
      </x:c>
      <x:c r="T28" s="170" t="str">
        <x:v>未业务验收</x:v>
      </x:c>
      <x:c r="U28" s="170" t="str">
        <x:v>旧主台账2026-08-31；不沿用旧完成度</x:v>
      </x:c>
      <x:c r="V28" s="170" t="str">
        <x:v>待指定</x:v>
      </x:c>
    </x:row>
    <x:row r="29" ht="38" customHeight="1">
      <x:c r="A29" s="101" t="str">
        <x:v>TASK-025</x:v>
      </x:c>
      <x:c r="B29" s="101" t="str">
        <x:v>UAT、试点与上线</x:v>
      </x:c>
      <x:c r="C29" s="101" t="str">
        <x:v>完成上线、操作交接和项目签收</x:v>
      </x:c>
      <x:c r="D29" s="101" t="str">
        <x:v>上线／交接</x:v>
      </x:c>
      <x:c r="E29" s="101" t="str">
        <x:v>P0</x:v>
      </x:c>
      <x:c r="F29" s="101" t="str">
        <x:v>客户项目负责人／产品负责人／客户 IT</x:v>
      </x:c>
      <x:c r="G29" s="101" t="str">
        <x:v>后续阶段，未启动</x:v>
      </x:c>
      <x:c r="H29" s="139"/>
      <x:c r="I29" s="139"/>
      <x:c r="J29" s="183"/>
      <x:c r="K29" s="101" t="str">
        <x:v>上线记录、操作手册、运维交接和签收齐全</x:v>
      </x:c>
      <x:c r="L29" s="101" t="str">
        <x:v>依赖试点通过和上线审批</x:v>
      </x:c>
      <x:c r="M29" s="101" t="str">
        <x:v>完成恢复演练与签字</x:v>
      </x:c>
      <x:c r="N29" s="101" t="str">
        <x:v>M7 上线</x:v>
      </x:c>
      <x:c r="O29" s="170" t="str">
        <x:v>后续开发</x:v>
      </x:c>
      <x:c r="P29" s="170" t="str">
        <x:v>待归批</x:v>
      </x:c>
      <x:c r="Q29" s="170" t="str">
        <x:v>以本期范围和关键规则为前置</x:v>
      </x:c>
      <x:c r="R29" s="170" t="str">
        <x:v>待确认</x:v>
      </x:c>
      <x:c r="S29" s="170" t="str">
        <x:v>待当前版本复核</x:v>
      </x:c>
      <x:c r="T29" s="170" t="str">
        <x:v>未业务验收</x:v>
      </x:c>
      <x:c r="U29" s="170" t="str">
        <x:v>旧主台账2026-08-31；不沿用旧完成度</x:v>
      </x:c>
      <x:c r="V29" s="170" t="str">
        <x:v>待指定</x:v>
      </x:c>
    </x:row>
    <x:row r="30" ht="74" customHeight="1">
      <x:c r="A30" s="179" t="str">
        <x:v>TASK-026</x:v>
      </x:c>
      <x:c r="B30" s="179" t="str">
        <x:v>B00</x:v>
      </x:c>
      <x:c r="C30" s="179" t="str">
        <x:v>核对最新资料并形成逐条出处</x:v>
      </x:c>
      <x:c r="D30" s="179" t="str">
        <x:v>定稿准备/分批评审</x:v>
      </x:c>
      <x:c r="E30" s="179" t="str">
        <x:v>P0</x:v>
      </x:c>
      <x:c r="F30" s="179" t="str">
        <x:v>本轮AI执行；后续维护人待指定</x:v>
      </x:c>
      <x:c r="G30" s="179" t="str">
        <x:v>已完成</x:v>
      </x:c>
      <x:c r="H30" s="180"/>
      <x:c r="I30" s="180"/>
      <x:c r="J30" s="184" t="str">
        <x:v>资料准备完成</x:v>
      </x:c>
      <x:c r="K30" s="179" t="str">
        <x:v>39项均有原文件、段落、证据状态和范围边界</x:v>
      </x:c>
      <x:c r="L30" s="179" t="str"/>
      <x:c r="M30" s="179" t="str">
        <x:v>归档本批输出，维护同一编号</x:v>
      </x:c>
      <x:c r="N30" s="179" t="str">
        <x:v>B00</x:v>
      </x:c>
      <x:c r="O30" s="170" t="str">
        <x:v>本期定稿</x:v>
      </x:c>
      <x:c r="P30" s="170" t="str">
        <x:v>B00</x:v>
      </x:c>
      <x:c r="Q30" s="170" t="str">
        <x:v>无</x:v>
      </x:c>
      <x:c r="R30" s="170" t="str">
        <x:v>不适用</x:v>
      </x:c>
      <x:c r="S30" s="170" t="str">
        <x:v>不适用</x:v>
      </x:c>
      <x:c r="T30" s="170" t="str">
        <x:v>不适用</x:v>
      </x:c>
      <x:c r="U30" s="170" t="str">
        <x:v>用户批准推进计划；SOURCE-014/015；本轮复核</x:v>
      </x:c>
      <x:c r="V30" s="170" t="str">
        <x:v>待指定</x:v>
      </x:c>
    </x:row>
    <x:row r="31" ht="74" customHeight="1">
      <x:c r="A31" s="179" t="str">
        <x:v>TASK-027</x:v>
      </x:c>
      <x:c r="B31" s="179" t="str">
        <x:v>B00</x:v>
      </x:c>
      <x:c r="C31" s="179" t="str">
        <x:v>复核审计变化并记录验证边界</x:v>
      </x:c>
      <x:c r="D31" s="179" t="str">
        <x:v>定稿准备/分批评审</x:v>
      </x:c>
      <x:c r="E31" s="179" t="str">
        <x:v>P0</x:v>
      </x:c>
      <x:c r="F31" s="179" t="str">
        <x:v>本轮AI执行；后续维护人待指定</x:v>
      </x:c>
      <x:c r="G31" s="179" t="str">
        <x:v>已完成</x:v>
      </x:c>
      <x:c r="H31" s="180"/>
      <x:c r="I31" s="180"/>
      <x:c r="J31" s="184" t="str">
        <x:v>资料准备完成</x:v>
      </x:c>
      <x:c r="K31" s="179" t="str">
        <x:v>40项保留编号并标明复核状态；有界面证据，未复测不算关闭</x:v>
      </x:c>
      <x:c r="L31" s="179" t="str"/>
      <x:c r="M31" s="179" t="str">
        <x:v>归档本批输出，维护同一编号</x:v>
      </x:c>
      <x:c r="N31" s="179" t="str">
        <x:v>B00</x:v>
      </x:c>
      <x:c r="O31" s="170" t="str">
        <x:v>本期定稿</x:v>
      </x:c>
      <x:c r="P31" s="170" t="str">
        <x:v>B00</x:v>
      </x:c>
      <x:c r="Q31" s="170" t="str">
        <x:v>TASK-026</x:v>
      </x:c>
      <x:c r="R31" s="170" t="str">
        <x:v>不适用</x:v>
      </x:c>
      <x:c r="S31" s="170" t="str">
        <x:v>不适用</x:v>
      </x:c>
      <x:c r="T31" s="170" t="str">
        <x:v>不适用</x:v>
      </x:c>
      <x:c r="U31" s="170" t="str">
        <x:v>用户批准推进计划；SOURCE-014/015；本轮复核</x:v>
      </x:c>
      <x:c r="V31" s="170" t="str">
        <x:v>待指定</x:v>
      </x:c>
    </x:row>
    <x:row r="32" ht="74" customHeight="1">
      <x:c r="A32" s="179" t="str">
        <x:v>TASK-028</x:v>
      </x:c>
      <x:c r="B32" s="179" t="str">
        <x:v>B00</x:v>
      </x:c>
      <x:c r="C32" s="179" t="str">
        <x:v>升级主台账与客户范围问题材料</x:v>
      </x:c>
      <x:c r="D32" s="179" t="str">
        <x:v>定稿准备/分批评审</x:v>
      </x:c>
      <x:c r="E32" s="179" t="str">
        <x:v>P0</x:v>
      </x:c>
      <x:c r="F32" s="179" t="str">
        <x:v>本轮AI执行；后续维护人待指定</x:v>
      </x:c>
      <x:c r="G32" s="179" t="str">
        <x:v>已完成</x:v>
      </x:c>
      <x:c r="H32" s="180"/>
      <x:c r="I32" s="180"/>
      <x:c r="J32" s="184" t="str">
        <x:v>资料准备完成</x:v>
      </x:c>
      <x:c r="K32" s="179" t="str">
        <x:v>原6页结构及旧编号保留，三状态分开，客户反馈可填写</x:v>
      </x:c>
      <x:c r="L32" s="179" t="str"/>
      <x:c r="M32" s="179" t="str">
        <x:v>归档本批输出，维护同一编号</x:v>
      </x:c>
      <x:c r="N32" s="179" t="str">
        <x:v>B00</x:v>
      </x:c>
      <x:c r="O32" s="170" t="str">
        <x:v>本期定稿</x:v>
      </x:c>
      <x:c r="P32" s="170" t="str">
        <x:v>B00</x:v>
      </x:c>
      <x:c r="Q32" s="170" t="str">
        <x:v>TASK-026</x:v>
      </x:c>
      <x:c r="R32" s="170" t="str">
        <x:v>不适用</x:v>
      </x:c>
      <x:c r="S32" s="170" t="str">
        <x:v>不适用</x:v>
      </x:c>
      <x:c r="T32" s="170" t="str">
        <x:v>不适用</x:v>
      </x:c>
      <x:c r="U32" s="170" t="str">
        <x:v>用户批准推进计划；SOURCE-014/015；本轮复核</x:v>
      </x:c>
      <x:c r="V32" s="170" t="str">
        <x:v>待指定</x:v>
      </x:c>
    </x:row>
    <x:row r="33" ht="74" customHeight="1">
      <x:c r="A33" s="179" t="str">
        <x:v>TASK-029</x:v>
      </x:c>
      <x:c r="B33" s="179" t="str">
        <x:v>B00</x:v>
      </x:c>
      <x:c r="C33" s="179" t="str">
        <x:v>同步Hub最新要求、来源和当前问题</x:v>
      </x:c>
      <x:c r="D33" s="179" t="str">
        <x:v>定稿准备/分批评审</x:v>
      </x:c>
      <x:c r="E33" s="179" t="str">
        <x:v>P0</x:v>
      </x:c>
      <x:c r="F33" s="179" t="str">
        <x:v>本轮AI执行；后续维护人待指定</x:v>
      </x:c>
      <x:c r="G33" s="179" t="str">
        <x:v>已完成</x:v>
      </x:c>
      <x:c r="H33" s="180"/>
      <x:c r="I33" s="180"/>
      <x:c r="J33" s="184" t="str">
        <x:v>资料准备完成</x:v>
      </x:c>
      <x:c r="K33" s="179" t="str">
        <x:v>39项要求可搜索追溯，16客户问题与历史问题区分，旧编号保留</x:v>
      </x:c>
      <x:c r="L33" s="179" t="str"/>
      <x:c r="M33" s="179" t="str">
        <x:v>归档本批输出，维护同一编号</x:v>
      </x:c>
      <x:c r="N33" s="179" t="str">
        <x:v>B00</x:v>
      </x:c>
      <x:c r="O33" s="170" t="str">
        <x:v>本期定稿</x:v>
      </x:c>
      <x:c r="P33" s="170" t="str">
        <x:v>B00</x:v>
      </x:c>
      <x:c r="Q33" s="170" t="str">
        <x:v>TASK-026</x:v>
      </x:c>
      <x:c r="R33" s="170" t="str">
        <x:v>不适用</x:v>
      </x:c>
      <x:c r="S33" s="170" t="str">
        <x:v>不适用</x:v>
      </x:c>
      <x:c r="T33" s="170" t="str">
        <x:v>不适用</x:v>
      </x:c>
      <x:c r="U33" s="170" t="str">
        <x:v>用户批准推进计划；SOURCE-014/015；本轮复核</x:v>
      </x:c>
      <x:c r="V33" s="170" t="str">
        <x:v>待指定</x:v>
      </x:c>
    </x:row>
    <x:row r="34" ht="74" customHeight="1">
      <x:c r="A34" s="179" t="str">
        <x:v>TASK-030</x:v>
      </x:c>
      <x:c r="B34" s="179" t="str">
        <x:v>B00</x:v>
      </x:c>
      <x:c r="C34" s="179" t="str">
        <x:v>客户确认本期业务范围</x:v>
      </x:c>
      <x:c r="D34" s="179" t="str">
        <x:v>定稿准备/分批评审</x:v>
      </x:c>
      <x:c r="E34" s="179" t="str">
        <x:v>P0</x:v>
      </x:c>
      <x:c r="F34" s="179" t="str">
        <x:v>客户业务负责人（待指定）</x:v>
      </x:c>
      <x:c r="G34" s="179" t="str">
        <x:v>待确认</x:v>
      </x:c>
      <x:c r="H34" s="180"/>
      <x:c r="I34" s="180"/>
      <x:c r="J34" s="184" t="str"/>
      <x:c r="K34" s="179" t="str">
        <x:v>SCOPE-01～09逐项选择并记录确认人、日期和版本</x:v>
      </x:c>
      <x:c r="L34" s="179" t="str">
        <x:v>内部候选范围及评审准备未完成</x:v>
      </x:c>
      <x:c r="M34" s="179" t="str">
        <x:v>先完成首批内部流程、原型走查与候选方案，再组织范围评审；必要资料可提前澄清</x:v>
      </x:c>
      <x:c r="N34" s="179" t="str">
        <x:v>B00</x:v>
      </x:c>
      <x:c r="O34" s="170" t="str">
        <x:v>本期定稿</x:v>
      </x:c>
      <x:c r="P34" s="170" t="str">
        <x:v>B00</x:v>
      </x:c>
      <x:c r="Q34" s="170" t="str">
        <x:v>TASK-041（正式范围评审前）；必要澄清可提前</x:v>
      </x:c>
      <x:c r="R34" s="170" t="str">
        <x:v>待确认</x:v>
      </x:c>
      <x:c r="S34" s="170" t="str">
        <x:v>不适用</x:v>
      </x:c>
      <x:c r="T34" s="170" t="str">
        <x:v>不适用</x:v>
      </x:c>
      <x:c r="U34" s="170" t="str">
        <x:v>用户批准推进计划；SOURCE-014/015；本轮复核</x:v>
      </x:c>
      <x:c r="V34" s="170" t="str">
        <x:v>待指定</x:v>
      </x:c>
    </x:row>
    <x:row r="35" ht="74" customHeight="1">
      <x:c r="A35" s="179" t="str">
        <x:v>TASK-031</x:v>
      </x:c>
      <x:c r="B35" s="179" t="str">
        <x:v>B00</x:v>
      </x:c>
      <x:c r="C35" s="179" t="str">
        <x:v>指定各批次主写人与评审参与人</x:v>
      </x:c>
      <x:c r="D35" s="179" t="str">
        <x:v>定稿准备/分批评审</x:v>
      </x:c>
      <x:c r="E35" s="179" t="str">
        <x:v>P0</x:v>
      </x:c>
      <x:c r="F35" s="179" t="str">
        <x:v>Codex负责内部整合；真实业务评审/客户联络人待指定</x:v>
      </x:c>
      <x:c r="G35" s="179" t="str">
        <x:v>进行中</x:v>
      </x:c>
      <x:c r="H35" s="180"/>
      <x:c r="I35" s="180"/>
      <x:c r="J35" s="184" t="str">
        <x:v>主台账、原型整合和Hub维护已由用户指定Codex</x:v>
      </x:c>
      <x:c r="K35" s="179" t="str">
        <x:v>Excel、原型、Hub分别明确维护人与当前批次参与人</x:v>
      </x:c>
      <x:c r="L35" s="179" t="str">
        <x:v>业务评审及客户联络人未指定，不阻塞内部核对</x:v>
      </x:c>
      <x:c r="M35" s="179" t="str">
        <x:v>Codex准备确认材料；正式业务签收岗位按实际参与记录</x:v>
      </x:c>
      <x:c r="N35" s="179" t="str">
        <x:v>B00</x:v>
      </x:c>
      <x:c r="O35" s="170" t="str">
        <x:v>本期定稿</x:v>
      </x:c>
      <x:c r="P35" s="170" t="str">
        <x:v>B00</x:v>
      </x:c>
      <x:c r="Q35" s="170" t="str">
        <x:v>TASK-026</x:v>
      </x:c>
      <x:c r="R35" s="170" t="str">
        <x:v>不适用</x:v>
      </x:c>
      <x:c r="S35" s="170" t="str">
        <x:v>不适用</x:v>
      </x:c>
      <x:c r="T35" s="170" t="str">
        <x:v>不适用</x:v>
      </x:c>
      <x:c r="U35" s="170" t="str">
        <x:v>用户2026-10-13授权AI作为项目经理；TEAM-COLLABORATION.md</x:v>
      </x:c>
      <x:c r="V35" s="170" t="str">
        <x:v>Codex</x:v>
      </x:c>
    </x:row>
    <x:row r="36" ht="74" customHeight="1">
      <x:c r="A36" s="179" t="str">
        <x:v>TASK-032</x:v>
      </x:c>
      <x:c r="B36" s="179" t="str">
        <x:v>B01</x:v>
      </x:c>
      <x:c r="C36" s="179" t="str">
        <x:v>公共基础需求/原型分批定稿</x:v>
      </x:c>
      <x:c r="D36" s="179" t="str">
        <x:v>定稿准备/分批评审</x:v>
      </x:c>
      <x:c r="E36" s="179" t="str">
        <x:v>P0</x:v>
      </x:c>
      <x:c r="F36" s="179" t="str">
        <x:v>Codex（内部整合）；业务签收人待指定</x:v>
      </x:c>
      <x:c r="G36" s="179" t="str">
        <x:v>待前置确认</x:v>
      </x:c>
      <x:c r="H36" s="180"/>
      <x:c r="I36" s="180"/>
      <x:c r="J36" s="184" t="str">
        <x:v>客户控件/普通CR读取子项已局部修改复测；整批权限、合同/状态和客户确认未完成</x:v>
      </x:c>
      <x:c r="K36" s="179" t="str">
        <x:v>正确选客户/合同/地点、双语搜索、逐记录正反授权、状态定义可核对</x:v>
      </x:c>
      <x:c r="L36" s="179" t="str">
        <x:v>TASK-030/031</x:v>
      </x:c>
      <x:c r="M36" s="179" t="str">
        <x:v>继续内部角色/合同/状态走查，按局部证据逐项整改；形成可演示方案再客户定稿</x:v>
      </x:c>
      <x:c r="N36" s="179" t="str">
        <x:v>B01</x:v>
      </x:c>
      <x:c r="O36" s="170" t="str">
        <x:v>本期定稿</x:v>
      </x:c>
      <x:c r="P36" s="170" t="str">
        <x:v>B01</x:v>
      </x:c>
      <x:c r="Q36" s="170" t="str">
        <x:v>TASK-030/031</x:v>
      </x:c>
      <x:c r="R36" s="170" t="str">
        <x:v>待确认</x:v>
      </x:c>
      <x:c r="S36" s="170" t="str">
        <x:v>整改中</x:v>
      </x:c>
      <x:c r="T36" s="170" t="str">
        <x:v>未业务验收</x:v>
      </x:c>
      <x:c r="U36" s="170" t="str">
        <x:v>SOURCE-022/024；现有TASK-042/043限定证据；docs/review/2026-10-14-sr-finance/SR-FINANCE-WALKTHROUGH.md §主表汇总修正</x:v>
      </x:c>
      <x:c r="V36" s="170" t="str">
        <x:v>Codex</x:v>
      </x:c>
    </x:row>
    <x:row r="37" ht="74" customHeight="1">
      <x:c r="A37" s="179" t="str">
        <x:v>TASK-033</x:v>
      </x:c>
      <x:c r="B37" s="179" t="str">
        <x:v>B02</x:v>
      </x:c>
      <x:c r="C37" s="179" t="str">
        <x:v>第一条维修链需求/原型分批定稿</x:v>
      </x:c>
      <x:c r="D37" s="179" t="str">
        <x:v>定稿准备/分批评审</x:v>
      </x:c>
      <x:c r="E37" s="179" t="str">
        <x:v>P0</x:v>
      </x:c>
      <x:c r="F37" s="179" t="str">
        <x:v>Codex（内部整合）；业务签收人待指定</x:v>
      </x:c>
      <x:c r="G37" s="179" t="str">
        <x:v>待前置确认</x:v>
      </x:c>
      <x:c r="H37" s="180"/>
      <x:c r="I37" s="180"/>
      <x:c r="J37" s="184" t="str">
        <x:v>维修CP→主管收件确认→共享状态已局部走查；旧001纯SR改列技术证据，不算维修通过</x:v>
      </x:c>
      <x:c r="K37" s="179" t="str">
        <x:v>从真实角色入口到完工交财务，材料门槛/缺件/退回/权限可验证</x:v>
      </x:c>
      <x:c r="L37" s="179" t="str">
        <x:v>TASK-032、本批C-04/08/09及一期范围；003材料/打印/正式预约仍未通</x:v>
      </x:c>
      <x:c r="M37" s="179" t="str">
        <x:v>继续正式预约、材料003/服务单准备及完整维修链；财务流程独立核对，不把完工当开票或收款</x:v>
      </x:c>
      <x:c r="N37" s="179" t="str">
        <x:v>B02</x:v>
      </x:c>
      <x:c r="O37" s="170" t="str">
        <x:v>本期定稿</x:v>
      </x:c>
      <x:c r="P37" s="170" t="str">
        <x:v>B02</x:v>
      </x:c>
      <x:c r="Q37" s="170" t="str">
        <x:v>TASK-032及本批关键决定</x:v>
      </x:c>
      <x:c r="R37" s="170" t="str">
        <x:v>待确认</x:v>
      </x:c>
      <x:c r="S37" s="170" t="str">
        <x:v>整改中</x:v>
      </x:c>
      <x:c r="T37" s="170" t="str">
        <x:v>未业务验收</x:v>
      </x:c>
      <x:c r="U37" s="170" t="str">
        <x:v>SOURCE-022/024/026/027/028；docs/review/2026-10-14-sr-finance/SR-FINANCE-WALKTHROUGH.md；UAT-03未通过，UAT-12/13部分执行</x:v>
      </x:c>
      <x:c r="V37" s="170" t="str">
        <x:v>Codex</x:v>
      </x:c>
    </x:row>
    <x:row r="38" ht="74" customHeight="1">
      <x:c r="A38" s="179" t="str">
        <x:v>TASK-034</x:v>
      </x:c>
      <x:c r="B38" s="179" t="str">
        <x:v>B03</x:v>
      </x:c>
      <x:c r="C38" s="179" t="str">
        <x:v>保养与二次维修需求/原型分批定稿</x:v>
      </x:c>
      <x:c r="D38" s="179" t="str">
        <x:v>定稿准备/分批评审</x:v>
      </x:c>
      <x:c r="E38" s="179" t="str">
        <x:v>P0</x:v>
      </x:c>
      <x:c r="F38" s="179" t="str">
        <x:v>本批业务/原型整合人（待指定）</x:v>
      </x:c>
      <x:c r="G38" s="179" t="str">
        <x:v>待前置确认</x:v>
      </x:c>
      <x:c r="H38" s="180"/>
      <x:c r="I38" s="180"/>
      <x:c r="J38" s="184" t="str"/>
      <x:c r="K38" s="179" t="str">
        <x:v>首尾期独立、M/P不串行强绑、多SR/二次维修来源不丢</x:v>
      </x:c>
      <x:c r="L38" s="179" t="str">
        <x:v>TASK-033及本批关键决定</x:v>
      </x:c>
      <x:c r="M38" s="179" t="str">
        <x:v>整理本批规则和关键问题，客户确认后整改并角色走查</x:v>
      </x:c>
      <x:c r="N38" s="179" t="str">
        <x:v>B03</x:v>
      </x:c>
      <x:c r="O38" s="170" t="str">
        <x:v>本期定稿</x:v>
      </x:c>
      <x:c r="P38" s="170" t="str">
        <x:v>B03</x:v>
      </x:c>
      <x:c r="Q38" s="170" t="str">
        <x:v>TASK-033及本批关键决定</x:v>
      </x:c>
      <x:c r="R38" s="170" t="str">
        <x:v>待确认</x:v>
      </x:c>
      <x:c r="S38" s="170" t="str">
        <x:v>未整改</x:v>
      </x:c>
      <x:c r="T38" s="170" t="str">
        <x:v>未业务验收</x:v>
      </x:c>
      <x:c r="U38" s="170" t="str">
        <x:v>用户批准七批计划；对应UPD/C/UAT及原始资料</x:v>
      </x:c>
      <x:c r="V38" s="170" t="str">
        <x:v>待指定</x:v>
      </x:c>
    </x:row>
    <x:row r="39" ht="74" customHeight="1">
      <x:c r="A39" s="179" t="str">
        <x:v>TASK-035</x:v>
      </x:c>
      <x:c r="B39" s="179" t="str">
        <x:v>B04</x:v>
      </x:c>
      <x:c r="C39" s="179" t="str">
        <x:v>标书业务需求/原型分批定稿</x:v>
      </x:c>
      <x:c r="D39" s="179" t="str">
        <x:v>定稿准备/分批评审</x:v>
      </x:c>
      <x:c r="E39" s="179" t="str">
        <x:v>P0</x:v>
      </x:c>
      <x:c r="F39" s="179" t="str">
        <x:v>本批业务/原型整合人（待指定）</x:v>
      </x:c>
      <x:c r="G39" s="179" t="str">
        <x:v>待前置确认</x:v>
      </x:c>
      <x:c r="H39" s="180"/>
      <x:c r="I39" s="180"/>
      <x:c r="J39" s="184" t="str"/>
      <x:c r="K39" s="179" t="str">
        <x:v>已投标/取消/不投标可查；有报价与无报价两条履约均可达</x:v>
      </x:c>
      <x:c r="L39" s="179" t="str">
        <x:v>TASK-034及本批关键决定</x:v>
      </x:c>
      <x:c r="M39" s="179" t="str">
        <x:v>整理本批规则和关键问题，客户确认后整改并角色走查</x:v>
      </x:c>
      <x:c r="N39" s="179" t="str">
        <x:v>B04</x:v>
      </x:c>
      <x:c r="O39" s="170" t="str">
        <x:v>本期定稿</x:v>
      </x:c>
      <x:c r="P39" s="170" t="str">
        <x:v>B04</x:v>
      </x:c>
      <x:c r="Q39" s="170" t="str">
        <x:v>TASK-034及本批关键决定</x:v>
      </x:c>
      <x:c r="R39" s="170" t="str">
        <x:v>待确认</x:v>
      </x:c>
      <x:c r="S39" s="170" t="str">
        <x:v>未整改</x:v>
      </x:c>
      <x:c r="T39" s="170" t="str">
        <x:v>未业务验收</x:v>
      </x:c>
      <x:c r="U39" s="170" t="str">
        <x:v>用户批准七批计划；对应UPD/C/UAT及原始资料</x:v>
      </x:c>
      <x:c r="V39" s="170" t="str">
        <x:v>待指定</x:v>
      </x:c>
    </x:row>
    <x:row r="40" ht="74" customHeight="1">
      <x:c r="A40" s="179" t="str">
        <x:v>TASK-036</x:v>
      </x:c>
      <x:c r="B40" s="179" t="str">
        <x:v>B05</x:v>
      </x:c>
      <x:c r="C40" s="179" t="str">
        <x:v>财务业务需求/原型分批定稿</x:v>
      </x:c>
      <x:c r="D40" s="179" t="str">
        <x:v>定稿准备/分批评审</x:v>
      </x:c>
      <x:c r="E40" s="179" t="str">
        <x:v>P0</x:v>
      </x:c>
      <x:c r="F40" s="179" t="str">
        <x:v>Codex（内部整合）；业务签收人待指定</x:v>
      </x:c>
      <x:c r="G40" s="179" t="str">
        <x:v>待前置确认</x:v>
      </x:c>
      <x:c r="H40" s="180"/>
      <x:c r="I40" s="180"/>
      <x:c r="J40" s="184" t="str">
        <x:v>维修完工状态/CP资料只读可查，不自动创建财务任务、发票或收款；原SR强制门槛已纠正，完整财务未验</x:v>
      </x:c>
      <x:c r="K40" s="179" t="str">
        <x:v>普通成交能进入财务，正常/例外有证据与授权，完工/收款分开</x:v>
      </x:c>
      <x:c r="L40" s="179" t="str">
        <x:v>TASK-035及本批关键决定</x:v>
      </x:c>
      <x:c r="M40" s="179" t="str">
        <x:v>财务按独立资料包/权限核对；补件、例外、开票/周期账单/收款按B05前置条件推进</x:v>
      </x:c>
      <x:c r="N40" s="179" t="str">
        <x:v>B05</x:v>
      </x:c>
      <x:c r="O40" s="170" t="str">
        <x:v>本期定稿</x:v>
      </x:c>
      <x:c r="P40" s="170" t="str">
        <x:v>B05</x:v>
      </x:c>
      <x:c r="Q40" s="170" t="str">
        <x:v>TASK-035及本批关键决定</x:v>
      </x:c>
      <x:c r="R40" s="170" t="str">
        <x:v>待确认</x:v>
      </x:c>
      <x:c r="S40" s="170" t="str">
        <x:v>整改中</x:v>
      </x:c>
      <x:c r="T40" s="170" t="str">
        <x:v>未业务验收</x:v>
      </x:c>
      <x:c r="U40" s="170" t="str">
        <x:v>docs/review/2026-10-14-sr-finance/SR-FINANCE-WALKTHROUGH.md；UPD-032、REQ-057、UAT-13部分执行。没有开票或收款、客户签收</x:v>
      </x:c>
      <x:c r="V40" s="170" t="str">
        <x:v>Codex</x:v>
      </x:c>
    </x:row>
    <x:row r="41" ht="74" customHeight="1">
      <x:c r="A41" s="179" t="str">
        <x:v>TASK-037</x:v>
      </x:c>
      <x:c r="B41" s="179" t="str">
        <x:v>B06</x:v>
      </x:c>
      <x:c r="C41" s="179" t="str">
        <x:v>跨流程例外需求/原型分批定稿</x:v>
      </x:c>
      <x:c r="D41" s="179" t="str">
        <x:v>定稿准备/分批评审</x:v>
      </x:c>
      <x:c r="E41" s="179" t="str">
        <x:v>P0</x:v>
      </x:c>
      <x:c r="F41" s="179" t="str">
        <x:v>本批业务/原型整合人（待指定）</x:v>
      </x:c>
      <x:c r="G41" s="179" t="str">
        <x:v>待前置确认</x:v>
      </x:c>
      <x:c r="H41" s="180"/>
      <x:c r="I41" s="180"/>
      <x:c r="J41" s="184" t="str"/>
      <x:c r="K41" s="179" t="str">
        <x:v>只执行客户选定策略，原预约/原件/金额与关联历史保留</x:v>
      </x:c>
      <x:c r="L41" s="179" t="str">
        <x:v>TASK-036及本批关键决定</x:v>
      </x:c>
      <x:c r="M41" s="179" t="str">
        <x:v>整理本批规则和关键问题，客户确认后整改并角色走查</x:v>
      </x:c>
      <x:c r="N41" s="179" t="str">
        <x:v>B06</x:v>
      </x:c>
      <x:c r="O41" s="170" t="str">
        <x:v>本期定稿</x:v>
      </x:c>
      <x:c r="P41" s="170" t="str">
        <x:v>B06</x:v>
      </x:c>
      <x:c r="Q41" s="170" t="str">
        <x:v>TASK-036及本批关键决定</x:v>
      </x:c>
      <x:c r="R41" s="170" t="str">
        <x:v>待确认</x:v>
      </x:c>
      <x:c r="S41" s="170" t="str">
        <x:v>未整改</x:v>
      </x:c>
      <x:c r="T41" s="170" t="str">
        <x:v>未业务验收</x:v>
      </x:c>
      <x:c r="U41" s="170" t="str">
        <x:v>用户批准七批计划；对应UPD/C/UAT及原始资料</x:v>
      </x:c>
      <x:c r="V41" s="170" t="str">
        <x:v>待指定</x:v>
      </x:c>
    </x:row>
    <x:row r="42" ht="74" customHeight="1">
      <x:c r="A42" s="179" t="str">
        <x:v>TASK-038</x:v>
      </x:c>
      <x:c r="B42" s="179" t="str">
        <x:v>B07</x:v>
      </x:c>
      <x:c r="C42" s="179" t="str">
        <x:v>全链定版需求/原型分批定稿</x:v>
      </x:c>
      <x:c r="D42" s="179" t="str">
        <x:v>定稿准备/分批评审</x:v>
      </x:c>
      <x:c r="E42" s="179" t="str">
        <x:v>P0</x:v>
      </x:c>
      <x:c r="F42" s="179" t="str">
        <x:v>本批业务/原型整合人（待指定）</x:v>
      </x:c>
      <x:c r="G42" s="179" t="str">
        <x:v>待前置确认</x:v>
      </x:c>
      <x:c r="H42" s="180"/>
      <x:c r="I42" s="180"/>
      <x:c r="J42" s="184" t="str"/>
      <x:c r="K42" s="179" t="str">
        <x:v>本期阻塞关闭，确认表/原型版本/验收证据对应并签收</x:v>
      </x:c>
      <x:c r="L42" s="179" t="str">
        <x:v>TASK-037及本批关键决定</x:v>
      </x:c>
      <x:c r="M42" s="179" t="str">
        <x:v>整理本批规则和关键问题，客户确认后整改并角色走查</x:v>
      </x:c>
      <x:c r="N42" s="179" t="str">
        <x:v>B07</x:v>
      </x:c>
      <x:c r="O42" s="170" t="str">
        <x:v>本期定稿</x:v>
      </x:c>
      <x:c r="P42" s="170" t="str">
        <x:v>B07</x:v>
      </x:c>
      <x:c r="Q42" s="170" t="str">
        <x:v>TASK-037及本批关键决定</x:v>
      </x:c>
      <x:c r="R42" s="170" t="str">
        <x:v>待确认</x:v>
      </x:c>
      <x:c r="S42" s="170" t="str">
        <x:v>未整改</x:v>
      </x:c>
      <x:c r="T42" s="170" t="str">
        <x:v>未业务验收</x:v>
      </x:c>
      <x:c r="U42" s="170" t="str">
        <x:v>用户批准七批计划；对应UPD/C/UAT及原始资料</x:v>
      </x:c>
      <x:c r="V42" s="170" t="str">
        <x:v>待指定</x:v>
      </x:c>
    </x:row>
    <x:row r="43" ht="95" customHeight="1">
      <x:c r="A43" s="179" t="str">
        <x:v>TASK-039</x:v>
      </x:c>
      <x:c r="B43" s="179" t="str">
        <x:v>B01/B02</x:v>
      </x:c>
      <x:c r="C43" s="179" t="str">
        <x:v>内部核对公共基础与第一维修链</x:v>
      </x:c>
      <x:c r="D43" s="179" t="str">
        <x:v>内部业务梳理</x:v>
      </x:c>
      <x:c r="E43" s="179" t="str">
        <x:v>P0</x:v>
      </x:c>
      <x:c r="F43" s="179" t="str">
        <x:v>AI项目经理（Codex）</x:v>
      </x:c>
      <x:c r="G43" s="179" t="str">
        <x:v>已完成</x:v>
      </x:c>
      <x:c r="H43" s="180"/>
      <x:c r="I43" s="180"/>
      <x:c r="J43" s="181" t="str">
        <x:v>27个基础/主链/异常核对点已形成资料对照</x:v>
      </x:c>
      <x:c r="K43" s="179" t="str">
        <x:v>逐节点写清入口、角色、字段、状态、交接及正常/异常出口；每条规则有出处，未知或冲突不填默认答案</x:v>
      </x:c>
      <x:c r="L43" s="179" t="str">
        <x:v>范围、状态和授权仍有未决，不等于需求定稿</x:v>
      </x:c>
      <x:c r="M43" s="179" t="str">
        <x:v>按当前走查证据推进最小整改，未决项带方案</x:v>
      </x:c>
      <x:c r="N43" s="179" t="str">
        <x:v>B01/B02</x:v>
      </x:c>
      <x:c r="O43" s="170" t="str">
        <x:v>本期定稿</x:v>
      </x:c>
      <x:c r="P43" s="170" t="str">
        <x:v>B01/B02</x:v>
      </x:c>
      <x:c r="Q43" s="170" t="str">
        <x:v>无</x:v>
      </x:c>
      <x:c r="R43" s="170" t="str">
        <x:v>不适用</x:v>
      </x:c>
      <x:c r="S43" s="170" t="str">
        <x:v>不适用</x:v>
      </x:c>
      <x:c r="T43" s="170" t="str">
        <x:v>不适用</x:v>
      </x:c>
      <x:c r="U43" s="170" t="str">
        <x:v>docs/knowledge/03-business/B01-B02-INTERNAL-BASELINE-20261013.md</x:v>
      </x:c>
      <x:c r="V43" s="170" t="str">
        <x:v>Codex</x:v>
      </x:c>
    </x:row>
    <x:row r="44" ht="95" customHeight="1">
      <x:c r="A44" s="187" t="str">
        <x:v>TASK-040</x:v>
      </x:c>
      <x:c r="B44" s="187" t="str">
        <x:v>B01/B02</x:v>
      </x:c>
      <x:c r="C44" s="187" t="str">
        <x:v>实际原型按角色走查首批业务</x:v>
      </x:c>
      <x:c r="D44" s="187" t="str">
        <x:v>内部原型走查</x:v>
      </x:c>
      <x:c r="E44" s="187" t="str">
        <x:v>P0</x:v>
      </x:c>
      <x:c r="F44" s="187" t="str">
        <x:v>AI项目经理（Codex）</x:v>
      </x:c>
      <x:c r="G44" s="187" t="str">
        <x:v>进行中</x:v>
      </x:c>
      <x:c r="H44" s="217"/>
      <x:c r="I44" s="217"/>
      <x:c r="J44" s="218" t="str">
        <x:v>此前CP/备注局部结果保持；新增SF-06无物料列表/交付显示复测通过，材料003待备货保持</x:v>
      </x:c>
      <x:c r="K44" s="187" t="str">
        <x:v>按正常UI实际走查公共基础和受理至完工交财务，记录角色、步骤、实际结果及证据；断点、异常和未执行均明确</x:v>
      </x:c>
      <x:c r="L44" s="187" t="str">
        <x:v>材料003/出发前打印领单/真实回写未通；电话实际沟通不由系统或测试代确认</x:v>
      </x:c>
      <x:c r="M44" s="187" t="str">
        <x:v>用户按7组清单审查；Codex继续打印/领单、材料003及SF-05，整链完成后再客户定稿</x:v>
      </x:c>
      <x:c r="N44" s="187" t="str">
        <x:v>B01/B02</x:v>
      </x:c>
      <x:c r="O44" s="170" t="str">
        <x:v>本期定稿</x:v>
      </x:c>
      <x:c r="P44" s="170" t="str">
        <x:v>B01/B02</x:v>
      </x:c>
      <x:c r="Q44" s="170" t="str">
        <x:v>TASK-039</x:v>
      </x:c>
      <x:c r="R44" s="170" t="str">
        <x:v>不适用</x:v>
      </x:c>
      <x:c r="S44" s="170" t="str">
        <x:v>不适用</x:v>
      </x:c>
      <x:c r="T44" s="170" t="str">
        <x:v>不适用</x:v>
      </x:c>
      <x:c r="U44" s="170" t="str">
        <x:v>docs/review/2026-10-14-user-review/INTERNAL-REVIEW-CHECKLIST.md A1～A7；docs/review/2026-10-14-sr-finance/SR-FINANCE-WALKTHROUGH.md §用户审查与SF-06；32/33本轮只读证据</x:v>
      </x:c>
      <x:c r="V44" s="170" t="str">
        <x:v>Codex</x:v>
      </x:c>
    </x:row>
    <x:row r="45" ht="95" customHeight="1">
      <x:c r="A45" s="170" t="str">
        <x:v>TASK-041</x:v>
      </x:c>
      <x:c r="B45" s="170" t="str">
        <x:v>B01/B02</x:v>
      </x:c>
      <x:c r="C45" s="170" t="str">
        <x:v>整理首批内部整改与客户评审候选</x:v>
      </x:c>
      <x:c r="D45" s="170" t="str">
        <x:v>内部评审准备</x:v>
      </x:c>
      <x:c r="E45" s="170" t="str">
        <x:v>P0</x:v>
      </x:c>
      <x:c r="F45" s="170" t="str">
        <x:v>Codex逐项核对；用户说明业务</x:v>
      </x:c>
      <x:c r="G45" s="170" t="str">
        <x:v>进行中</x:v>
      </x:c>
      <x:c r="H45" s="178"/>
      <x:c r="I45" s="178"/>
      <x:c r="J45" s="170" t="str">
        <x:v>已说明的业务问题保持收口；新增7组局部成果审查材料，先A5/A6；尚未取得用户审查意见</x:v>
      </x:c>
      <x:c r="K45" s="170" t="str">
        <x:v>一次一个业务问题；记录用户回答、身份/范围/冲突；用户也无法回答的登记客户未决，不冒充正式客户批准</x:v>
      </x:c>
      <x:c r="L45" s="170" t="str">
        <x:v>C-04材料、C-08出发前打印/交付及补证、C-09编号细则保持待客户；当前三问已回答</x:v>
      </x:c>
      <x:c r="M45" s="170" t="str">
        <x:v>收集具体A编号/现象，复核后回填同一主表；内部审查不自动当客户签批或UAT整项通过</x:v>
      </x:c>
      <x:c r="N45" s="170" t="str">
        <x:v>B01/B02</x:v>
      </x:c>
      <x:c r="O45" s="170" t="str">
        <x:v>本期定稿</x:v>
      </x:c>
      <x:c r="P45" s="170" t="str">
        <x:v>B01/B02</x:v>
      </x:c>
      <x:c r="Q45" s="170" t="str">
        <x:v>TASK-039/040</x:v>
      </x:c>
      <x:c r="R45" s="170" t="str">
        <x:v>不适用</x:v>
      </x:c>
      <x:c r="S45" s="170" t="str">
        <x:v>不适用</x:v>
      </x:c>
      <x:c r="T45" s="170" t="str">
        <x:v>不适用</x:v>
      </x:c>
      <x:c r="U45" s="170" t="str">
        <x:v>docs/review/2026-10-14-user-review/INTERNAL-REVIEW-CHECKLIST.md；来源/证据/岗位/操作/未验证边界完整</x:v>
      </x:c>
      <x:c r="V45" s="170" t="str">
        <x:v>Codex</x:v>
      </x:c>
    </x:row>
    <x:row r="46" ht="95" customHeight="1">
      <x:c r="A46" s="179" t="str">
        <x:v>TASK-042</x:v>
      </x:c>
      <x:c r="B46" s="179" t="str">
        <x:v>B01</x:v>
      </x:c>
      <x:c r="C46" s="179" t="str">
        <x:v>修复CR实际区域与客户控件联动</x:v>
      </x:c>
      <x:c r="D46" s="179" t="str">
        <x:v>明确问题整改</x:v>
      </x:c>
      <x:c r="E46" s="179" t="str">
        <x:v>P0</x:v>
      </x:c>
      <x:c r="F46" s="179" t="str">
        <x:v>AI项目经理（Codex）</x:v>
      </x:c>
      <x:c r="G46" s="179" t="str">
        <x:v>已完成</x:v>
      </x:c>
      <x:c r="H46" s="180"/>
      <x:c r="I46" s="180"/>
      <x:c r="J46" s="181" t="str">
        <x:v>代码已改；限定内部复测通过</x:v>
      </x:c>
      <x:c r="K46" s="179" t="str">
        <x:v>CR 1/2/3区首页/CALL/关联报价/分派按实际人员，1区筛选2区无记录；私人/政府客户联动不抛异常，完整权限另验</x:v>
      </x:c>
      <x:c r="L46" s="179" t="str">
        <x:v>限定读取/客户联动整改已复测；全动作/移动端/夜班仍待评审</x:v>
      </x:c>
      <x:c r="M46" s="179" t="str">
        <x:v>完整权限矩阵另批验证，保留本轮证据</x:v>
      </x:c>
      <x:c r="N46" s="179" t="str">
        <x:v>B01</x:v>
      </x:c>
      <x:c r="O46" s="170" t="str">
        <x:v>本期内部整改候选</x:v>
      </x:c>
      <x:c r="P46" s="170" t="str">
        <x:v>B01</x:v>
      </x:c>
      <x:c r="Q46" s="170" t="str">
        <x:v>TASK-039/040；用户授权项目经理推进</x:v>
      </x:c>
      <x:c r="R46" s="170" t="str">
        <x:v>不适用</x:v>
      </x:c>
      <x:c r="S46" s="170" t="str">
        <x:v>已修改</x:v>
      </x:c>
      <x:c r="T46" s="170" t="str">
        <x:v>未业务验收</x:v>
      </x:c>
      <x:c r="U46" s="170" t="str">
        <x:v>INT-20261013-01/08；UPD-006；SOURCE-015 P40；docs/review/2026-10-13-b01-b02-internal/REMEDIATION-RESULT.md</x:v>
      </x:c>
      <x:c r="V46" s="170" t="str">
        <x:v>Codex</x:v>
      </x:c>
    </x:row>
    <x:row r="47" ht="95" customHeight="1">
      <x:c r="A47" s="179" t="str">
        <x:v>TASK-043</x:v>
      </x:c>
      <x:c r="B47" s="179" t="str">
        <x:v>B02</x:v>
      </x:c>
      <x:c r="C47" s="179" t="str">
        <x:v>补齐CS转交入口与QUO负责人候选</x:v>
      </x:c>
      <x:c r="D47" s="179" t="str">
        <x:v>明确问题整改</x:v>
      </x:c>
      <x:c r="E47" s="179" t="str">
        <x:v>P0</x:v>
      </x:c>
      <x:c r="F47" s="179" t="str">
        <x:v>AI项目经理（Codex）</x:v>
      </x:c>
      <x:c r="G47" s="179" t="str">
        <x:v>已完成</x:v>
      </x:c>
      <x:c r="H47" s="180"/>
      <x:c r="I47" s="180"/>
      <x:c r="J47" s="181" t="str">
        <x:v>代码已改；限定内部复测通过</x:v>
      </x:c>
      <x:c r="K47" s="179" t="str">
        <x:v>CS发起、CR/TL转交、QUO接手可达且来源/转交记录对应；负责人包含既有QUO岗位；防重复，不新增审批策略</x:v>
      </x:c>
      <x:c r="L47" s="179" t="str">
        <x:v>正常请求交接、QUO负责人已复测；无关联CALL/全部异常未验</x:v>
      </x:c>
      <x:c r="M47" s="179" t="str">
        <x:v>保留来源与交接记录，整链继续材料与施工</x:v>
      </x:c>
      <x:c r="N47" s="179" t="str">
        <x:v>B02</x:v>
      </x:c>
      <x:c r="O47" s="170" t="str">
        <x:v>本期内部整改候选</x:v>
      </x:c>
      <x:c r="P47" s="170" t="str">
        <x:v>B02</x:v>
      </x:c>
      <x:c r="Q47" s="170" t="str">
        <x:v>TASK-042；用户授权项目经理推进</x:v>
      </x:c>
      <x:c r="R47" s="170" t="str">
        <x:v>不适用</x:v>
      </x:c>
      <x:c r="S47" s="170" t="str">
        <x:v>已修改</x:v>
      </x:c>
      <x:c r="T47" s="170" t="str">
        <x:v>未业务验收</x:v>
      </x:c>
      <x:c r="U47" s="170" t="str">
        <x:v>INT-20261013-03/04；CONFIRMED-008/009；REQ-005/043/045；docs/review/2026-10-13-b01-b02-internal/REMEDIATION-RESULT.md</x:v>
      </x:c>
      <x:c r="V47" s="170" t="str">
        <x:v>Codex</x:v>
      </x:c>
    </x:row>
    <x:row r="48" ht="95" customHeight="1">
      <x:c r="A48" s="179" t="str">
        <x:v>TASK-044</x:v>
      </x:c>
      <x:c r="B48" s="179" t="str">
        <x:v>B02</x:v>
      </x:c>
      <x:c r="C48" s="179" t="str">
        <x:v>准备MR就绪入口与系统分工候选</x:v>
      </x:c>
      <x:c r="D48" s="179" t="str">
        <x:v>内部候选准备</x:v>
      </x:c>
      <x:c r="E48" s="179" t="str">
        <x:v>P0</x:v>
      </x:c>
      <x:c r="F48" s="179" t="str">
        <x:v>AI项目经理（Codex）</x:v>
      </x:c>
      <x:c r="G48" s="179" t="str">
        <x:v>进行中</x:v>
      </x:c>
      <x:c r="H48" s="180"/>
      <x:c r="I48" s="180"/>
      <x:c r="J48" s="181" t="str">
        <x:v>原材料门槛结果保持；本轮核打印字段来源/现场空白区，未实现打印、发号或领取闭环</x:v>
      </x:c>
      <x:c r="K48" s="179" t="str">
        <x:v>用现有MR/SP源单和真实岗位说明谁确认材料就绪、哪系统写入、如何回传；C-04未定不默认授权或自动映射</x:v>
      </x:c>
      <x:c r="L48" s="179" t="str">
        <x:v>仓管是否仅出库、在哪张单确认备齐尚待客户；真实回写、齐料成功及异常未通过</x:v>
      </x:c>
      <x:c r="M48" s="179" t="str">
        <x:v>按SR/CP分别准备只读打印样张，校核账号/合同和CP模板；未定岗位/号段保持C-08/09</x:v>
      </x:c>
      <x:c r="N48" s="179" t="str">
        <x:v>B02</x:v>
      </x:c>
      <x:c r="O48" s="170" t="str">
        <x:v>本期内部整改候选</x:v>
      </x:c>
      <x:c r="P48" s="170" t="str">
        <x:v>B02</x:v>
      </x:c>
      <x:c r="Q48" s="170" t="str">
        <x:v>TASK-040；C-04业务决定</x:v>
      </x:c>
      <x:c r="R48" s="170" t="str">
        <x:v>待确认</x:v>
      </x:c>
      <x:c r="S48" s="170" t="str">
        <x:v>已修改</x:v>
      </x:c>
      <x:c r="T48" s="170" t="str">
        <x:v>未业务验收</x:v>
      </x:c>
      <x:c r="U48" s="170" t="str">
        <x:v>docs/review/2026-10-14-material-handoff/MATERIAL-HANDOFF-REVIEW.md §出发前打印继续核对；SOURCE-022最新说明；REQ-021/027/031</x:v>
      </x:c>
      <x:c r="V48" s="170" t="str">
        <x:v>Codex</x:v>
      </x:c>
    </x:row>
    <x:row r="49" ht="95" customHeight="1">
      <x:c r="A49" s="179" t="str">
        <x:v>TASK-045</x:v>
      </x:c>
      <x:c r="B49" s="179" t="str">
        <x:v>B02</x:v>
      </x:c>
      <x:c r="C49" s="179" t="str">
        <x:v>报价入口条款与交付Tab最小一致性整改</x:v>
      </x:c>
      <x:c r="D49" s="179" t="str">
        <x:v>内部原型整改</x:v>
      </x:c>
      <x:c r="E49" s="179" t="str">
        <x:v>P1</x:v>
      </x:c>
      <x:c r="F49" s="179" t="str">
        <x:v>AI项目经理（Codex）</x:v>
      </x:c>
      <x:c r="G49" s="179" t="str">
        <x:v>进行中</x:v>
      </x:c>
      <x:c r="H49" s="180"/>
      <x:c r="I49" s="180"/>
      <x:c r="J49" s="181" t="str">
        <x:v>报价条款/交付Tab历史局部结果保持；新增SF-06无物料显示，002/003只读核对</x:v>
      </x:c>
      <x:c r="K49" s="179" t="str">
        <x:v>明示条款跨来源/编辑/详情一致，交付Tab可达；OurRef完整格式和未定默认值保持候选，不静默改历史</x:v>
      </x:c>
      <x:c r="L49" s="179" t="str">
        <x:v>有效期60/90默认/起算、保固选项及精确编号待核；打印/旧编辑/移动端未全验</x:v>
      </x:c>
      <x:c r="M49" s="179" t="str">
        <x:v>用户审查A3；继续报价修订/条款/编号及SF-05，不关闭整个TASK-045</x:v>
      </x:c>
      <x:c r="N49" s="179" t="str">
        <x:v>B02</x:v>
      </x:c>
      <x:c r="O49" s="170" t="str">
        <x:v>本期内部整改候选</x:v>
      </x:c>
      <x:c r="P49" s="170" t="str">
        <x:v>B02</x:v>
      </x:c>
      <x:c r="Q49" s="170" t="str">
        <x:v>TASK-043；涉及编号时先C-09</x:v>
      </x:c>
      <x:c r="R49" s="170" t="str">
        <x:v>待确认</x:v>
      </x:c>
      <x:c r="S49" s="170" t="str">
        <x:v>已修改</x:v>
      </x:c>
      <x:c r="T49" s="170" t="str">
        <x:v>未业务验收</x:v>
      </x:c>
      <x:c r="U49" s="170" t="str">
        <x:v>docs/review/2026-10-14-sr-finance/SR-FINANCE-WALKTHROUGH.md §用户审查与SF-06；docs/review/2026-10-14-user-review/INTERNAL-REVIEW-CHECKLIST.md A3；SOURCE-026既有条款证据保留</x:v>
      </x:c>
      <x:c r="V49" s="170" t="str">
        <x:v>Codex</x:v>
      </x:c>
    </x:row>
  </x:sheetData>
  <x:mergeCells>
    <x:mergeCell ref="A1:N1"/>
    <x:mergeCell ref="A2:N2"/>
  </x:mergeCells>
  <x:conditionalFormatting sqref="G5:G44">
    <x:cfRule type="containsText" dxfId="39" priority="1" operator="containsText" text="已完成"/>
    <x:cfRule type="containsText" dxfId="40" priority="2" operator="containsText" text="PASS"/>
    <x:cfRule type="containsText" dxfId="41" priority="3" operator="containsText" text="基本完成"/>
    <x:cfRule type="containsText" dxfId="42" priority="4" operator="containsText" text="部分完成"/>
    <x:cfRule type="containsText" dxfId="43" priority="5" operator="containsText" text="部分通过"/>
    <x:cfRule type="containsText" dxfId="44" priority="6" operator="containsText" text="修复中"/>
    <x:cfRule type="containsText" dxfId="45" priority="7" operator="containsText" text="待收口"/>
    <x:cfRule type="containsText" dxfId="46" priority="8" operator="containsText" text="待验收"/>
    <x:cfRule type="containsText" dxfId="47" priority="9" operator="containsText" text="待确认"/>
    <x:cfRule type="containsText" dxfId="48" priority="10" operator="containsText" text="待开发"/>
    <x:cfRule type="containsText" dxfId="49" priority="11" operator="containsText" text="BLOCKED"/>
    <x:cfRule type="containsText" dxfId="50" priority="12" operator="containsText" text="未开始"/>
    <x:cfRule type="containsText" dxfId="51" priority="13" operator="containsText" text="未完成"/>
  </x:conditionalFormatting>
  <x:conditionalFormatting sqref="J43:J44">
    <x:cfRule type="dataBar" priority="14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{ECDC0913-999F-C0B7-003C-F875C50478BC}</x14:id>
        </x:ext>
      </x:extLst>
    </x:cfRule>
  </x:conditionalFormatting>
  <x:dataValidations count="19">
    <x:dataValidation type="list" sqref="E5:E42">
      <x:formula1>"P0,P1,P2,P3"</x:formula1>
    </x:dataValidation>
    <x:dataValidation type="list" sqref="F5:F42">
      <x:formula1>"技术开发,测试验收,产品负责人,业务负责人,数据负责人,客户IT运维,技术开发／测试验收,技术开发／产品负责人,数据负责人／业务负责人"</x:formula1>
    </x:dataValidation>
    <x:dataValidation type="list" sqref="E5:E29">
      <x:formula1>"P0,P1,P2"</x:formula1>
    </x:dataValidation>
    <x:dataValidation type="list" sqref="G5:G42">
      <x:formula1>"历史记录待复核,后续阶段，未启动,已完成,待确认,待指定,待前置确认,进行中,待验收"</x:formula1>
    </x:dataValidation>
    <x:dataValidation type="list" sqref="R5:R42">
      <x:formula1>"待确认,已确认,不适用"</x:formula1>
    </x:dataValidation>
    <x:dataValidation type="list" sqref="S5:S42">
      <x:formula1>"未整改,整改中,已修改,不适用"</x:formula1>
    </x:dataValidation>
    <x:dataValidation type="list" sqref="T5:T42">
      <x:formula1>"未业务验收,验收中,已通过,不适用"</x:formula1>
    </x:dataValidation>
    <x:dataValidation type="list" sqref="E43:E45">
      <x:formula1>"P0,P1,P2"</x:formula1>
    </x:dataValidation>
    <x:dataValidation type="list" sqref="R43:R45">
      <x:formula1>"不适用"</x:formula1>
    </x:dataValidation>
    <x:dataValidation type="list" sqref="S43:S45">
      <x:formula1>"不适用"</x:formula1>
    </x:dataValidation>
    <x:dataValidation type="list" sqref="T43:T45">
      <x:formula1>"不适用"</x:formula1>
    </x:dataValidation>
    <x:dataValidation type="list" sqref="G43:G49">
      <x:formula1>"未开始,进行中,待内部评审,待确认,已完成"</x:formula1>
    </x:dataValidation>
    <x:dataValidation type="list" sqref="F43:F44">
      <x:formula1>"AI项目经理（Codex）,Codex整合与复测；用户确认具体成果,待指定"</x:formula1>
    </x:dataValidation>
    <x:dataValidation type="list" sqref="F46:F49">
      <x:formula1>"AI项目经理（Codex）,Codex整合与复测；用户确认具体成果,待指定"</x:formula1>
    </x:dataValidation>
    <x:dataValidation type="list" sqref="E46:E49">
      <x:formula1>"P0,P1,P2"</x:formula1>
    </x:dataValidation>
    <x:dataValidation type="list" sqref="R46:R49">
      <x:formula1>"待确认,已确认,不适用"</x:formula1>
    </x:dataValidation>
    <x:dataValidation type="list" sqref="S46:S49">
      <x:formula1>"未整改,整改中,已修改,不适用"</x:formula1>
    </x:dataValidation>
    <x:dataValidation type="list" sqref="T46:T49">
      <x:formula1>"未业务验收,验收中,已通过,不适用"</x:formula1>
    </x:dataValidation>
    <x:dataValidation type="list" sqref="F45">
      <x:formula1>"Codex逐项核对；用户说明业务,待指定"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bb28dcb4014c9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4" id="{ECDC0913-999F-C0B7-003C-F875C50478BC}">
            <x14:dataBar gradient="1">
              <x14:cfvo type="min"/>
              <x14:cfvo type="max"/>
              <x14:fillColor rgb="FF4F46E5"/>
            </x14:dataBar>
          </x14:cfRule>
          <xm:sqref>J43:J44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28" hidden="0" customWidth="1"/>
    <x:col min="3" max="3" width="42" hidden="0" customWidth="1"/>
    <x:col min="4" max="4" width="38" hidden="0" customWidth="1"/>
    <x:col min="5" max="5" width="14" hidden="0" customWidth="1"/>
    <x:col min="6" max="6" width="44" hidden="0" customWidth="1"/>
    <x:col min="7" max="7" width="32" hidden="0" customWidth="1"/>
    <x:col min="8" max="8" width="26" hidden="0" customWidth="1"/>
    <x:col min="9" max="9" width="3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4" customHeight="1">
      <x:c r="A1" s="3" t="str">
        <x:v>验收清单</x:v>
      </x:c>
      <x:c r="B1" s="3" t="str">
        <x:v>验收清单</x:v>
      </x:c>
      <x:c r="C1" s="3" t="str">
        <x:v>验收清单</x:v>
      </x:c>
      <x:c r="D1" s="3" t="str">
        <x:v>验收清单</x:v>
      </x:c>
      <x:c r="E1" s="3" t="str">
        <x:v>验收清单</x:v>
      </x:c>
      <x:c r="F1" s="3" t="str">
        <x:v>验收清单</x:v>
      </x:c>
      <x:c r="G1" s="3" t="str">
        <x:v>验收清单</x:v>
      </x:c>
      <x:c r="H1" s="3" t="str">
        <x:v>验收清单</x:v>
      </x:c>
    </x:row>
    <x:row r="2" ht="25" customHeight="1">
      <x:c r="A2" s="113" t="str">
        <x:v>旧结果仅对应旧版本。新增UAT-01～16均为未执行草案；本轮入口/筛选复核不替代业务UAT或客户签收。</x:v>
      </x:c>
      <x:c r="B2" s="113" t="str">
        <x:v>PASS 仅表示对应范围已有可复核证据；“部分通过”仍需关闭缺口后进入最终人工验收。生产上线必须满足 A08、A10、A12～A14。</x:v>
      </x:c>
      <x:c r="C2" s="113" t="str">
        <x:v>PASS 仅表示对应范围已有可复核证据；“部分通过”仍需关闭缺口后进入最终人工验收。生产上线必须满足 A08、A10、A12～A14。</x:v>
      </x:c>
      <x:c r="D2" s="113" t="str">
        <x:v>PASS 仅表示对应范围已有可复核证据；“部分通过”仍需关闭缺口后进入最终人工验收。生产上线必须满足 A08、A10、A12～A14。</x:v>
      </x:c>
      <x:c r="E2" s="113" t="str">
        <x:v>PASS 仅表示对应范围已有可复核证据；“部分通过”仍需关闭缺口后进入最终人工验收。生产上线必须满足 A08、A10、A12～A14。</x:v>
      </x:c>
      <x:c r="F2" s="113" t="str">
        <x:v>PASS 仅表示对应范围已有可复核证据；“部分通过”仍需关闭缺口后进入最终人工验收。生产上线必须满足 A08、A10、A12～A14。</x:v>
      </x:c>
      <x:c r="G2" s="113" t="str">
        <x:v>PASS 仅表示对应范围已有可复核证据；“部分通过”仍需关闭缺口后进入最终人工验收。生产上线必须满足 A08、A10、A12～A14。</x:v>
      </x:c>
      <x:c r="H2" s="113" t="str">
        <x:v>PASS 仅表示对应范围已有可复核证据；“部分通过”仍需关闭缺口后进入最终人工验收。生产上线必须满足 A08、A10、A12～A14。</x:v>
      </x:c>
    </x:row>
    <x:row r="3" ht="8" customHeight="1"/>
    <x:row r="4" ht="34" customHeight="1">
      <x:c r="A4" s="90" t="str">
        <x:v>编号</x:v>
      </x:c>
      <x:c r="B4" s="91" t="str">
        <x:v>验收场景</x:v>
      </x:c>
      <x:c r="C4" s="91" t="str">
        <x:v>自动验收内容</x:v>
      </x:c>
      <x:c r="D4" s="91" t="str">
        <x:v>人工验收操作</x:v>
      </x:c>
      <x:c r="E4" s="91" t="str">
        <x:v>当前结果</x:v>
      </x:c>
      <x:c r="F4" s="91" t="str">
        <x:v>证据／说明</x:v>
      </x:c>
      <x:c r="G4" s="91" t="str">
        <x:v>人工配合</x:v>
      </x:c>
      <x:c r="H4" s="92" t="str">
        <x:v>复测触发</x:v>
      </x:c>
      <x:c r="I4" s="167" t="str">
        <x:v>测试角色/数据</x:v>
      </x:c>
      <x:c r="J4" s="167" t="str">
        <x:v>执行者</x:v>
      </x:c>
      <x:c r="K4" s="167" t="str">
        <x:v>执行日期</x:v>
      </x:c>
      <x:c r="L4" s="167" t="str">
        <x:v>业务批次</x:v>
      </x:c>
      <x:c r="M4" s="167" t="str">
        <x:v>实际结果说明</x:v>
      </x:c>
      <x:c r="N4" s="167" t="str">
        <x:v>客户签收</x:v>
      </x:c>
    </x:row>
    <x:row r="5" ht="38" customHeight="1">
      <x:c r="A5" s="100" t="str">
        <x:v>A01</x:v>
      </x:c>
      <x:c r="B5" s="100" t="str">
        <x:v>需求与规格完整性</x:v>
      </x:c>
      <x:c r="C5" s="100" t="str">
        <x:v>检查 PRD、详细规格、质量清单和来源追溯</x:v>
      </x:c>
      <x:c r="D5" s="100" t="str">
        <x:v>客户审阅并书面批准</x:v>
      </x:c>
      <x:c r="E5" s="100" t="str">
        <x:v>历史结果，需按当前版本复测</x:v>
      </x:c>
      <x:c r="F5" s="100" t="str">
        <x:v>旧证据保留原工作簿；本期以UAT场景及实际执行记录为准</x:v>
      </x:c>
      <x:c r="G5" s="100" t="str">
        <x:v>客户业务负责人批准</x:v>
      </x:c>
      <x:c r="H5" s="100" t="str">
        <x:v>TASK-011～013 完成</x:v>
      </x:c>
      <x:c r="I5" s="170"/>
      <x:c r="J5" s="170"/>
      <x:c r="K5" s="178"/>
      <x:c r="L5" s="170"/>
      <x:c r="M5" s="170"/>
      <x:c r="N5" s="170"/>
    </x:row>
    <x:row r="6" ht="38" customHeight="1">
      <x:c r="A6" s="101" t="str">
        <x:v>A02</x:v>
      </x:c>
      <x:c r="B6" s="101" t="str">
        <x:v>一期范围与状态冻结</x:v>
      </x:c>
      <x:c r="C6" s="101" t="str">
        <x:v>核对 P0/P1/P2、7／10 状态及超范围模块</x:v>
      </x:c>
      <x:c r="D6" s="101" t="str">
        <x:v>召开范围确认会</x:v>
      </x:c>
      <x:c r="E6" s="101" t="str">
        <x:v>历史结果，需按当前版本复测</x:v>
      </x:c>
      <x:c r="F6" s="101" t="str">
        <x:v>旧证据保留原工作簿；本期以UAT场景及实际执行记录为准</x:v>
      </x:c>
      <x:c r="G6" s="101" t="str">
        <x:v>客户业务负责人／产品负责人</x:v>
      </x:c>
      <x:c r="H6" s="101" t="str">
        <x:v>TASK-011～013 完成</x:v>
      </x:c>
      <x:c r="I6" s="170"/>
      <x:c r="J6" s="170"/>
      <x:c r="K6" s="178"/>
      <x:c r="L6" s="170"/>
      <x:c r="M6" s="170"/>
      <x:c r="N6" s="170"/>
    </x:row>
    <x:row r="7" ht="38" customHeight="1">
      <x:c r="A7" s="101" t="str">
        <x:v>A03</x:v>
      </x:c>
      <x:c r="B7" s="101" t="str">
        <x:v>多角色原型评审</x:v>
      </x:c>
      <x:c r="C7" s="101" t="str">
        <x:v>走查 CS、Leader、师傅及管理视图主流程</x:v>
      </x:c>
      <x:c r="D7" s="101" t="str">
        <x:v>按角色执行关键按钮</x:v>
      </x:c>
      <x:c r="E7" s="101" t="str">
        <x:v>历史结果，需按当前版本复测</x:v>
      </x:c>
      <x:c r="F7" s="101" t="str">
        <x:v>旧证据保留原工作簿；本期以UAT场景及实际执行记录为准</x:v>
      </x:c>
      <x:c r="G7" s="101" t="str">
        <x:v>产品负责人／业务代表</x:v>
      </x:c>
      <x:c r="H7" s="101" t="str">
        <x:v>TASK-010／013 完成</x:v>
      </x:c>
      <x:c r="I7" s="170"/>
      <x:c r="J7" s="170"/>
      <x:c r="K7" s="178"/>
      <x:c r="L7" s="170"/>
      <x:c r="M7" s="170"/>
      <x:c r="N7" s="170"/>
    </x:row>
    <x:row r="8" ht="38" customHeight="1">
      <x:c r="A8" s="101" t="str">
        <x:v>A04</x:v>
      </x:c>
      <x:c r="B8" s="101" t="str">
        <x:v>公网原型可访问</x:v>
      </x:c>
      <x:c r="C8" s="101" t="str">
        <x:v>检查 GitHub Pages 部署与 main 版本</x:v>
      </x:c>
      <x:c r="D8" s="101" t="str">
        <x:v>打开公网地址并走查首页</x:v>
      </x:c>
      <x:c r="E8" s="101" t="str">
        <x:v>历史结果，需按当前版本复测</x:v>
      </x:c>
      <x:c r="F8" s="101" t="str">
        <x:v>旧证据保留原工作簿；本期以UAT场景及实际执行记录为准</x:v>
      </x:c>
      <x:c r="G8" s="101" t="str">
        <x:v>无</x:v>
      </x:c>
      <x:c r="H8" s="101" t="str">
        <x:v>main 或工作流变化时复测</x:v>
      </x:c>
      <x:c r="I8" s="170"/>
      <x:c r="J8" s="170"/>
      <x:c r="K8" s="178"/>
      <x:c r="L8" s="170"/>
      <x:c r="M8" s="170"/>
      <x:c r="N8" s="170"/>
    </x:row>
    <x:row r="9" ht="38" customHeight="1">
      <x:c r="A9" s="101" t="str">
        <x:v>A05</x:v>
      </x:c>
      <x:c r="B9" s="101" t="str">
        <x:v>CS 建单与编号</x:v>
      </x:c>
      <x:c r="C9" s="101" t="str">
        <x:v>检查建单、必填、唯一工单号和推荐 Leader</x:v>
      </x:c>
      <x:c r="D9" s="101" t="str">
        <x:v>普通／政府样例各建一单</x:v>
      </x:c>
      <x:c r="E9" s="101" t="str">
        <x:v>历史结果，需按当前版本复测</x:v>
      </x:c>
      <x:c r="F9" s="101" t="str">
        <x:v>旧证据保留原工作簿；本期以UAT场景及实际执行记录为准</x:v>
      </x:c>
      <x:c r="G9" s="101" t="str">
        <x:v>提供编号规则和样例</x:v>
      </x:c>
      <x:c r="H9" s="101" t="str">
        <x:v>TASK-012／021 完成</x:v>
      </x:c>
      <x:c r="I9" s="170"/>
      <x:c r="J9" s="170"/>
      <x:c r="K9" s="178"/>
      <x:c r="L9" s="170"/>
      <x:c r="M9" s="170"/>
      <x:c r="N9" s="170"/>
    </x:row>
    <x:row r="10" ht="38" customHeight="1">
      <x:c r="A10" s="101" t="str">
        <x:v>A06</x:v>
      </x:c>
      <x:c r="B10" s="101" t="str">
        <x:v>派单、拒单与改派</x:v>
      </x:c>
      <x:c r="C10" s="101" t="str">
        <x:v>检查待分派→待接单→拒单→再派</x:v>
      </x:c>
      <x:c r="D10" s="101" t="str">
        <x:v>Leader 与师傅完成一轮</x:v>
      </x:c>
      <x:c r="E10" s="101" t="str">
        <x:v>历史结果，需按当前版本复测</x:v>
      </x:c>
      <x:c r="F10" s="101" t="str">
        <x:v>旧证据保留原工作簿；本期以UAT场景及实际执行记录为准</x:v>
      </x:c>
      <x:c r="G10" s="101" t="str">
        <x:v>提供试点角色账号</x:v>
      </x:c>
      <x:c r="H10" s="101" t="str">
        <x:v>TASK-017／021 完成</x:v>
      </x:c>
      <x:c r="I10" s="170"/>
      <x:c r="J10" s="170"/>
      <x:c r="K10" s="178"/>
      <x:c r="L10" s="170"/>
      <x:c r="M10" s="170"/>
      <x:c r="N10" s="170"/>
    </x:row>
    <x:row r="11" ht="38" customHeight="1">
      <x:c r="A11" s="101" t="str">
        <x:v>A07</x:v>
      </x:c>
      <x:c r="B11" s="101" t="str">
        <x:v>移动端现场闭环</x:v>
      </x:c>
      <x:c r="C11" s="101" t="str">
        <x:v>接单、到场、照片／豁免、结果和完成</x:v>
      </x:c>
      <x:c r="D11" s="101" t="str">
        <x:v>可拍照与不可拍照各一单</x:v>
      </x:c>
      <x:c r="E11" s="101" t="str">
        <x:v>历史结果，需按当前版本复测</x:v>
      </x:c>
      <x:c r="F11" s="101" t="str">
        <x:v>旧证据保留原工作簿；本期以UAT场景及实际执行记录为准</x:v>
      </x:c>
      <x:c r="G11" s="101" t="str">
        <x:v>提供不可拍照清单与手机</x:v>
      </x:c>
      <x:c r="H11" s="101" t="str">
        <x:v>TASK-012／018／021 完成</x:v>
      </x:c>
      <x:c r="I11" s="170"/>
      <x:c r="J11" s="170"/>
      <x:c r="K11" s="178"/>
      <x:c r="L11" s="170"/>
      <x:c r="M11" s="170"/>
      <x:c r="N11" s="170"/>
    </x:row>
    <x:row r="12" ht="38" customHeight="1">
      <x:c r="A12" s="101" t="str">
        <x:v>A08</x:v>
      </x:c>
      <x:c r="B12" s="101" t="str">
        <x:v>角色与数据权限</x:v>
      </x:c>
      <x:c r="C12" s="101" t="str">
        <x:v>验证本人／团队／区域／全公司的数据范围</x:v>
      </x:c>
      <x:c r="D12" s="101" t="str">
        <x:v>用真实账号执行越权测试</x:v>
      </x:c>
      <x:c r="E12" s="101" t="str">
        <x:v>历史结果，需按当前版本复测</x:v>
      </x:c>
      <x:c r="F12" s="101" t="str">
        <x:v>旧证据保留原工作簿；本期以UAT场景及实际执行记录为准</x:v>
      </x:c>
      <x:c r="G12" s="101" t="str">
        <x:v>提供 POC 环境与测试账号</x:v>
      </x:c>
      <x:c r="H12" s="101" t="str">
        <x:v>TASK-017 完成</x:v>
      </x:c>
      <x:c r="I12" s="170"/>
      <x:c r="J12" s="170"/>
      <x:c r="K12" s="178"/>
      <x:c r="L12" s="170"/>
      <x:c r="M12" s="170"/>
      <x:c r="N12" s="170"/>
    </x:row>
    <x:row r="13" ht="38" customHeight="1">
      <x:c r="A13" s="101" t="str">
        <x:v>A09</x:v>
      </x:c>
      <x:c r="B13" s="101" t="str">
        <x:v>查询、时间线与审计</x:v>
      </x:c>
      <x:c r="C13" s="101" t="str">
        <x:v>组合筛选并检查全流程动作记录</x:v>
      </x:c>
      <x:c r="D13" s="101" t="str">
        <x:v>抽查至少 3 张不同状态工单</x:v>
      </x:c>
      <x:c r="E13" s="101" t="str">
        <x:v>历史结果，需按当前版本复测</x:v>
      </x:c>
      <x:c r="F13" s="101" t="str">
        <x:v>旧证据保留原工作簿；本期以UAT场景及实际执行记录为准</x:v>
      </x:c>
      <x:c r="G13" s="101" t="str">
        <x:v>准备样例工单</x:v>
      </x:c>
      <x:c r="H13" s="101" t="str">
        <x:v>TASK-021／023 完成</x:v>
      </x:c>
      <x:c r="I13" s="170"/>
      <x:c r="J13" s="170"/>
      <x:c r="K13" s="178"/>
      <x:c r="L13" s="170"/>
      <x:c r="M13" s="170"/>
      <x:c r="N13" s="170"/>
    </x:row>
    <x:row r="14" ht="38" customHeight="1">
      <x:c r="A14" s="101" t="str">
        <x:v>A10</x:v>
      </x:c>
      <x:c r="B14" s="101" t="str">
        <x:v>钉钉／宜搭 POC</x:v>
      </x:c>
      <x:c r="C14" s="101" t="str">
        <x:v>验证免登、消息、移动端、图片和容量</x:v>
      </x:c>
      <x:c r="D14" s="101" t="str">
        <x:v>真实环境完成场景脚本</x:v>
      </x:c>
      <x:c r="E14" s="101" t="str">
        <x:v>历史结果，需按当前版本复测</x:v>
      </x:c>
      <x:c r="F14" s="101" t="str">
        <x:v>旧证据保留原工作簿；本期以UAT场景及实际执行记录为准</x:v>
      </x:c>
      <x:c r="G14" s="101" t="str">
        <x:v>客户 IT／采购提供环境与许可</x:v>
      </x:c>
      <x:c r="H14" s="101" t="str">
        <x:v>TASK-016～018 完成</x:v>
      </x:c>
      <x:c r="I14" s="170"/>
      <x:c r="J14" s="170"/>
      <x:c r="K14" s="178"/>
      <x:c r="L14" s="170"/>
      <x:c r="M14" s="170"/>
      <x:c r="N14" s="170"/>
    </x:row>
    <x:row r="15" ht="38" customHeight="1">
      <x:c r="A15" s="101" t="str">
        <x:v>A11</x:v>
      </x:c>
      <x:c r="B15" s="101" t="str">
        <x:v>报价采购财务边界</x:v>
      </x:c>
      <x:c r="C15" s="101" t="str">
        <x:v>确认原型扩展功能的一期归属</x:v>
      </x:c>
      <x:c r="D15" s="101" t="str">
        <x:v>逐模块决定纳入或二期</x:v>
      </x:c>
      <x:c r="E15" s="101" t="str">
        <x:v>历史结果，需按当前版本复测</x:v>
      </x:c>
      <x:c r="F15" s="101" t="str">
        <x:v>旧证据保留原工作簿；本期以UAT场景及实际执行记录为准</x:v>
      </x:c>
      <x:c r="G15" s="101" t="str">
        <x:v>客户与产品负责人决策</x:v>
      </x:c>
      <x:c r="H15" s="101" t="str">
        <x:v>TASK-011／013 完成</x:v>
      </x:c>
      <x:c r="I15" s="170"/>
      <x:c r="J15" s="170"/>
      <x:c r="K15" s="178"/>
      <x:c r="L15" s="170"/>
      <x:c r="M15" s="170"/>
      <x:c r="N15" s="170"/>
    </x:row>
    <x:row r="16" ht="38" customHeight="1">
      <x:c r="A16" s="101" t="str">
        <x:v>A12</x:v>
      </x:c>
      <x:c r="B16" s="101" t="str">
        <x:v>试点数据与组织</x:v>
      </x:c>
      <x:c r="C16" s="101" t="str">
        <x:v>核对试点人员、客户、地址、映射和样例</x:v>
      </x:c>
      <x:c r="D16" s="101" t="str">
        <x:v>抽样检查导入数据</x:v>
      </x:c>
      <x:c r="E16" s="101" t="str">
        <x:v>历史结果，需按当前版本复测</x:v>
      </x:c>
      <x:c r="F16" s="101" t="str">
        <x:v>旧证据保留原工作簿；本期以UAT场景及实际执行记录为准</x:v>
      </x:c>
      <x:c r="G16" s="101" t="str">
        <x:v>客户提供名单与清单</x:v>
      </x:c>
      <x:c r="H16" s="101" t="str">
        <x:v>TASK-014～015 完成</x:v>
      </x:c>
      <x:c r="I16" s="170"/>
      <x:c r="J16" s="170"/>
      <x:c r="K16" s="178"/>
      <x:c r="L16" s="170"/>
      <x:c r="M16" s="170"/>
      <x:c r="N16" s="170"/>
    </x:row>
    <x:row r="17" ht="38" customHeight="1">
      <x:c r="A17" s="101" t="str">
        <x:v>A13</x:v>
      </x:c>
      <x:c r="B17" s="101" t="str">
        <x:v>生产实现与部署</x:v>
      </x:c>
      <x:c r="C17" s="101" t="str">
        <x:v>检查真实后端、权限、附件、消息、监控和恢复</x:v>
      </x:c>
      <x:c r="D17" s="101" t="str">
        <x:v>执行集成、性能与恢复测试</x:v>
      </x:c>
      <x:c r="E17" s="101" t="str">
        <x:v>历史结果，需按当前版本复测</x:v>
      </x:c>
      <x:c r="F17" s="101" t="str">
        <x:v>旧证据保留原工作簿；本期以UAT场景及实际执行记录为准</x:v>
      </x:c>
      <x:c r="G17" s="101" t="str">
        <x:v>批准 PRD、POC 与实施资源</x:v>
      </x:c>
      <x:c r="H17" s="101" t="str">
        <x:v>TASK-019～022 完成</x:v>
      </x:c>
      <x:c r="I17" s="170"/>
      <x:c r="J17" s="170"/>
      <x:c r="K17" s="178"/>
      <x:c r="L17" s="170"/>
      <x:c r="M17" s="170"/>
      <x:c r="N17" s="170"/>
    </x:row>
    <x:row r="18" ht="38" customHeight="1">
      <x:c r="A18" s="101" t="str">
        <x:v>A14</x:v>
      </x:c>
      <x:c r="B18" s="101" t="str">
        <x:v>UAT、试点与上线</x:v>
      </x:c>
      <x:c r="C18" s="101" t="str">
        <x:v>执行 AT-01～AT-07、7–10 日试点与签收</x:v>
      </x:c>
      <x:c r="D18" s="101" t="str">
        <x:v>业务、IT 与试点团队联合验收</x:v>
      </x:c>
      <x:c r="E18" s="101" t="str">
        <x:v>历史结果，需按当前版本复测</x:v>
      </x:c>
      <x:c r="F18" s="101" t="str">
        <x:v>旧证据保留原工作簿；本期以UAT场景及实际执行记录为准</x:v>
      </x:c>
      <x:c r="G18" s="101" t="str">
        <x:v>业务／IT 共同参与</x:v>
      </x:c>
      <x:c r="H18" s="101" t="str">
        <x:v>TASK-023～025 完成</x:v>
      </x:c>
      <x:c r="I18" s="170"/>
      <x:c r="J18" s="170"/>
      <x:c r="K18" s="178"/>
      <x:c r="L18" s="170"/>
      <x:c r="M18" s="170"/>
      <x:c r="N18" s="170"/>
    </x:row>
    <x:row r="19" ht="92" customHeight="1">
      <x:c r="A19" s="179" t="str">
        <x:v>UAT-01</x:v>
      </x:c>
      <x:c r="B19" s="179" t="str">
        <x:v>CS电话答疑，无现场/报价</x:v>
      </x:c>
      <x:c r="C19" s="179" t="str">
        <x:v>不执行真实仓库/外发；从正常UI入口核对状态和关联</x:v>
      </x:c>
      <x:c r="D19" s="179" t="str">
        <x:v>仅来电记录、记录内容可查、正确结束，不产生伪施工</x:v>
      </x:c>
      <x:c r="E19" s="179" t="str">
        <x:v>未执行</x:v>
      </x:c>
      <x:c r="F19" s="179" t="str">
        <x:v>S04/S08，P0-02</x:v>
      </x:c>
      <x:c r="G19" s="179" t="str">
        <x:v>本批实际业务代表</x:v>
      </x:c>
      <x:c r="H19" s="179" t="str">
        <x:v>原型/规则改变后复测</x:v>
      </x:c>
      <x:c r="I19" s="170" t="str">
        <x:v>按场景实际角色与数据范围</x:v>
      </x:c>
      <x:c r="J19" s="170" t="str"/>
      <x:c r="K19" s="178" t="str"/>
      <x:c r="L19" s="170" t="str">
        <x:v>待对应批次</x:v>
      </x:c>
      <x:c r="M19" s="170" t="str"/>
      <x:c r="N19" s="170" t="str">
        <x:v>待确认</x:v>
      </x:c>
    </x:row>
    <x:row r="20" ht="92" customHeight="1">
      <x:c r="A20" s="187" t="str">
        <x:v>UAT-02</x:v>
      </x:c>
      <x:c r="B20" s="187" t="str">
        <x:v>CS电话/WhatsApp需报价，经对应CR/TL</x:v>
      </x:c>
      <x:c r="C20" s="187" t="str">
        <x:v>不执行真实仓库/外发；从正常UI入口核对状态和关联</x:v>
      </x:c>
      <x:c r="D20" s="187" t="str">
        <x:v>CR/TL能收到/转交，QUO能从自己入口接任务，来源不丢</x:v>
      </x:c>
      <x:c r="E20" s="187" t="str">
        <x:v>执行中</x:v>
      </x:c>
      <x:c r="F20" s="187" t="str">
        <x:v>docs/review/2026-10-13-b01-b02-internal/REMEDIATION-RESULT.md；docs/review/2026-10-13-b01-b02-internal/QUOTATION-REMEDIATION-RESULT.md；来源接手/R1、保固与截止局部复测；其余异常与完整链未全验</x:v>
      </x:c>
      <x:c r="G20" s="187" t="str">
        <x:v>本批实际业务代表</x:v>
      </x:c>
      <x:c r="H20" s="187" t="str">
        <x:v>原型/规则改变后复测</x:v>
      </x:c>
      <x:c r="I20" s="170" t="str">
        <x:v>按场景实际角色与数据范围</x:v>
      </x:c>
      <x:c r="J20" s="170" t="str">
        <x:v>Codex（内部走查，非客户验收）</x:v>
      </x:c>
      <x:c r="K20" s="178" t="d">
        <x:v>2026-10-13T00:00:00.000Z</x:v>
      </x:c>
      <x:c r="L20" s="170" t="str">
        <x:v>待对应批次</x:v>
      </x:c>
      <x:c r="M20" s="170" t="str">
        <x:v>此前来源接手/R1/旧请求复用保留；本轮保固与截止保存清空、刷新及交付分页子项通过；整链与客户验收未通过</x:v>
      </x:c>
      <x:c r="N20" s="170" t="str">
        <x:v>待确认</x:v>
      </x:c>
    </x:row>
    <x:row r="21" ht="92" customHeight="1">
      <x:c r="A21" s="170" t="str">
        <x:v>UAT-03</x:v>
      </x:c>
      <x:c r="B21" s="170" t="str">
        <x:v>CR需求→P报价→中单→MR→备齐→主管派工备注交接时间/事项→师傅维修CP→主管确认，票款独立</x:v>
      </x:c>
      <x:c r="C21" s="170" t="str">
        <x:v>不执行真实仓库/外发；从正常UI入口核对状态和关联</x:v>
      </x:c>
      <x:c r="D21" s="170" t="str">
        <x:v>成交版物料唯一MR、完整当前UI交接、无MR死链、无注入ticketId、完工款分离</x:v>
      </x:c>
      <x:c r="E21" s="170" t="str">
        <x:v>未通过</x:v>
      </x:c>
      <x:c r="F21" s="170" t="str">
        <x:v>docs/review/2026-10-14-user-review/INTERNAL-REVIEW-CHECKLIST.md A4/A5/A6；docs/review/2026-10-14-sr-finance/SR-FINANCE-WALKTHROUGH.md 最新局部证据；材料003整链未通过</x:v>
      </x:c>
      <x:c r="G21" s="170" t="str">
        <x:v>本批实际业务代表</x:v>
      </x:c>
      <x:c r="H21" s="170" t="str">
        <x:v>原型/规则改变后复测</x:v>
      </x:c>
      <x:c r="I21" s="170" t="str">
        <x:v>按场景实际角色与数据范围</x:v>
      </x:c>
      <x:c r="J21" s="170" t="str">
        <x:v>Codex（内部走查，非客户验收）</x:v>
      </x:c>
      <x:c r="K21" s="178" t="n">
        <x:v>46309</x:v>
      </x:c>
      <x:c r="L21" s="170" t="str">
        <x:v>待对应批次</x:v>
      </x:c>
      <x:c r="M21" s="170" t="str">
        <x:v>7组局部成果可内部审查，用户意见未取得；新SF-06只读显示通过，材料003/打印/领单未通</x:v>
      </x:c>
      <x:c r="N21" s="170" t="str">
        <x:v>待确认</x:v>
      </x:c>
    </x:row>
    <x:row r="22" ht="92" customHeight="1">
      <x:c r="A22" s="170" t="str">
        <x:v>UAT-04</x:v>
      </x:c>
      <x:c r="B22" s="170" t="str">
        <x:v>M报价首次新建→周期→成交→整期计划→两期分别服务</x:v>
      </x:c>
      <x:c r="C22" s="170" t="str">
        <x:v>不执行真实仓库/外发；从正常UI入口核对状态和关联</x:v>
      </x:c>
      <x:c r="D22" s="170" t="str">
        <x:v>新建不是只种子；首/尾期正确；第二期独立，账期不覆盖服务期</x:v>
      </x:c>
      <x:c r="E22" s="170" t="str">
        <x:v>未执行</x:v>
      </x:c>
      <x:c r="F22" s="170" t="str">
        <x:v>S07、C-10，P1-12/13</x:v>
      </x:c>
      <x:c r="G22" s="170" t="str">
        <x:v>本批实际业务代表</x:v>
      </x:c>
      <x:c r="H22" s="170" t="str">
        <x:v>原型/规则改变后复测</x:v>
      </x:c>
      <x:c r="I22" s="170" t="str">
        <x:v>按场景实际角色与数据范围</x:v>
      </x:c>
      <x:c r="J22" s="170" t="str"/>
      <x:c r="K22" s="178" t="str"/>
      <x:c r="L22" s="170" t="str">
        <x:v>待对应批次</x:v>
      </x:c>
      <x:c r="M22" s="170" t="str"/>
      <x:c r="N22" s="170" t="str">
        <x:v>待确认</x:v>
      </x:c>
    </x:row>
    <x:row r="23" ht="92" customHeight="1">
      <x:c r="A23" s="170" t="str">
        <x:v>UAT-05</x:v>
      </x:c>
      <x:c r="B23" s="170" t="str">
        <x:v>M+P来源→P缺料→M一期完成→P后续施工</x:v>
      </x:c>
      <x:c r="C23" s="170" t="str">
        <x:v>不执行真实仓库/外发；从正常UI入口核对状态和关联</x:v>
      </x:c>
      <x:c r="D23" s="170" t="str">
        <x:v>M/P互不自动推进；两支各有数据、责任、客户资料和报告</x:v>
      </x:c>
      <x:c r="E23" s="170" t="str">
        <x:v>未执行</x:v>
      </x:c>
      <x:c r="F23" s="170" t="str">
        <x:v>S07 REJECTED-001工作方案，P0-03/12</x:v>
      </x:c>
      <x:c r="G23" s="170" t="str">
        <x:v>本批实际业务代表</x:v>
      </x:c>
      <x:c r="H23" s="170" t="str">
        <x:v>原型/规则改变后复测</x:v>
      </x:c>
      <x:c r="I23" s="170" t="str">
        <x:v>按场景实际角色与数据范围</x:v>
      </x:c>
      <x:c r="J23" s="170" t="str"/>
      <x:c r="K23" s="178" t="str"/>
      <x:c r="L23" s="170" t="str">
        <x:v>待对应批次</x:v>
      </x:c>
      <x:c r="M23" s="170" t="str"/>
      <x:c r="N23" s="170" t="str">
        <x:v>待确认</x:v>
      </x:c>
    </x:row>
    <x:row r="24" ht="92" customHeight="1">
      <x:c r="A24" s="170" t="str">
        <x:v>UAT-06</x:v>
      </x:c>
      <x:c r="B24" s="170" t="str">
        <x:v>保养现场第一次/第二次SR分别发现问题</x:v>
      </x:c>
      <x:c r="C24" s="170" t="str">
        <x:v>不执行真实仓库/外发；从正常UI入口核对状态和关联</x:v>
      </x:c>
      <x:c r="D24" s="170" t="str">
        <x:v>两份报告保留、各报价来源可查、旧M合同不被覆盖</x:v>
      </x:c>
      <x:c r="E24" s="170" t="str">
        <x:v>未执行</x:v>
      </x:c>
      <x:c r="F24" s="170" t="str">
        <x:v>S01/S07，P0-07</x:v>
      </x:c>
      <x:c r="G24" s="170" t="str">
        <x:v>本批实际业务代表</x:v>
      </x:c>
      <x:c r="H24" s="170" t="str">
        <x:v>原型/规则改变后复测</x:v>
      </x:c>
      <x:c r="I24" s="170" t="str">
        <x:v>按场景实际角色与数据范围</x:v>
      </x:c>
      <x:c r="J24" s="170" t="str"/>
      <x:c r="K24" s="178" t="str"/>
      <x:c r="L24" s="170" t="str">
        <x:v>待对应批次</x:v>
      </x:c>
      <x:c r="M24" s="170" t="str"/>
      <x:c r="N24" s="170" t="str">
        <x:v>待确认</x:v>
      </x:c>
    </x:row>
    <x:row r="25" ht="92" customHeight="1">
      <x:c r="A25" s="170" t="str">
        <x:v>UAT-07</x:v>
      </x:c>
      <x:c r="B25" s="170" t="str">
        <x:v>可拍照与不可拍照两客户/两地点</x:v>
      </x:c>
      <x:c r="C25" s="170" t="str">
        <x:v>不执行真实仓库/外发；从正常UI入口核对状态和关联</x:v>
      </x:c>
      <x:c r="D25" s="170" t="str">
        <x:v>可拍场景证据齐；不可拍可合法提交、会计不误免别的地点</x:v>
      </x:c>
      <x:c r="E25" s="170" t="str">
        <x:v>未执行</x:v>
      </x:c>
      <x:c r="F25" s="170" t="str">
        <x:v>S03，P0-06</x:v>
      </x:c>
      <x:c r="G25" s="170" t="str">
        <x:v>本批实际业务代表</x:v>
      </x:c>
      <x:c r="H25" s="170" t="str">
        <x:v>原型/规则改变后复测</x:v>
      </x:c>
      <x:c r="I25" s="170" t="str">
        <x:v>按场景实际角色与数据范围</x:v>
      </x:c>
      <x:c r="J25" s="170" t="str"/>
      <x:c r="K25" s="178" t="str"/>
      <x:c r="L25" s="170" t="str">
        <x:v>待对应批次</x:v>
      </x:c>
      <x:c r="M25" s="170" t="str"/>
      <x:c r="N25" s="170" t="str">
        <x:v>待确认</x:v>
      </x:c>
    </x:row>
    <x:row r="26" ht="92" customHeight="1">
      <x:c r="A26" s="170" t="str">
        <x:v>UAT-08</x:v>
      </x:c>
      <x:c r="B26" s="170" t="str">
        <x:v>师傅选保固期、采购收到任务</x:v>
      </x:c>
      <x:c r="C26" s="170" t="str">
        <x:v>不执行真实仓库/外发；从正常UI入口核对状态和关联</x:v>
      </x:c>
      <x:c r="D26" s="170" t="str">
        <x:v>采购有可进入的来源/原因；不能误自动收费或创建报价</x:v>
      </x:c>
      <x:c r="E26" s="170" t="str">
        <x:v>未执行</x:v>
      </x:c>
      <x:c r="F26" s="170" t="str">
        <x:v>S06 P23、C-08，P0-09</x:v>
      </x:c>
      <x:c r="G26" s="170" t="str">
        <x:v>本批实际业务代表</x:v>
      </x:c>
      <x:c r="H26" s="170" t="str">
        <x:v>原型/规则改变后复测</x:v>
      </x:c>
      <x:c r="I26" s="170" t="str">
        <x:v>按场景实际角色与数据范围</x:v>
      </x:c>
      <x:c r="J26" s="170" t="str"/>
      <x:c r="K26" s="178" t="str"/>
      <x:c r="L26" s="170" t="str">
        <x:v>待对应批次</x:v>
      </x:c>
      <x:c r="M26" s="170" t="str"/>
      <x:c r="N26" s="170" t="str">
        <x:v>待确认</x:v>
      </x:c>
    </x:row>
    <x:row r="27" ht="92" customHeight="1">
      <x:c r="A27" s="170" t="str">
        <x:v>UAT-09</x:v>
      </x:c>
      <x:c r="B27" s="170" t="str">
        <x:v>无报价中标/直接订单→采购手填MR→仓管完成/取消</x:v>
      </x:c>
      <x:c r="C27" s="170" t="str">
        <x:v>不执行真实仓库/外发；从正常UI入口核对状态和关联</x:v>
      </x:c>
      <x:c r="D27" s="170" t="str">
        <x:v>不强造报价，三MR状况及来源/取消后续影响明确</x:v>
      </x:c>
      <x:c r="E27" s="170" t="str">
        <x:v>未执行</x:v>
      </x:c>
      <x:c r="F27" s="170" t="str">
        <x:v>S05/S06/S02，P0-04/08</x:v>
      </x:c>
      <x:c r="G27" s="170" t="str">
        <x:v>本批实际业务代表</x:v>
      </x:c>
      <x:c r="H27" s="170" t="str">
        <x:v>原型/规则改变后复测</x:v>
      </x:c>
      <x:c r="I27" s="170" t="str">
        <x:v>按场景实际角色与数据范围</x:v>
      </x:c>
      <x:c r="J27" s="170" t="str"/>
      <x:c r="K27" s="178" t="str"/>
      <x:c r="L27" s="170" t="str">
        <x:v>待对应批次</x:v>
      </x:c>
      <x:c r="M27" s="170" t="str"/>
      <x:c r="N27" s="170" t="str">
        <x:v>待确认</x:v>
      </x:c>
    </x:row>
    <x:row r="28" ht="92" customHeight="1">
      <x:c r="A28" s="170" t="str">
        <x:v>UAT-10</x:v>
      </x:c>
      <x:c r="B28" s="170" t="str">
        <x:v>Tender应标报价→正式回标记录→已投标→结果及六态查询</x:v>
      </x:c>
      <x:c r="C28" s="170" t="str">
        <x:v>不执行真实仓库/外发；从正常UI入口核对状态和关联</x:v>
      </x:c>
      <x:c r="D28" s="170" t="str">
        <x:v>已投标/取消/不投标能找回；结果分流真实负责人</x:v>
      </x:c>
      <x:c r="E28" s="170" t="str">
        <x:v>未执行</x:v>
      </x:c>
      <x:c r="F28" s="170" t="str">
        <x:v>S05/S08、C-15，P0-08/P1-09</x:v>
      </x:c>
      <x:c r="G28" s="170" t="str">
        <x:v>本批实际业务代表</x:v>
      </x:c>
      <x:c r="H28" s="170" t="str">
        <x:v>原型/规则改变后复测</x:v>
      </x:c>
      <x:c r="I28" s="170" t="str">
        <x:v>按场景实际角色与数据范围</x:v>
      </x:c>
      <x:c r="J28" s="170" t="str"/>
      <x:c r="K28" s="178" t="str"/>
      <x:c r="L28" s="170" t="str">
        <x:v>待对应批次</x:v>
      </x:c>
      <x:c r="M28" s="170" t="str"/>
      <x:c r="N28" s="170" t="str">
        <x:v>待确认</x:v>
      </x:c>
    </x:row>
    <x:row r="29" ht="92" customHeight="1">
      <x:c r="A29" s="170" t="str">
        <x:v>UAT-11</x:v>
      </x:c>
      <x:c r="B29" s="170" t="str">
        <x:v>CR 1/2/3区、普通TL、夜班例外、本人师傅、财务/管理层</x:v>
      </x:c>
      <x:c r="C29" s="170" t="str">
        <x:v>不执行真实仓库/外发；从正常UI入口核对状态和关联</x:v>
      </x:c>
      <x:c r="D29" s="170" t="str">
        <x:v>可看可改可确认/退回/关闭/导出均与批准范围一致；跨区禁止或明确例外</x:v>
      </x:c>
      <x:c r="E29" s="170" t="str">
        <x:v>执行中</x:v>
      </x:c>
      <x:c r="F29" s="170" t="str">
        <x:v>docs/review/2026-10-13-b01-b02-internal/REMEDIATION-RESULT.md；三名普通CR首页/CALL/关联报价/分派限定读取已复测，1区跨区筛选为0；其他角色/模块/夜班/动作未验</x:v>
      </x:c>
      <x:c r="G29" s="170" t="str">
        <x:v>本批实际业务代表</x:v>
      </x:c>
      <x:c r="H29" s="170" t="str">
        <x:v>原型/规则改变后复测</x:v>
      </x:c>
      <x:c r="I29" s="170" t="str">
        <x:v>按场景实际角色与数据范围</x:v>
      </x:c>
      <x:c r="J29" s="170" t="str">
        <x:v>Codex（内部走查，非客户验收）</x:v>
      </x:c>
      <x:c r="K29" s="178" t="d">
        <x:v>2026-10-13T00:00:00.000Z</x:v>
      </x:c>
      <x:c r="L29" s="170" t="str">
        <x:v>待对应批次</x:v>
      </x:c>
      <x:c r="M29" s="170" t="str">
        <x:v>三名普通CR首页/CALL/关联报价/分派限定读取已复测，1区跨区筛选为0；其他角色/模块/夜班/动作未验</x:v>
      </x:c>
      <x:c r="N29" s="170" t="str">
        <x:v>待确认</x:v>
      </x:c>
    </x:row>
    <x:row r="30" ht="92" customHeight="1">
      <x:c r="A30" s="170" t="str">
        <x:v>UAT-12</x:v>
      </x:c>
      <x:c r="B30" s="170" t="str">
        <x:v>SR上门/保养与维修CP分流、主管收件/确认、退回、已完成更正、多报告来源</x:v>
      </x:c>
      <x:c r="C30" s="170" t="str">
        <x:v>不执行真实仓库/外发；从正常UI入口核对状态和关联</x:v>
      </x:c>
      <x:c r="D30" s="170" t="str">
        <x:v>不丢原件、不误重开已收费商务、不虚构确认人</x:v>
      </x:c>
      <x:c r="E30" s="170" t="str">
        <x:v>执行中</x:v>
      </x:c>
      <x:c r="F30" s="170" t="str">
        <x:v>docs/review/2026-10-14-user-review/INTERNAL-REVIEW-CHECKLIST.md A6/A7；SOURCE-028原CP/SR证据保持；打印/多报告/补证未验</x:v>
      </x:c>
      <x:c r="G30" s="170" t="str">
        <x:v>本批实际业务代表</x:v>
      </x:c>
      <x:c r="H30" s="170" t="str">
        <x:v>原型/规则改变后复测</x:v>
      </x:c>
      <x:c r="I30" s="170" t="str">
        <x:v>按场景实际角色与数据范围</x:v>
      </x:c>
      <x:c r="J30" s="170" t="str">
        <x:v>Codex（内部走查，非客户验收）</x:v>
      </x:c>
      <x:c r="K30" s="178" t="n">
        <x:v>46309</x:v>
      </x:c>
      <x:c r="L30" s="170" t="str">
        <x:v>待对应批次</x:v>
      </x:c>
      <x:c r="M30" s="170" t="str">
        <x:v>CP清单/提交、主管阅读确认、CR共享完成局部通过；退回CP、已完成更正、多报告/缺签未验；客户未签收</x:v>
      </x:c>
      <x:c r="N30" s="170" t="str">
        <x:v>待确认</x:v>
      </x:c>
    </x:row>
    <x:row r="31" ht="92" customHeight="1">
      <x:c r="A31" s="170" t="str">
        <x:v>UAT-13</x:v>
      </x:c>
      <x:c r="B31" s="170" t="str">
        <x:v>正常开票、欠文件补齐、特殊开票原因、低额开票、单笔/批量</x:v>
      </x:c>
      <x:c r="C31" s="170" t="str">
        <x:v>不执行真实仓库/外发；从正常UI入口核对状态和关联</x:v>
      </x:c>
      <x:c r="D31" s="170" t="str">
        <x:v>实际证据齐备/例外授权；日期/编号/合同PO期间一致；原因留痕</x:v>
      </x:c>
      <x:c r="E31" s="170" t="str">
        <x:v>执行中</x:v>
      </x:c>
      <x:c r="F31" s="170" t="str">
        <x:v>docs/review/2026-10-14-user-review/INTERNAL-REVIEW-CHECKLIST.md A6共享状态，票款独立；完整财务未验，不把本次清单当客户签收</x:v>
      </x:c>
      <x:c r="G31" s="170" t="str">
        <x:v>本批实际业务代表</x:v>
      </x:c>
      <x:c r="H31" s="170" t="str">
        <x:v>原型/规则改变后复测</x:v>
      </x:c>
      <x:c r="I31" s="170" t="str">
        <x:v>按场景实际角色与数据范围</x:v>
      </x:c>
      <x:c r="J31" s="170" t="str">
        <x:v>Codex（内部走查，非客户验收）</x:v>
      </x:c>
      <x:c r="K31" s="178" t="n">
        <x:v>46309</x:v>
      </x:c>
      <x:c r="L31" s="170" t="str">
        <x:v>待对应批次</x:v>
      </x:c>
      <x:c r="M31" s="170" t="str">
        <x:v>主管完工只更新维修状态；财务只读CP/照片/PO及已完成状态，非已接件。发票2/收款1保持，补件/例外/批量未验</x:v>
      </x:c>
      <x:c r="N31" s="170" t="str">
        <x:v>待确认</x:v>
      </x:c>
    </x:row>
    <x:row r="32" ht="92" customHeight="1">
      <x:c r="A32" s="170" t="str">
        <x:v>UAT-14</x:v>
      </x:c>
      <x:c r="B32" s="170" t="str">
        <x:v>周期性账单及部分/异常/现场收款</x:v>
      </x:c>
      <x:c r="C32" s="170" t="str">
        <x:v>不执行真实仓库/外发；从正常UI入口核对状态和关联</x:v>
      </x:c>
      <x:c r="D32" s="170" t="str">
        <x:v>合同来源唯一、服务期与账期分离、核销/交款由真实角色完成</x:v>
      </x:c>
      <x:c r="E32" s="170" t="str">
        <x:v>未执行</x:v>
      </x:c>
      <x:c r="F32" s="170" t="str">
        <x:v>S01、C-06/08/14，P1-12</x:v>
      </x:c>
      <x:c r="G32" s="170" t="str">
        <x:v>本批实际业务代表</x:v>
      </x:c>
      <x:c r="H32" s="170" t="str">
        <x:v>原型/规则改变后复测</x:v>
      </x:c>
      <x:c r="I32" s="170" t="str">
        <x:v>按场景实际角色与数据范围</x:v>
      </x:c>
      <x:c r="J32" s="170" t="str"/>
      <x:c r="K32" s="178" t="str"/>
      <x:c r="L32" s="170" t="str">
        <x:v>待对应批次</x:v>
      </x:c>
      <x:c r="M32" s="170" t="str"/>
      <x:c r="N32" s="170" t="str">
        <x:v>待确认</x:v>
      </x:c>
    </x:row>
    <x:row r="33" ht="92" customHeight="1">
      <x:c r="A33" s="170" t="str">
        <x:v>UAT-15</x:v>
      </x:c>
      <x:c r="B33" s="170" t="str">
        <x:v>CM撞PM及原任务改期</x:v>
      </x:c>
      <x:c r="C33" s="170" t="str">
        <x:v>不执行真实仓库/外发；从正常UI入口核对状态和关联</x:v>
      </x:c>
      <x:c r="D33" s="170" t="str">
        <x:v>只执行客户选定策略，拒绝/协调/重派不丢原预约，正常SR确认</x:v>
      </x:c>
      <x:c r="E33" s="170" t="str">
        <x:v>未执行</x:v>
      </x:c>
      <x:c r="F33" s="170" t="str">
        <x:v>S07 PENDING-002、C-05</x:v>
      </x:c>
      <x:c r="G33" s="170" t="str">
        <x:v>本批实际业务代表</x:v>
      </x:c>
      <x:c r="H33" s="170" t="str">
        <x:v>原型/规则改变后复测</x:v>
      </x:c>
      <x:c r="I33" s="170" t="str">
        <x:v>按场景实际角色与数据范围</x:v>
      </x:c>
      <x:c r="J33" s="170" t="str"/>
      <x:c r="K33" s="178" t="str"/>
      <x:c r="L33" s="170" t="str">
        <x:v>待对应批次</x:v>
      </x:c>
      <x:c r="M33" s="170" t="str"/>
      <x:c r="N33" s="170" t="str">
        <x:v>待确认</x:v>
      </x:c>
    </x:row>
    <x:row r="34" ht="92" customHeight="1">
      <x:c r="A34" s="170" t="str">
        <x:v>UAT-16</x:v>
      </x:c>
      <x:c r="B34" s="170" t="str">
        <x:v>客户重复/多合同/JNO、双语人员、停用、导入失败/历史资料</x:v>
      </x:c>
      <x:c r="C34" s="170" t="str">
        <x:v>不执行真实仓库/外发；从正常UI入口核对状态和关联</x:v>
      </x:c>
      <x:c r="D34" s="170" t="str">
        <x:v>不串合同/地点、英文能搜、离职历史保留、失败行明确、无数据越权</x:v>
      </x:c>
      <x:c r="E34" s="170" t="str">
        <x:v>执行中</x:v>
      </x:c>
      <x:c r="F34" s="170" t="str">
        <x:v>docs/review/2026-10-13-b01-b02-internal/REMEDIATION-RESULT.md；双语姓名关键词子项通过，不匹配为0；多合同/JNO/停用/导入等整项未完成</x:v>
      </x:c>
      <x:c r="G34" s="170" t="str">
        <x:v>本批实际业务代表</x:v>
      </x:c>
      <x:c r="H34" s="170" t="str">
        <x:v>原型/规则改变后复测</x:v>
      </x:c>
      <x:c r="I34" s="170" t="str">
        <x:v>按场景实际角色与数据范围</x:v>
      </x:c>
      <x:c r="J34" s="170" t="str">
        <x:v>Codex（内部走查，非客户验收）</x:v>
      </x:c>
      <x:c r="K34" s="178" t="d">
        <x:v>2026-10-13T00:00:00.000Z</x:v>
      </x:c>
      <x:c r="L34" s="170" t="str">
        <x:v>待对应批次</x:v>
      </x:c>
      <x:c r="M34" s="170" t="str">
        <x:v>双语姓名关键词子项通过，不匹配为0；多合同/JNO/停用/导入等整项未完成</x:v>
      </x:c>
      <x:c r="N34" s="170" t="str">
        <x:v>待确认</x:v>
      </x:c>
    </x:row>
  </x:sheetData>
  <x:mergeCells>
    <x:mergeCell ref="A1:H1"/>
    <x:mergeCell ref="A2:H2"/>
  </x:mergeCells>
  <x:conditionalFormatting sqref="E5:E20">
    <x:cfRule type="containsText" dxfId="52" priority="1" operator="containsText" text="已完成"/>
    <x:cfRule type="containsText" dxfId="53" priority="2" operator="containsText" text="PASS"/>
    <x:cfRule type="containsText" dxfId="54" priority="3" operator="containsText" text="基本完成"/>
    <x:cfRule type="containsText" dxfId="55" priority="4" operator="containsText" text="部分完成"/>
    <x:cfRule type="containsText" dxfId="56" priority="5" operator="containsText" text="部分通过"/>
    <x:cfRule type="containsText" dxfId="57" priority="6" operator="containsText" text="修复中"/>
    <x:cfRule type="containsText" dxfId="58" priority="7" operator="containsText" text="待收口"/>
    <x:cfRule type="containsText" dxfId="59" priority="8" operator="containsText" text="待验收"/>
    <x:cfRule type="containsText" dxfId="60" priority="9" operator="containsText" text="待确认"/>
    <x:cfRule type="containsText" dxfId="61" priority="10" operator="containsText" text="待开发"/>
    <x:cfRule type="containsText" dxfId="62" priority="11" operator="containsText" text="BLOCKED"/>
    <x:cfRule type="containsText" dxfId="63" priority="12" operator="containsText" text="未开始"/>
    <x:cfRule type="containsText" dxfId="64" priority="13" operator="containsText" text="未完成"/>
  </x:conditionalFormatting>
  <x:dataValidations count="3">
    <x:dataValidation type="list" sqref="E5:E18">
      <x:formula1>"PASS,部分通过,待验收,BLOCKED"</x:formula1>
    </x:dataValidation>
    <x:dataValidation type="list" sqref="E5:E18">
      <x:formula1>"PASS,部分通过,待确认,BLOCKED"</x:formula1>
    </x:dataValidation>
    <x:dataValidation type="list" sqref="E19:E34">
      <x:formula1>"未执行,执行中,已通过,未通过,待客户确认"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1e16d92ddc479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5" hidden="0" customWidth="1"/>
    <x:col min="4" max="4" width="14" hidden="0" customWidth="1"/>
    <x:col min="5" max="5" width="32" hidden="0" customWidth="1"/>
    <x:col min="6" max="6" width="43" hidden="0" customWidth="1"/>
    <x:col min="7" max="7" width="50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42" hidden="0" customWidth="1"/>
    <x:col min="13" max="13" width="42" hidden="0" customWidth="1"/>
    <x:col min="14" max="14" width="20" hidden="0" customWidth="1"/>
    <x:col min="15" max="15" width="38" hidden="0" customWidth="1"/>
  </x:cols>
  <x:sheetData>
    <x:row r="1" ht="34" customHeight="1">
      <x:c r="A1" s="3" t="str">
        <x:v>待确认事项与上线门槛</x:v>
      </x:c>
      <x:c r="B1" s="3" t="str">
        <x:v>待确认事项与上线门槛</x:v>
      </x:c>
      <x:c r="C1" s="3" t="str">
        <x:v>待确认事项与上线门槛</x:v>
      </x:c>
      <x:c r="D1" s="3" t="str">
        <x:v>待确认事项与上线门槛</x:v>
      </x:c>
      <x:c r="E1" s="3" t="str">
        <x:v>待确认事项与上线门槛</x:v>
      </x:c>
      <x:c r="F1" s="3" t="str">
        <x:v>待确认事项与上线门槛</x:v>
      </x:c>
      <x:c r="G1" s="3" t="str">
        <x:v>待确认事项与上线门槛</x:v>
      </x:c>
      <x:c r="H1" s="3" t="str">
        <x:v>待确认事项与上线门槛</x:v>
      </x:c>
    </x:row>
    <x:row r="2" ht="25" customHeight="1">
      <x:c r="A2" s="113" t="str">
        <x:v>本期关键客户问题采用C-01～16；旧PEND编号保留并合并处理，生产上线门槛属于后续。本次未代客户选择方案或填写确认人日期。</x:v>
      </x:c>
      <x:c r="B2" s="113" t="str">
        <x:v>只列会改变开发结果、阻塞 POC／数据签收或阻塞生产上线的事项；确认后直接更新本表，并同步推进明细。</x:v>
      </x:c>
      <x:c r="C2" s="113" t="str">
        <x:v>只列会改变开发结果、阻塞 POC／数据签收或阻塞生产上线的事项；确认后直接更新本表，并同步推进明细。</x:v>
      </x:c>
      <x:c r="D2" s="113" t="str">
        <x:v>只列会改变开发结果、阻塞 POC／数据签收或阻塞生产上线的事项；确认后直接更新本表，并同步推进明细。</x:v>
      </x:c>
      <x:c r="E2" s="113" t="str">
        <x:v>只列会改变开发结果、阻塞 POC／数据签收或阻塞生产上线的事项；确认后直接更新本表，并同步推进明细。</x:v>
      </x:c>
      <x:c r="F2" s="113" t="str">
        <x:v>只列会改变开发结果、阻塞 POC／数据签收或阻塞生产上线的事项；确认后直接更新本表，并同步推进明细。</x:v>
      </x:c>
      <x:c r="G2" s="113" t="str">
        <x:v>只列会改变开发结果、阻塞 POC／数据签收或阻塞生产上线的事项；确认后直接更新本表，并同步推进明细。</x:v>
      </x:c>
      <x:c r="H2" s="113" t="str">
        <x:v>只列会改变开发结果、阻塞 POC／数据签收或阻塞生产上线的事项；确认后直接更新本表，并同步推进明细。</x:v>
      </x:c>
    </x:row>
    <x:row r="3" ht="8" customHeight="1"/>
    <x:row r="4" ht="34" customHeight="1">
      <x:c r="A4" s="90" t="str">
        <x:v>事项ID</x:v>
      </x:c>
      <x:c r="B4" s="91" t="str">
        <x:v>类别</x:v>
      </x:c>
      <x:c r="C4" s="91" t="str">
        <x:v>待确认／门槛</x:v>
      </x:c>
      <x:c r="D4" s="91" t="str">
        <x:v>状态</x:v>
      </x:c>
      <x:c r="E4" s="91" t="str">
        <x:v>责任方</x:v>
      </x:c>
      <x:c r="F4" s="91" t="str">
        <x:v>影响</x:v>
      </x:c>
      <x:c r="G4" s="91" t="str">
        <x:v>需要提供的资料／动作</x:v>
      </x:c>
      <x:c r="H4" s="92" t="str">
        <x:v>完成后影响</x:v>
      </x:c>
      <x:c r="I4" s="167" t="str">
        <x:v>确认人</x:v>
      </x:c>
      <x:c r="J4" s="167" t="str">
        <x:v>确认日期</x:v>
      </x:c>
      <x:c r="K4" s="167" t="str">
        <x:v>业务批次</x:v>
      </x:c>
      <x:c r="L4" s="167" t="str">
        <x:v>现有依据</x:v>
      </x:c>
      <x:c r="M4" s="167" t="str">
        <x:v>可选方案</x:v>
      </x:c>
      <x:c r="N4" s="167" t="str">
        <x:v>阻塞定版</x:v>
      </x:c>
      <x:c r="O4" s="167" t="str">
        <x:v>实际决定</x:v>
      </x:c>
    </x:row>
    <x:row r="5" ht="42" customHeight="1">
      <x:c r="A5" s="100" t="str">
        <x:v>PEND-01</x:v>
      </x:c>
      <x:c r="B5" s="100" t="str">
        <x:v>项目治理</x:v>
      </x:c>
      <x:c r="C5" s="100" t="str">
        <x:v>确认项目负责人、业务负责人、技术负责人及周例会节奏</x:v>
      </x:c>
      <x:c r="D5" s="100" t="str">
        <x:v>保留编号，统一合并处理</x:v>
      </x:c>
      <x:c r="E5" s="100" t="str">
        <x:v>客户项目负责人／交付负责人</x:v>
      </x:c>
      <x:c r="F5" s="100" t="str">
        <x:v>当前责任方只能按角色标注</x:v>
      </x:c>
      <x:c r="G5" s="100" t="str">
        <x:v>负责人姓名、每周投入、例会时间和决策机制</x:v>
      </x:c>
      <x:c r="H5" s="100" t="str">
        <x:v>项目内部指定维护人，见TASK-031</x:v>
      </x:c>
      <x:c r="I5" s="170"/>
      <x:c r="J5" s="178"/>
      <x:c r="K5" s="170"/>
      <x:c r="L5" s="170"/>
      <x:c r="M5" s="170"/>
      <x:c r="N5" s="170"/>
      <x:c r="O5" s="170"/>
    </x:row>
    <x:row r="6" ht="42" customHeight="1">
      <x:c r="A6" s="101" t="str">
        <x:v>PEND-02</x:v>
      </x:c>
      <x:c r="B6" s="101" t="str">
        <x:v>一期范围</x:v>
      </x:c>
      <x:c r="C6" s="101" t="str">
        <x:v>确认 P0/P1/P2 及报价、采购、财务扩展模块归属</x:v>
      </x:c>
      <x:c r="D6" s="101" t="str">
        <x:v>保留编号，统一合并处理</x:v>
      </x:c>
      <x:c r="E6" s="101" t="str">
        <x:v>客户业务负责人／产品负责人</x:v>
      </x:c>
      <x:c r="F6" s="101" t="str">
        <x:v>阻塞 PRD 批准与原型收口</x:v>
      </x:c>
      <x:c r="G6" s="101" t="str">
        <x:v>范围决策表、演示清单、书面确认</x:v>
      </x:c>
      <x:c r="H6" s="101" t="str">
        <x:v>合并C-01</x:v>
      </x:c>
      <x:c r="I6" s="170"/>
      <x:c r="J6" s="178"/>
      <x:c r="K6" s="170"/>
      <x:c r="L6" s="170"/>
      <x:c r="M6" s="170"/>
      <x:c r="N6" s="170"/>
      <x:c r="O6" s="170"/>
    </x:row>
    <x:row r="7" ht="42" customHeight="1">
      <x:c r="A7" s="101" t="str">
        <x:v>PEND-03</x:v>
      </x:c>
      <x:c r="B7" s="101" t="str">
        <x:v>状态模型</x:v>
      </x:c>
      <x:c r="C7" s="101" t="str">
        <x:v>确认一期采用 7 状态 MVP 还是 10 状态模型</x:v>
      </x:c>
      <x:c r="D7" s="101" t="str">
        <x:v>保留编号，统一合并处理</x:v>
      </x:c>
      <x:c r="E7" s="101" t="str">
        <x:v>客户业务负责人／产品负责人</x:v>
      </x:c>
      <x:c r="F7" s="101" t="str">
        <x:v>影响页面、按钮、权限、统计和验收</x:v>
      </x:c>
      <x:c r="G7" s="101" t="str">
        <x:v>状态矩阵、角色动作和终态定义</x:v>
      </x:c>
      <x:c r="H7" s="101" t="str">
        <x:v>合并C-02，对象状态含义；不沿用旧7/10态二选一</x:v>
      </x:c>
      <x:c r="I7" s="170"/>
      <x:c r="J7" s="178"/>
      <x:c r="K7" s="170"/>
      <x:c r="L7" s="170"/>
      <x:c r="M7" s="170"/>
      <x:c r="N7" s="170"/>
      <x:c r="O7" s="170"/>
    </x:row>
    <x:row r="8" ht="42" customHeight="1">
      <x:c r="A8" s="101" t="str">
        <x:v>PEND-04</x:v>
      </x:c>
      <x:c r="B8" s="101" t="str">
        <x:v>业务规则</x:v>
      </x:c>
      <x:c r="C8" s="101" t="str">
        <x:v>确认 PM/CM、普通／政府编号和政府前缀</x:v>
      </x:c>
      <x:c r="D8" s="101" t="str">
        <x:v>保留编号，统一合并处理</x:v>
      </x:c>
      <x:c r="E8" s="101" t="str">
        <x:v>CS／Leader／客户业务负责人</x:v>
      </x:c>
      <x:c r="F8" s="101" t="str">
        <x:v>阻塞建单、派单和报表口径</x:v>
      </x:c>
      <x:c r="G8" s="101" t="str">
        <x:v>PM/CM 样例、编号规则和前缀表</x:v>
      </x:c>
      <x:c r="H8" s="101" t="str">
        <x:v>合并C-02/C-09</x:v>
      </x:c>
      <x:c r="I8" s="170"/>
      <x:c r="J8" s="178"/>
      <x:c r="K8" s="170"/>
      <x:c r="L8" s="170"/>
      <x:c r="M8" s="170"/>
      <x:c r="N8" s="170"/>
      <x:c r="O8" s="170"/>
    </x:row>
    <x:row r="9" ht="42" customHeight="1">
      <x:c r="A9" s="101" t="str">
        <x:v>PEND-05</x:v>
      </x:c>
      <x:c r="B9" s="101" t="str">
        <x:v>现场规则</x:v>
      </x:c>
      <x:c r="C9" s="101" t="str">
        <x:v>确认 Leader 完工、照片必填、不可拍照清单与替代证明</x:v>
      </x:c>
      <x:c r="D9" s="101" t="str">
        <x:v>保留编号，统一合并处理</x:v>
      </x:c>
      <x:c r="E9" s="101" t="str">
        <x:v>Leader／业务负责人／合规</x:v>
      </x:c>
      <x:c r="F9" s="101" t="str">
        <x:v>阻塞移动端校验和完成状态</x:v>
      </x:c>
      <x:c r="G9" s="101" t="str">
        <x:v>不可拍照清单、豁免人和证明要求</x:v>
      </x:c>
      <x:c r="H9" s="101" t="str">
        <x:v>明确照片豁免不重问，细则合并C-08/C-12</x:v>
      </x:c>
      <x:c r="I9" s="170"/>
      <x:c r="J9" s="178"/>
      <x:c r="K9" s="170"/>
      <x:c r="L9" s="170"/>
      <x:c r="M9" s="170"/>
      <x:c r="N9" s="170"/>
      <x:c r="O9" s="170"/>
    </x:row>
    <x:row r="10" ht="42" customHeight="1">
      <x:c r="A10" s="101" t="str">
        <x:v>PEND-06</x:v>
      </x:c>
      <x:c r="B10" s="101" t="str">
        <x:v>试点组织</x:v>
      </x:c>
      <x:c r="C10" s="101" t="str">
        <x:v>确认 1 个区域及 CS、Leader、师傅试点名单</x:v>
      </x:c>
      <x:c r="D10" s="101" t="str">
        <x:v>保留编号，统一合并处理</x:v>
      </x:c>
      <x:c r="E10" s="101" t="str">
        <x:v>客户项目负责人</x:v>
      </x:c>
      <x:c r="F10" s="101" t="str">
        <x:v>阻塞真实权限和流程验证</x:v>
      </x:c>
      <x:c r="G10" s="101" t="str">
        <x:v>人员姓名、账号、角色、区域和可用时段</x:v>
      </x:c>
      <x:c r="H10" s="101" t="str">
        <x:v>本期提供角色样例；生产试点另排</x:v>
      </x:c>
      <x:c r="I10" s="170"/>
      <x:c r="J10" s="178"/>
      <x:c r="K10" s="170"/>
      <x:c r="L10" s="170"/>
      <x:c r="M10" s="170"/>
      <x:c r="N10" s="170"/>
      <x:c r="O10" s="170"/>
    </x:row>
    <x:row r="11" ht="42" customHeight="1">
      <x:c r="A11" s="101" t="str">
        <x:v>PEND-07</x:v>
      </x:c>
      <x:c r="B11" s="101" t="str">
        <x:v>主数据</x:v>
      </x:c>
      <x:c r="C11" s="101" t="str">
        <x:v>提供客户、地址、区域、团队、人员技能和 20–30 张样例工单</x:v>
      </x:c>
      <x:c r="D11" s="101" t="str">
        <x:v>保留编号，统一合并处理</x:v>
      </x:c>
      <x:c r="E11" s="101" t="str">
        <x:v>客户数据负责人／业务负责人</x:v>
      </x:c>
      <x:c r="F11" s="101" t="str">
        <x:v>阻塞推荐派单、数据导入和 UAT</x:v>
      </x:c>
      <x:c r="G11" s="101" t="str">
        <x:v>数据模板、业务主键、去重规则和异常负责人</x:v>
      </x:c>
      <x:c r="H11" s="101" t="str">
        <x:v>按本批场景收集实际样例</x:v>
      </x:c>
      <x:c r="I11" s="170"/>
      <x:c r="J11" s="178"/>
      <x:c r="K11" s="170"/>
      <x:c r="L11" s="170"/>
      <x:c r="M11" s="170"/>
      <x:c r="N11" s="170"/>
      <x:c r="O11" s="170"/>
    </x:row>
    <x:row r="12" ht="42" customHeight="1">
      <x:c r="A12" s="101" t="str">
        <x:v>PEND-08</x:v>
      </x:c>
      <x:c r="B12" s="101" t="str">
        <x:v>平台资源</x:v>
      </x:c>
      <x:c r="C12" s="101" t="str">
        <x:v>确认钉钉／宜搭许可、近 800 人账号、附件容量和 POC 环境</x:v>
      </x:c>
      <x:c r="D12" s="101" t="str">
        <x:v>保留编号，统一合并处理</x:v>
      </x:c>
      <x:c r="E12" s="101" t="str">
        <x:v>客户 IT／采购</x:v>
      </x:c>
      <x:c r="F12" s="101" t="str">
        <x:v>阻塞 POC、消息、图片与生产方案</x:v>
      </x:c>
      <x:c r="G12" s="101" t="str">
        <x:v>许可版本、账号上限、存储、网络和测试账号</x:v>
      </x:c>
      <x:c r="H12" s="101" t="str">
        <x:v>后续真实接口/POC再评审</x:v>
      </x:c>
      <x:c r="I12" s="170"/>
      <x:c r="J12" s="178"/>
      <x:c r="K12" s="170"/>
      <x:c r="L12" s="170"/>
      <x:c r="M12" s="170"/>
      <x:c r="N12" s="170"/>
      <x:c r="O12" s="170"/>
    </x:row>
    <x:row r="13" ht="42" customHeight="1">
      <x:c r="A13" s="101" t="str">
        <x:v>PEND-09</x:v>
      </x:c>
      <x:c r="B13" s="101" t="str">
        <x:v>通知与归档</x:v>
      </x:c>
      <x:c r="C13" s="101" t="str">
        <x:v>确认通知渠道、图片在线保存期限及归档策略</x:v>
      </x:c>
      <x:c r="D13" s="101" t="str">
        <x:v>保留编号，统一合并处理</x:v>
      </x:c>
      <x:c r="E13" s="101" t="str">
        <x:v>客户 IT／业务负责人</x:v>
      </x:c>
      <x:c r="F13" s="101" t="str">
        <x:v>影响消息集成、容量成本和运维</x:v>
      </x:c>
      <x:c r="G13" s="101" t="str">
        <x:v>通知对象／渠道、照片量、保留周期和归档位置</x:v>
      </x:c>
      <x:c r="H13" s="101" t="str">
        <x:v>合并C-12/C-15</x:v>
      </x:c>
      <x:c r="I13" s="170"/>
      <x:c r="J13" s="178"/>
      <x:c r="K13" s="170"/>
      <x:c r="L13" s="170"/>
      <x:c r="M13" s="170"/>
      <x:c r="N13" s="170"/>
      <x:c r="O13" s="170"/>
    </x:row>
    <x:row r="14" ht="42" customHeight="1">
      <x:c r="A14" s="101" t="str">
        <x:v>GATE-01</x:v>
      </x:c>
      <x:c r="B14" s="101" t="str">
        <x:v>需求门槛</x:v>
      </x:c>
      <x:c r="C14" s="101" t="str">
        <x:v>一期范围、角色、流程、状态、字段和验收标准批准</x:v>
      </x:c>
      <x:c r="D14" s="101" t="str">
        <x:v>后续门槛，不表示已通过</x:v>
      </x:c>
      <x:c r="E14" s="101" t="str">
        <x:v>客户业务负责人／产品负责人</x:v>
      </x:c>
      <x:c r="F14" s="101" t="str">
        <x:v>未满足不得进入生产实施计划</x:v>
      </x:c>
      <x:c r="G14" s="101" t="str">
        <x:v>PEND-02～05 关闭，PRD 状态为已批准</x:v>
      </x:c>
      <x:c r="H14" s="101" t="str">
        <x:v>正式开发和上线另按批准范围评审</x:v>
      </x:c>
      <x:c r="I14" s="170"/>
      <x:c r="J14" s="178"/>
      <x:c r="K14" s="170"/>
      <x:c r="L14" s="170"/>
      <x:c r="M14" s="170"/>
      <x:c r="N14" s="170"/>
      <x:c r="O14" s="170"/>
    </x:row>
    <x:row r="15" ht="42" customHeight="1">
      <x:c r="A15" s="101" t="str">
        <x:v>GATE-02</x:v>
      </x:c>
      <x:c r="B15" s="101" t="str">
        <x:v>原型门槛</x:v>
      </x:c>
      <x:c r="C15" s="101" t="str">
        <x:v>当前原型与批准范围一致，主流程和关键状态评审通过</x:v>
      </x:c>
      <x:c r="D15" s="101" t="str">
        <x:v>后续门槛，不表示已通过</x:v>
      </x:c>
      <x:c r="E15" s="101" t="str">
        <x:v>产品负责人／测试验收／业务代表</x:v>
      </x:c>
      <x:c r="F15" s="101" t="str">
        <x:v>未满足不能作为 POC 验收基线</x:v>
      </x:c>
      <x:c r="G15" s="101" t="str">
        <x:v>TASK-010／013 和 A03 通过</x:v>
      </x:c>
      <x:c r="H15" s="101" t="str">
        <x:v>正式开发和上线另按批准范围评审</x:v>
      </x:c>
      <x:c r="I15" s="170"/>
      <x:c r="J15" s="178"/>
      <x:c r="K15" s="170"/>
      <x:c r="L15" s="170"/>
      <x:c r="M15" s="170"/>
      <x:c r="N15" s="170"/>
      <x:c r="O15" s="170"/>
    </x:row>
    <x:row r="16" ht="42" customHeight="1">
      <x:c r="A16" s="101" t="str">
        <x:v>GATE-03</x:v>
      </x:c>
      <x:c r="B16" s="101" t="str">
        <x:v>POC 门槛</x:v>
      </x:c>
      <x:c r="C16" s="101" t="str">
        <x:v>真实账号、权限、消息、移动端、照片和容量验证通过</x:v>
      </x:c>
      <x:c r="D16" s="101" t="str">
        <x:v>后续门槛，不表示已通过</x:v>
      </x:c>
      <x:c r="E16" s="101" t="str">
        <x:v>客户 IT／技术开发／测试验收</x:v>
      </x:c>
      <x:c r="F16" s="101" t="str">
        <x:v>未满足不得制定生产方案承诺</x:v>
      </x:c>
      <x:c r="G16" s="101" t="str">
        <x:v>TASK-014～018 和 A08／A10／A12 通过</x:v>
      </x:c>
      <x:c r="H16" s="101" t="str">
        <x:v>正式开发和上线另按批准范围评审</x:v>
      </x:c>
      <x:c r="I16" s="170"/>
      <x:c r="J16" s="178"/>
      <x:c r="K16" s="170"/>
      <x:c r="L16" s="170"/>
      <x:c r="M16" s="170"/>
      <x:c r="N16" s="170"/>
      <x:c r="O16" s="170"/>
    </x:row>
    <x:row r="17" ht="42" customHeight="1">
      <x:c r="A17" s="101" t="str">
        <x:v>GATE-04</x:v>
      </x:c>
      <x:c r="B17" s="101" t="str">
        <x:v>开发门槛</x:v>
      </x:c>
      <x:c r="C17" s="101" t="str">
        <x:v>Feature 包完整，P0 生产实现与集成测试通过</x:v>
      </x:c>
      <x:c r="D17" s="101" t="str">
        <x:v>后续门槛，不表示已通过</x:v>
      </x:c>
      <x:c r="E17" s="101" t="str">
        <x:v>技术负责人／技术开发</x:v>
      </x:c>
      <x:c r="F17" s="101" t="str">
        <x:v>未满足不能进入 UAT</x:v>
      </x:c>
      <x:c r="G17" s="101" t="str">
        <x:v>TASK-019～022 和 A13 通过</x:v>
      </x:c>
      <x:c r="H17" s="101" t="str">
        <x:v>正式开发和上线另按批准范围评审</x:v>
      </x:c>
      <x:c r="I17" s="170"/>
      <x:c r="J17" s="178"/>
      <x:c r="K17" s="170"/>
      <x:c r="L17" s="170"/>
      <x:c r="M17" s="170"/>
      <x:c r="N17" s="170"/>
      <x:c r="O17" s="170"/>
    </x:row>
    <x:row r="18" ht="42" customHeight="1">
      <x:c r="A18" s="102" t="str">
        <x:v>GATE-05</x:v>
      </x:c>
      <x:c r="B18" s="102" t="str">
        <x:v>验收门槛</x:v>
      </x:c>
      <x:c r="C18" s="102" t="str">
        <x:v>AT-01～AT-07 和 7–10 日试点全部通过</x:v>
      </x:c>
      <x:c r="D18" s="102" t="str">
        <x:v>后续门槛，不表示已通过</x:v>
      </x:c>
      <x:c r="E18" s="102" t="str">
        <x:v>测试验收／业务负责人／试点团队</x:v>
      </x:c>
      <x:c r="F18" s="102" t="str">
        <x:v>未满足不能生产上线</x:v>
      </x:c>
      <x:c r="G18" s="102" t="str">
        <x:v>TASK-023～024 和 A14 通过</x:v>
      </x:c>
      <x:c r="H18" s="102" t="str">
        <x:v>正式开发和上线另按批准范围评审</x:v>
      </x:c>
      <x:c r="I18" s="170"/>
      <x:c r="J18" s="178"/>
      <x:c r="K18" s="170"/>
      <x:c r="L18" s="170"/>
      <x:c r="M18" s="170"/>
      <x:c r="N18" s="170"/>
      <x:c r="O18" s="170"/>
    </x:row>
    <x:row r="19" ht="42" customHeight="1">
      <x:c r="A19" s="162" t="str">
        <x:v>GATE-06</x:v>
      </x:c>
      <x:c r="B19" s="162" t="str">
        <x:v>上线门槛</x:v>
      </x:c>
      <x:c r="C19" s="162" t="str">
        <x:v>生产切换、操作交接、恢复演练和项目签收完成</x:v>
      </x:c>
      <x:c r="D19" s="162" t="str">
        <x:v>后续门槛，不表示已通过</x:v>
      </x:c>
      <x:c r="E19" s="162" t="str">
        <x:v>客户项目负责人／客户 IT／产品负责人</x:v>
      </x:c>
      <x:c r="F19" s="162" t="str">
        <x:v>未满足项目不能标记 100%</x:v>
      </x:c>
      <x:c r="G19" s="162" t="str">
        <x:v>TASK-025、手册、上线记录和签字材料</x:v>
      </x:c>
      <x:c r="H19" s="162" t="str">
        <x:v>正式开发和上线另按批准范围评审</x:v>
      </x:c>
      <x:c r="I19" s="170"/>
      <x:c r="J19" s="178"/>
      <x:c r="K19" s="170"/>
      <x:c r="L19" s="170"/>
      <x:c r="M19" s="170"/>
      <x:c r="N19" s="170"/>
      <x:c r="O19" s="170"/>
    </x:row>
    <x:row r="20" ht="105" customHeight="1">
      <x:c r="A20" s="170" t="str">
        <x:v>C-01</x:v>
      </x:c>
      <x:c r="B20" s="170" t="str">
        <x:v>客户关键决策</x:v>
      </x:c>
      <x:c r="C20" s="170" t="str">
        <x:v>本期纳入哪些业务，哪些明确放后续？</x:v>
      </x:c>
      <x:c r="D20" s="170" t="str">
        <x:v>待确认</x:v>
      </x:c>
      <x:c r="E20" s="170" t="str">
        <x:v>对应业务负责人（实际人待指定）</x:v>
      </x:c>
      <x:c r="F20" s="170" t="str">
        <x:v>全项目及验收</x:v>
      </x:c>
      <x:c r="G20" s="170" t="str">
        <x:v>本计划只批准分批梳理，不能代替客户批准一期范围。</x:v>
      </x:c>
      <x:c r="H20" s="170" t="str">
        <x:v>确认后按编号回填对应批次</x:v>
      </x:c>
      <x:c r="I20" s="170" t="str"/>
      <x:c r="J20" s="178" t="str"/>
      <x:c r="K20" s="170" t="str">
        <x:v>B00</x:v>
      </x:c>
      <x:c r="L20" s="170" t="str">
        <x:v>S09核心MVP；S10全部待确认；S05/S06新增商务反馈</x:v>
      </x:c>
      <x:c r="M20" s="170" t="str">
        <x:v>核心闭环先冻结；核心+选定商务；完整当前业务分批冻，逐项标后续</x:v>
      </x:c>
      <x:c r="N20" s="170" t="str">
        <x:v>Y</x:v>
      </x:c>
      <x:c r="O20" s="170" t="str"/>
    </x:row>
    <x:row r="21" ht="105" customHeight="1">
      <x:c r="A21" s="170" t="str">
        <x:v>C-02</x:v>
      </x:c>
      <x:c r="B21" s="170" t="str">
        <x:v>客户关键决策</x:v>
      </x:c>
      <x:c r="C21" s="170" t="str">
        <x:v>各业务对象的状态含义、入口和终态怎样对应？</x:v>
      </x:c>
      <x:c r="D21" s="170" t="str">
        <x:v>待确认</x:v>
      </x:c>
      <x:c r="E21" s="170" t="str">
        <x:v>对应业务负责人（实际人待指定）</x:v>
      </x:c>
      <x:c r="F21" s="170" t="str">
        <x:v>CALL/派工/报告/统计</x:v>
      </x:c>
      <x:c r="G21" s="170" t="str">
        <x:v>对象候选继续核；本轮用户明确MR已完成为申请审批维度，不等于材料已备齐；其他对象和终态仍待核。</x:v>
      </x:c>
      <x:c r="H21" s="170" t="str">
        <x:v>确认后按编号回填对应批次</x:v>
      </x:c>
      <x:c r="I21" s="170" t="str"/>
      <x:c r="J21" s="178" t="str"/>
      <x:c r="K21" s="170" t="str">
        <x:v>B01</x:v>
      </x:c>
      <x:c r="L21" s="170" t="str">
        <x:v>S03状态/S01讨论/S07工作决策、TYPES旧数据；SOURCE-022 §MR申请审批与备齐；docs/review/2026-10-14-material-handoff/MATERIAL-HANDOFF-REVIEW.md</x:v>
      </x:c>
      <x:c r="M21" s="170" t="str">
        <x:v>主状态+业务阶段；统一状态表配独立申请；保留客户术语并定义映射</x:v>
      </x:c>
      <x:c r="N21" s="170" t="str">
        <x:v>Y</x:v>
      </x:c>
      <x:c r="O21" s="170" t="str"/>
    </x:row>
    <x:row r="22" ht="105" customHeight="1">
      <x:c r="A22" s="170" t="str">
        <x:v>C-03</x:v>
      </x:c>
      <x:c r="B22" s="170" t="str">
        <x:v>客户关键决策</x:v>
      </x:c>
      <x:c r="C22" s="170" t="str">
        <x:v>实际岗位怎样授权？夜班全区CALL具体名单、跨区操作和特殊开票由谁负责？</x:v>
      </x:c>
      <x:c r="D22" s="170" t="str">
        <x:v>待确认</x:v>
      </x:c>
      <x:c r="E22" s="170" t="str">
        <x:v>对应业务负责人（实际人待指定）</x:v>
      </x:c>
      <x:c r="F22" s="170" t="str">
        <x:v>所有角色数据/按钮/交接</x:v>
      </x:c>
      <x:c r="G22" s="170" t="str">
        <x:v>CR按区域和指定夜班例外已有明确记录，只确认名单及未定动作权限。</x:v>
      </x:c>
      <x:c r="H22" s="170" t="str">
        <x:v>确认后按编号回填对应批次</x:v>
      </x:c>
      <x:c r="I22" s="170" t="str"/>
      <x:c r="J22" s="178" t="str"/>
      <x:c r="K22" s="170" t="str">
        <x:v>B01</x:v>
      </x:c>
      <x:c r="L22" s="170" t="str">
        <x:v>S05 P16；S06 P31/P40/P41；S08角色；已确定CR区域可见不重问</x:v>
      </x:c>
      <x:c r="M22" s="170" t="str">
        <x:v>独立角色；既有角色附授权岗位；明确白名单范围例外</x:v>
      </x:c>
      <x:c r="N22" s="170" t="str">
        <x:v>Y</x:v>
      </x:c>
      <x:c r="O22" s="170" t="str"/>
    </x:row>
    <x:row r="23" ht="105" customHeight="1">
      <x:c r="A23" s="170" t="str">
        <x:v>C-04</x:v>
      </x:c>
      <x:c r="B23" s="170" t="str">
        <x:v>客户关键决策</x:v>
      </x:c>
      <x:c r="C23" s="170" t="str">
        <x:v>谁在何处确认本单材料已备齐，让EC可以安排施工？</x:v>
      </x:c>
      <x:c r="D23" s="170" t="str">
        <x:v>待确认</x:v>
      </x:c>
      <x:c r="E23" s="170" t="str">
        <x:v>对应业务负责人（实际人待指定）</x:v>
      </x:c>
      <x:c r="F23" s="170" t="str">
        <x:v>MR/采购/正式施工</x:v>
      </x:c>
      <x:c r="G23" s="170" t="str">
        <x:v>用户倾向仓管仅负责出库、在出库环节确认备齐，并明确需客户核实；不是已定职责。客户需说明实际确认岗位/单据/时机。</x:v>
      </x:c>
      <x:c r="H23" s="170" t="str">
        <x:v>确认后按编号回填对应批次</x:v>
      </x:c>
      <x:c r="I23" s="170" t="str"/>
      <x:c r="J23" s="178" t="str"/>
      <x:c r="K23" s="170" t="str">
        <x:v>B02</x:v>
      </x:c>
      <x:c r="L23" s="170" t="str">
        <x:v>SOURCE-022 §仓管出库与备齐确认尚待客户；SOURCE-025客户问句；SOURCE-015 P31自主MR旧诉求保留，日常/例外边界待核</x:v>
      </x:c>
      <x:c r="M23" s="170" t="str">
        <x:v>出库环节由仓管确认；或客户说明其他实际确认岗位/单据。均为候选，不预选，不默认出库完成即備齐</x:v>
      </x:c>
      <x:c r="N23" s="170" t="str">
        <x:v>Y</x:v>
      </x:c>
      <x:c r="O23" s="170" t="str"/>
    </x:row>
    <x:row r="24" ht="105" customHeight="1">
      <x:c r="A24" s="170" t="str">
        <x:v>C-05</x:v>
      </x:c>
      <x:c r="B24" s="170" t="str">
        <x:v>客户关键决策</x:v>
      </x:c>
      <x:c r="C24" s="170" t="str">
        <x:v>CM与原PM/其他任务冲突时谁协调、是否可拒绝、如何改期？</x:v>
      </x:c>
      <x:c r="D24" s="170" t="str">
        <x:v>待确认</x:v>
      </x:c>
      <x:c r="E24" s="170" t="str">
        <x:v>对应业务负责人（实际人待指定）</x:v>
      </x:c>
      <x:c r="F24" s="170" t="str">
        <x:v>CM/排程/师傅</x:v>
      </x:c>
      <x:c r="G24" s="170" t="str">
        <x:v>人员资源/客户约定是业务政策，现Decision明示待定</x:v>
      </x:c>
      <x:c r="H24" s="170" t="str">
        <x:v>确认后按编号回填对应批次</x:v>
      </x:c>
      <x:c r="I24" s="170" t="str"/>
      <x:c r="J24" s="178" t="str"/>
      <x:c r="K24" s="170" t="str">
        <x:v>B06</x:v>
      </x:c>
      <x:c r="L24" s="170" t="str">
        <x:v>S07 PENDING-002；S08接受/拒绝两分支</x:v>
      </x:c>
      <x:c r="M24" s="170" t="str">
        <x:v>人工协调重排；审批抢占；按指定条件可拒绝/保留原任务</x:v>
      </x:c>
      <x:c r="N24" s="170" t="str">
        <x:v>Y</x:v>
      </x:c>
      <x:c r="O24" s="170" t="str"/>
    </x:row>
    <x:row r="25" ht="105" customHeight="1">
      <x:c r="A25" s="170" t="str">
        <x:v>C-06</x:v>
      </x:c>
      <x:c r="B25" s="170" t="str">
        <x:v>客户关键决策</x:v>
      </x:c>
      <x:c r="C25" s="170" t="str">
        <x:v>现场款如何登记、交款、对账，及现场报价授权？</x:v>
      </x:c>
      <x:c r="D25" s="170" t="str">
        <x:v>待确认</x:v>
      </x:c>
      <x:c r="E25" s="170" t="str">
        <x:v>对应业务负责人（实际人待指定）</x:v>
      </x:c>
      <x:c r="F25" s="170" t="str">
        <x:v>INSTANT/FINANCE</x:v>
      </x:c>
      <x:c r="G25" s="170" t="str">
        <x:v>金额收取与交款责任不能靠工程完工自动推断</x:v>
      </x:c>
      <x:c r="H25" s="170" t="str">
        <x:v>确认后按编号回填对应批次</x:v>
      </x:c>
      <x:c r="I25" s="170" t="str"/>
      <x:c r="J25" s="178" t="str"/>
      <x:c r="K25" s="170" t="str">
        <x:v>B06</x:v>
      </x:c>
      <x:c r="L25" s="170" t="str">
        <x:v>S07 PENDING-001/017；S02/S08即时维修背景</x:v>
      </x:c>
      <x:c r="M25" s="170" t="str">
        <x:v>师傅登记后会计确认；CS/报价登记；指定负责人核对款证</x:v>
      </x:c>
      <x:c r="N25" s="170" t="str">
        <x:v>Y</x:v>
      </x:c>
      <x:c r="O25" s="170" t="str"/>
    </x:row>
    <x:row r="26" ht="105" customHeight="1">
      <x:c r="A26" s="170" t="str">
        <x:v>C-07</x:v>
      </x:c>
      <x:c r="B26" s="170" t="str">
        <x:v>客户关键决策</x:v>
      </x:c>
      <x:c r="C26" s="170" t="str">
        <x:v>后续施工恢复原CALL还是建新CALL，关联/编号如何体现？</x:v>
      </x:c>
      <x:c r="D26" s="170" t="str">
        <x:v>待确认</x:v>
      </x:c>
      <x:c r="E26" s="170" t="str">
        <x:v>对应业务负责人（实际人待指定）</x:v>
      </x:c>
      <x:c r="F26" s="170" t="str">
        <x:v>P/二次维修/Tender</x:v>
      </x:c>
      <x:c r="G26" s="170" t="str">
        <x:v>一次现场与二次服务关系影响历史和计价，(2)后缀未获确认</x:v>
      </x:c>
      <x:c r="H26" s="170" t="str">
        <x:v>确认后按编号回填对应批次</x:v>
      </x:c>
      <x:c r="I26" s="170" t="str"/>
      <x:c r="J26" s="178" t="str"/>
      <x:c r="K26" s="170" t="str">
        <x:v>B02</x:v>
      </x:c>
      <x:c r="L26" s="170" t="str">
        <x:v>S08再次分派；历史Q017；当前后缀逻辑</x:v>
      </x:c>
      <x:c r="M26" s="170" t="str">
        <x:v>同CALL新增服务任务；子CALL带明确父对象；独立施工对象关联原来源</x:v>
      </x:c>
      <x:c r="N26" s="170" t="str">
        <x:v>Y</x:v>
      </x:c>
      <x:c r="O26" s="170" t="str"/>
    </x:row>
    <x:row r="27" ht="105" customHeight="1">
      <x:c r="A27" s="170" t="str">
        <x:v>C-08</x:v>
      </x:c>
      <x:c r="B27" s="170" t="str">
        <x:v>客户关键决策</x:v>
      </x:c>
      <x:c r="C27" s="170" t="str">
        <x:v>出发前CP/SR准备/交付/打印岗位及缺签、不可拍、保固补证细则是什么？</x:v>
      </x:c>
      <x:c r="D27" s="170" t="str">
        <x:v>待确认</x:v>
      </x:c>
      <x:c r="E27" s="170" t="str">
        <x:v>对应业务负责人（实际人待指定）</x:v>
      </x:c>
      <x:c r="F27" s="170" t="str">
        <x:v>SR/CLOSE/M/FINANCE</x:v>
      </x:c>
      <x:c r="G27" s="170" t="str">
        <x:v>用户已说明成交维修需CP、保养/CALL上门SR、CP先交主管且主管确认更新维修状态；财务独立。基本分流/确认职责不再问客户，原打印岗位/补证未决保留</x:v>
      </x:c>
      <x:c r="H27" s="170" t="str">
        <x:v>确认后按编号回填对应批次</x:v>
      </x:c>
      <x:c r="I27" s="170" t="str"/>
      <x:c r="J27" s="178" t="str"/>
      <x:c r="K27" s="170" t="str">
        <x:v>B02</x:v>
      </x:c>
      <x:c r="L27" s="170" t="str">
        <x:v>SOURCE-022最新三次用户回答；SOURCE-028 CP复测/旧001边界；SOURCE-027出发前交付候选；SOURCE-014 P33</x:v>
      </x:c>
      <x:c r="M27" s="170" t="str">
        <x:v>按已说明的阶段/职责准备两种资料链；客户仅核真正未决打印/交付和补证细则，不重复选择已回答基本分流</x:v>
      </x:c>
      <x:c r="N27" s="170" t="str">
        <x:v>Y</x:v>
      </x:c>
      <x:c r="O27" s="170" t="str"/>
    </x:row>
    <x:row r="28" ht="105" customHeight="1">
      <x:c r="A28" s="170" t="str">
        <x:v>C-09</x:v>
      </x:c>
      <x:c r="B28" s="170" t="str">
        <x:v>客户关键决策</x:v>
      </x:c>
      <x:c r="C28" s="170" t="str">
        <x:v>单据编号的完整格式、前缀和关联是什么？请给实际样张。</x:v>
      </x:c>
      <x:c r="D28" s="170" t="str">
        <x:v>待确认</x:v>
      </x:c>
      <x:c r="E28" s="170" t="str">
        <x:v>对应业务负责人（实际人待指定）</x:v>
      </x:c>
      <x:c r="F28" s="170" t="str">
        <x:v>全单据与财务</x:v>
      </x:c>
      <x:c r="G28" s="170" t="str">
        <x:v>用户暂选七位数字、新单加1并要求下次问客户。核正式规则、起始号/旧纸号段衔接、重印/失败/作废是否发新号及公司号段；不内部指定起点。</x:v>
      </x:c>
      <x:c r="H28" s="170" t="str">
        <x:v>确认后按编号回填对应批次</x:v>
      </x:c>
      <x:c r="I28" s="170" t="str"/>
      <x:c r="J28" s="178" t="str"/>
      <x:c r="K28" s="170" t="str">
        <x:v>B01</x:v>
      </x:c>
      <x:c r="L28" s="170" t="str">
        <x:v>SOURCE-022 §七位数字、新单加1，细则下次客户确认；SOURCE-027客户问句；原SR纸样185943、0702历史编号及S05/S06编号原话</x:v>
      </x:c>
      <x:c r="M28" s="170" t="str">
        <x:v>候选：七位数字，新服务单加1；正式规则/起点与旧纸号段衔接、公司号段和重印/作废由客户核实；不预填实际决定</x:v>
      </x:c>
      <x:c r="N28" s="170" t="str">
        <x:v>Y</x:v>
      </x:c>
      <x:c r="O28" s="170" t="str"/>
    </x:row>
    <x:row r="29" ht="105" customHeight="1">
      <x:c r="A29" s="170" t="str">
        <x:v>C-10</x:v>
      </x:c>
      <x:c r="B29" s="170" t="str">
        <x:v>客户关键决策</x:v>
      </x:c>
      <x:c r="C29" s="170" t="str">
        <x:v>具体保养合同周期、首期/尾期/改期与私人续保提醒比例，政府怎么提醒？</x:v>
      </x:c>
      <x:c r="D29" s="170" t="str">
        <x:v>待确认</x:v>
      </x:c>
      <x:c r="E29" s="170" t="str">
        <x:v>对应业务负责人（实际人待指定）</x:v>
      </x:c>
      <x:c r="F29" s="170" t="str">
        <x:v>M/排程/QUOTE</x:v>
      </x:c>
      <x:c r="G29" s="170" t="str">
        <x:v>1/2、1/3没有明确哪个合同用哪个，政府仅说不同；月步长/起始首期也未确认</x:v>
      </x:c>
      <x:c r="H29" s="170" t="str">
        <x:v>确认后按编号回填对应批次</x:v>
      </x:c>
      <x:c r="I29" s="170" t="str"/>
      <x:c r="J29" s="178" t="str"/>
      <x:c r="K29" s="170" t="str">
        <x:v>B03</x:v>
      </x:c>
      <x:c r="L29" s="170" t="str">
        <x:v>S05 P27/P28；S07整期M；原样合同待提供</x:v>
      </x:c>
      <x:c r="M29" s="170" t="str">
        <x:v>合同逐项周期；私人按指定比例/日期；政府按指定规则/人工续保</x:v>
      </x:c>
      <x:c r="N29" s="170" t="str">
        <x:v>Y（纳入该业务时）</x:v>
      </x:c>
      <x:c r="O29" s="170" t="str"/>
    </x:row>
    <x:row r="30" ht="105" customHeight="1">
      <x:c r="A30" s="170" t="str">
        <x:v>C-11</x:v>
      </x:c>
      <x:c r="B30" s="170" t="str">
        <x:v>客户关键决策</x:v>
      </x:c>
      <x:c r="C30" s="170" t="str">
        <x:v>师傅是否允许无CALL独立新增SR？报告与任务的关联和已交修改规则是什么？</x:v>
      </x:c>
      <x:c r="D30" s="170" t="str">
        <x:v>待确认</x:v>
      </x:c>
      <x:c r="E30" s="170" t="str">
        <x:v>对应业务负责人（实际人待指定）</x:v>
      </x:c>
      <x:c r="F30" s="170" t="str">
        <x:v>SR/QUOTE/MASTER</x:v>
      </x:c>
      <x:c r="G30" s="170" t="str">
        <x:v>独立SR原文是问题；多报告作为商务来源不等于任意数据模型已批准。</x:v>
      </x:c>
      <x:c r="H30" s="170" t="str">
        <x:v>确认后按编号回填对应批次</x:v>
      </x:c>
      <x:c r="I30" s="170" t="str"/>
      <x:c r="J30" s="178" t="str"/>
      <x:c r="K30" s="170" t="str">
        <x:v>B02</x:v>
      </x:c>
      <x:c r="L30" s="170" t="str">
        <x:v>S06 P25；S01多报告及已交编辑原话</x:v>
      </x:c>
      <x:c r="M30" s="170" t="str">
        <x:v>只对已有任务新增报告；允许独立SR并人工关联；授权特定人员独立建</x:v>
      </x:c>
      <x:c r="N30" s="170" t="str">
        <x:v>Y（报告对象关系）；独立无CALL入口可后置</x:v>
      </x:c>
      <x:c r="O30" s="170" t="str"/>
    </x:row>
    <x:row r="31" ht="105" customHeight="1">
      <x:c r="A31" s="170" t="str">
        <x:v>C-12</x:v>
      </x:c>
      <x:c r="B31" s="170" t="str">
        <x:v>客户关键决策</x:v>
      </x:c>
      <x:c r="C31" s="170" t="str">
        <x:v>照片9/10张上限、原件/电子件保留期、归档调阅权限？</x:v>
      </x:c>
      <x:c r="D31" s="170" t="str">
        <x:v>待确认</x:v>
      </x:c>
      <x:c r="E31" s="170" t="str">
        <x:v>对应业务负责人（实际人待指定）</x:v>
      </x:c>
      <x:c r="F31" s="170" t="str">
        <x:v>SR/附件/管理员/会计</x:v>
      </x:c>
      <x:c r="G31" s="170" t="str">
        <x:v>客户资料容量/保密/长期凭证要求需要业务责任确认；压缩实现由团队选择</x:v>
      </x:c>
      <x:c r="H31" s="170" t="str">
        <x:v>确认后按编号回填对应批次</x:v>
      </x:c>
      <x:c r="I31" s="170" t="str"/>
      <x:c r="J31" s="178" t="str"/>
      <x:c r="K31" s="170" t="str">
        <x:v>B02</x:v>
      </x:c>
      <x:c r="L31" s="170" t="str">
        <x:v>S02照片限制；S15月容量/归档；旧9张规则无一致批准</x:v>
      </x:c>
      <x:c r="M31" s="170" t="str">
        <x:v>客户纸样上限；按类型区分；确认业务保留/访问，技术方案另评估</x:v>
      </x:c>
      <x:c r="N31" s="170" t="str">
        <x:v>Y（必需资料和上限）；存储实现POC后置</x:v>
      </x:c>
      <x:c r="O31" s="170" t="str"/>
    </x:row>
    <x:row r="32" ht="105" customHeight="1">
      <x:c r="A32" s="170" t="str">
        <x:v>C-13</x:v>
      </x:c>
      <x:c r="B32" s="170" t="str">
        <x:v>客户关键决策</x:v>
      </x:c>
      <x:c r="C32" s="170" t="str">
        <x:v>取消/退回/已完工重交/重开/成交变更对MR、合同计划与发票有什么授权和影响？</x:v>
      </x:c>
      <x:c r="D32" s="170" t="str">
        <x:v>待确认</x:v>
      </x:c>
      <x:c r="E32" s="170" t="str">
        <x:v>对应业务负责人（实际人待指定）</x:v>
      </x:c>
      <x:c r="F32" s="170" t="str">
        <x:v>各FLOW状态/历史/审计</x:v>
      </x:c>
      <x:c r="G32" s="170" t="str">
        <x:v>会改变合同履约和账务，团队不能默认撤销或重开</x:v>
      </x:c>
      <x:c r="H32" s="170" t="str">
        <x:v>确认后按编号回填对应批次</x:v>
      </x:c>
      <x:c r="I32" s="170" t="str"/>
      <x:c r="J32" s="178" t="str"/>
      <x:c r="K32" s="170" t="str">
        <x:v>B06</x:v>
      </x:c>
      <x:c r="L32" s="170" t="str">
        <x:v>S01已交SR可编辑；S02确认后不改原版；S09重开待决</x:v>
      </x:c>
      <x:c r="M32" s="170" t="str">
        <x:v>更正历史保留不改终态；重新审核明确版本；授权重开/撤回并定义关联处理</x:v>
      </x:c>
      <x:c r="N32" s="170" t="str">
        <x:v>Y</x:v>
      </x:c>
      <x:c r="O32" s="170" t="str"/>
    </x:row>
    <x:row r="33" ht="105" customHeight="1">
      <x:c r="A33" s="170" t="str">
        <x:v>C-14</x:v>
      </x:c>
      <x:c r="B33" s="170" t="str">
        <x:v>客户关键决策</x:v>
      </x:c>
      <x:c r="C33" s="170" t="str">
        <x:v>折扣按金额还是百分比？M+P金额及部分收款、冲销怎样分配？</x:v>
      </x:c>
      <x:c r="D33" s="170" t="str">
        <x:v>待确认</x:v>
      </x:c>
      <x:c r="E33" s="170" t="str">
        <x:v>对应业务负责人（实际人待指定）</x:v>
      </x:c>
      <x:c r="F33" s="170" t="str">
        <x:v>QUOTE/MR/FINANCE</x:v>
      </x:c>
      <x:c r="G33" s="170" t="str">
        <x:v>不再问是否需要discount/总价/低额原因，这些诉求已明确。</x:v>
      </x:c>
      <x:c r="H33" s="170" t="str">
        <x:v>确认后按编号回填对应批次</x:v>
      </x:c>
      <x:c r="I33" s="170" t="str"/>
      <x:c r="J33" s="178" t="str"/>
      <x:c r="K33" s="170" t="str">
        <x:v>B05</x:v>
      </x:c>
      <x:c r="L33" s="170" t="str">
        <x:v>S06 P2/P3；S05低额原因；S01财务讨论</x:v>
      </x:c>
      <x:c r="M33" s="170" t="str">
        <x:v>总额折扣或行折扣；仅总价；客户指定分摊；按发票核销或指定款项分配</x:v>
      </x:c>
      <x:c r="N33" s="170" t="str">
        <x:v>Y（相关出口）</x:v>
      </x:c>
      <x:c r="O33" s="170" t="str"/>
    </x:row>
    <x:row r="34" ht="105" customHeight="1">
      <x:c r="A34" s="170" t="str">
        <x:v>C-15</x:v>
      </x:c>
      <x:c r="B34" s="170" t="str">
        <x:v>客户关键决策</x:v>
      </x:c>
      <x:c r="C34" s="170" t="str">
        <x:v>报告、报价、回标怎样交付和留回执？标书日期/时间字段映射怎样确认？</x:v>
      </x:c>
      <x:c r="D34" s="170" t="str">
        <x:v>待确认</x:v>
      </x:c>
      <x:c r="E34" s="170" t="str">
        <x:v>对应业务负责人（实际人待指定）</x:v>
      </x:c>
      <x:c r="F34" s="170" t="str">
        <x:v>QUOTE/TENDER/SR/通知</x:v>
      </x:c>
      <x:c r="G34" s="170" t="str">
        <x:v>显示期限默认17:00、取消邀请结果已明确；真实发送与投标责任、日期命名需核对。</x:v>
      </x:c>
      <x:c r="H34" s="170" t="str">
        <x:v>确认后按编号回填对应批次</x:v>
      </x:c>
      <x:c r="I34" s="170" t="str"/>
      <x:c r="J34" s="178" t="str"/>
      <x:c r="K34" s="170" t="str">
        <x:v>B02</x:v>
      </x:c>
      <x:c r="L34" s="170" t="str">
        <x:v>S01softcopy讨论；S08回标；S10/S11原型界限</x:v>
      </x:c>
      <x:c r="M34" s="170" t="str">
        <x:v>本期只内部提醒且外部人工；授权Email/WhatsApp；明确应标方式与回执</x:v>
      </x:c>
      <x:c r="N34" s="170" t="str">
        <x:v>Y（关键交接责任）；真实接口可后置</x:v>
      </x:c>
      <x:c r="O34" s="170" t="str"/>
    </x:row>
    <x:row r="35" ht="105" customHeight="1">
      <x:c r="A35" s="170" t="str">
        <x:v>C-16</x:v>
      </x:c>
      <x:c r="B35" s="170" t="str">
        <x:v>客户关键决策</x:v>
      </x:c>
      <x:c r="C35" s="170" t="str">
        <x:v>借用系统和升降机申请是否另立后续需求？</x:v>
      </x:c>
      <x:c r="D35" s="170" t="str">
        <x:v>待确认</x:v>
      </x:c>
      <x:c r="E35" s="170" t="str">
        <x:v>对应业务负责人（实际人待指定）</x:v>
      </x:c>
      <x:c r="F35" s="170" t="str">
        <x:v>独立新增模块</x:v>
      </x:c>
      <x:c r="G35" s="170" t="str">
        <x:v>只有一行线索，本期不默认扩展；不阻塞现有业务链准备。</x:v>
      </x:c>
      <x:c r="H35" s="170" t="str">
        <x:v>确认后按编号回填对应批次</x:v>
      </x:c>
      <x:c r="I35" s="170" t="str"/>
      <x:c r="J35" s="178" t="str"/>
      <x:c r="K35" s="170" t="str">
        <x:v>B06</x:v>
      </x:c>
      <x:c r="L35" s="170" t="str">
        <x:v>S05 P42</x:v>
      </x:c>
      <x:c r="M35" s="170" t="str">
        <x:v>后续另立需求；明确不纳入本期；客户提供用途后再评审</x:v>
      </x:c>
      <x:c r="N35" s="170" t="str">
        <x:v>N，保持本期待确认范围外</x:v>
      </x:c>
      <x:c r="O35" s="170" t="str"/>
    </x:row>
  </x:sheetData>
  <x:mergeCells>
    <x:mergeCell ref="A1:H1"/>
    <x:mergeCell ref="A2:H2"/>
  </x:mergeCells>
  <x:conditionalFormatting sqref="D5:D18">
    <x:cfRule type="containsText" dxfId="65" priority="1" operator="containsText" text="已完成"/>
    <x:cfRule type="containsText" dxfId="66" priority="2" operator="containsText" text="PASS"/>
    <x:cfRule type="containsText" dxfId="67" priority="3" operator="containsText" text="基本完成"/>
    <x:cfRule type="containsText" dxfId="68" priority="4" operator="containsText" text="部分完成"/>
    <x:cfRule type="containsText" dxfId="69" priority="5" operator="containsText" text="部分通过"/>
    <x:cfRule type="containsText" dxfId="70" priority="6" operator="containsText" text="修复中"/>
    <x:cfRule type="containsText" dxfId="71" priority="7" operator="containsText" text="待收口"/>
    <x:cfRule type="containsText" dxfId="72" priority="8" operator="containsText" text="待验收"/>
    <x:cfRule type="containsText" dxfId="73" priority="9" operator="containsText" text="待确认"/>
    <x:cfRule type="containsText" dxfId="74" priority="10" operator="containsText" text="待开发"/>
    <x:cfRule type="containsText" dxfId="75" priority="11" operator="containsText" text="BLOCKED"/>
    <x:cfRule type="containsText" dxfId="76" priority="12" operator="containsText" text="未开始"/>
    <x:cfRule type="containsText" dxfId="77" priority="13" operator="containsText" text="未完成"/>
  </x:conditionalFormatting>
  <x:dataValidations count="3">
    <x:dataValidation type="list" sqref="D5:D18">
      <x:formula1>"已完成,待确认,未完成,BLOCKED"</x:formula1>
    </x:dataValidation>
    <x:dataValidation type="list" sqref="D5:D19">
      <x:formula1>"已完成,进行中,未完成,待确认,BLOCKED"</x:formula1>
    </x:dataValidation>
    <x:dataValidation type="list" sqref="D20:D35">
      <x:formula1>"待确认,已确认,需补资料,明确后续处理"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485a3721ef4b15"/>
  </x:tableParts>
</x:worksheet>
</file>
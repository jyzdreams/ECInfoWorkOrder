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ad56c9125147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总览" sheetId="1" r:id="Rd2bafbf1704a4d91"/>
    <x:sheet xmlns:r="http://schemas.openxmlformats.org/officeDocument/2006/relationships" name="需求对齐主表" sheetId="2" r:id="R1afdfe917f22471c"/>
    <x:sheet xmlns:r="http://schemas.openxmlformats.org/officeDocument/2006/relationships" name="模块范围" sheetId="3" r:id="R6d3500ef02f54f77"/>
    <x:sheet xmlns:r="http://schemas.openxmlformats.org/officeDocument/2006/relationships" name="流程逐条确认" sheetId="4" r:id="R243c7485c2e34362"/>
    <x:sheet xmlns:r="http://schemas.openxmlformats.org/officeDocument/2006/relationships" name="表单清单" sheetId="5" r:id="R83e1e305882d488b"/>
    <x:sheet xmlns:r="http://schemas.openxmlformats.org/officeDocument/2006/relationships" name="字段逐项确认" sheetId="6" r:id="R9ac6a6daad0f4322"/>
    <x:sheet xmlns:r="http://schemas.openxmlformats.org/officeDocument/2006/relationships" name="角色权限确认" sheetId="7" r:id="R0da7ac808772427c"/>
    <x:sheet xmlns:r="http://schemas.openxmlformats.org/officeDocument/2006/relationships" name="原型页面对齐" sheetId="8" r:id="Ra954be7993514867"/>
    <x:sheet xmlns:r="http://schemas.openxmlformats.org/officeDocument/2006/relationships" name="待确认决策" sheetId="9" r:id="R8eddb3cb01684bb4"/>
    <x:sheet xmlns:r="http://schemas.openxmlformats.org/officeDocument/2006/relationships" name="需求变更记录" sheetId="10" r:id="Rd14e8e0fb18f4e78"/>
    <x:sheet xmlns:r="http://schemas.openxmlformats.org/officeDocument/2006/relationships" name="使用说明" sheetId="11" r:id="R5c80fb2d713f4c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173B57"/>
      <x:name val="Arial"/>
    </x:font>
    <x:font>
      <x:i/>
      <x:sz val="10"/>
      <x:color rgb="FF6D7F8B"/>
      <x:name val="Arial"/>
    </x:font>
    <x:font>
      <x:sz val="10"/>
      <x:color rgb="FF273A46"/>
      <x:name val="Arial"/>
    </x:font>
    <x:font>
      <x:b/>
      <x:sz val="10"/>
      <x:color rgb="FF173B57"/>
      <x:name val="Arial"/>
    </x:font>
    <x:font>
      <x:b/>
      <x:sz val="10"/>
      <x:color rgb="FF273A46"/>
      <x:name val="Arial"/>
    </x:font>
    <x:font>
      <x:b/>
      <x:sz val="10"/>
      <x:color rgb="FFFFFFFF"/>
      <x:name val="Arial"/>
    </x:font>
    <x:font>
      <x:b/>
      <x:sz val="11"/>
      <x:color rgb="FF173B57"/>
      <x:name val="Arial"/>
    </x:font>
    <x:font>
      <x:b/>
      <x:sz val="10"/>
      <x:color rgb="FF9A6500"/>
      <x:name val="Arial"/>
    </x:font>
    <x:font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AF3F9"/>
      </x:patternFill>
    </x:fill>
    <x:fill>
      <x:patternFill patternType="solid">
        <x:fgColor rgb="FFFFF3CD"/>
      </x:patternFill>
    </x:fill>
    <x:fill>
      <x:patternFill patternType="solid">
        <x:fgColor rgb="FF173B57"/>
      </x:patternFill>
    </x:fill>
    <x:fill>
      <x:patternFill patternType="solid">
        <x:fgColor rgb="FFE8F5F3"/>
      </x:patternFill>
    </x:fill>
  </x:fills>
  <x:borders count="11">
    <x:border/>
    <x:border>
      <x:bottom style="thin">
        <x:color rgb="FFD8E2E8"/>
      </x:bottom>
    </x:border>
    <x:border>
      <x:right style="thin">
        <x:color rgb="FF5E7C90"/>
      </x:right>
      <x:bottom style="medium">
        <x:color rgb="FF173B57"/>
      </x:bottom>
    </x:border>
    <x:border>
      <x:left style="thin">
        <x:color rgb="FF5E7C90"/>
      </x:left>
      <x:right style="thin">
        <x:color rgb="FF5E7C90"/>
      </x:right>
      <x:bottom style="medium">
        <x:color rgb="FF173B57"/>
      </x:bottom>
    </x:border>
    <x:border>
      <x:left style="thin">
        <x:color rgb="FF5E7C90"/>
      </x:left>
      <x:bottom style="medium">
        <x:color rgb="FF173B57"/>
      </x:bottom>
    </x:border>
    <x:border>
      <x:top style="thin">
        <x:color rgb="FFD8E2E8"/>
      </x:top>
      <x:bottom style="thin">
        <x:color rgb="FFD8E2E8"/>
      </x:bottom>
    </x:border>
    <x:border>
      <x:left style="thin">
        <x:color rgb="FFE1C36A"/>
      </x:left>
      <x:top style="thin">
        <x:color rgb="FFE1C36A"/>
      </x:top>
      <x:bottom style="thin">
        <x:color rgb="FFE1C36A"/>
      </x:bottom>
    </x:border>
    <x:border>
      <x:top style="thin">
        <x:color rgb="FFE1C36A"/>
      </x:top>
      <x:bottom style="thin">
        <x:color rgb="FFE1C36A"/>
      </x:bottom>
    </x:border>
    <x:border>
      <x:right style="thin">
        <x:color rgb="FFE1C36A"/>
      </x:right>
      <x:top style="thin">
        <x:color rgb="FFE1C36A"/>
      </x:top>
      <x:bottom style="thin">
        <x:color rgb="FFE1C36A"/>
      </x:bottom>
    </x:border>
    <x:border>
      <x:left style="thin">
        <x:color rgb="FFD8E2E8"/>
      </x:left>
      <x:top style="thin">
        <x:color rgb="FFD8E2E8"/>
      </x:top>
      <x:bottom style="thin">
        <x:color rgb="FFD8E2E8"/>
      </x:bottom>
    </x:border>
    <x:border>
      <x:right style="thin">
        <x:color rgb="FFD8E2E8"/>
      </x:right>
      <x:top style="thin">
        <x:color rgb="FFD8E2E8"/>
      </x:top>
      <x:bottom style="thin">
        <x:color rgb="FFD8E2E8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2" xfId="0" applyNumberFormat="1" applyFont="1" applyFill="1" applyBorder="1"/>
    <x:xf numFmtId="0" fontId="6" fillId="4" borderId="3" xfId="0" applyNumberFormat="1" applyFont="1" applyFill="1" applyBorder="1"/>
    <x:xf numFmtId="0" fontId="6" fillId="4" borderId="4" xfId="0" applyNumberFormat="1" applyFont="1" applyFill="1" applyBorder="1"/>
    <x:xf numFmtId="0" fontId="6" fillId="4" borderId="2" xfId="0" applyNumberFormat="1" applyFont="1" applyFill="1" applyBorder="1" applyAlignment="1">
      <x:alignment wrapText="1"/>
    </x:xf>
    <x:xf numFmtId="0" fontId="6" fillId="4" borderId="3" xfId="0" applyNumberFormat="1" applyFont="1" applyFill="1" applyBorder="1" applyAlignment="1">
      <x:alignment wrapText="1"/>
    </x:xf>
    <x:xf numFmtId="0" fontId="6" fillId="4" borderId="4" xfId="0" applyNumberFormat="1" applyFont="1" applyFill="1" applyBorder="1" applyAlignment="1">
      <x:alignment wrapText="1"/>
    </x:xf>
    <x:xf numFmtId="0" fontId="6" fillId="4" borderId="2" xfId="0" applyNumberFormat="1" applyFont="1" applyFill="1" applyBorder="1" applyAlignment="1">
      <x:alignment horizontal="center" wrapText="1"/>
    </x:xf>
    <x:xf numFmtId="0" fontId="6" fillId="4" borderId="3" xfId="0" applyNumberFormat="1" applyFont="1" applyFill="1" applyBorder="1" applyAlignment="1">
      <x:alignment horizontal="center" wrapText="1"/>
    </x:xf>
    <x:xf numFmtId="0" fontId="6" fillId="4" borderId="4" xfId="0" applyNumberFormat="1" applyFont="1" applyFill="1" applyBorder="1" applyAlignment="1">
      <x:alignment horizontal="center" wrapText="1"/>
    </x:xf>
    <x:xf numFmtId="0" fontId="6" fillId="4" borderId="2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horizontal="center" wrapText="1"/>
    </x:xf>
    <x:xf numFmtId="0" fontId="7" fillId="5" borderId="1" xfId="0" applyNumberFormat="1" applyFont="1" applyFill="1" applyBorder="1" applyAlignment="1">
      <x:alignment horizontal="center" vertical="center" wrapText="1"/>
    </x:xf>
    <x:xf numFmtId="0" fontId="7" fillId="5" borderId="1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5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5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8" fillId="3" borderId="0" xfId="0" applyNumberFormat="1" applyFont="1" applyFill="1" applyBorder="1"/>
    <x:xf numFmtId="0" fontId="8" fillId="3" borderId="6" xfId="0" applyNumberFormat="1" applyFont="1" applyFill="1" applyBorder="1"/>
    <x:xf numFmtId="0" fontId="8" fillId="3" borderId="7" xfId="0" applyNumberFormat="1" applyFont="1" applyFill="1" applyBorder="1"/>
    <x:xf numFmtId="0" fontId="8" fillId="3" borderId="8" xfId="0" applyNumberFormat="1" applyFont="1" applyFill="1" applyBorder="1"/>
    <x:xf numFmtId="0" fontId="8" fillId="3" borderId="6" xfId="0" applyNumberFormat="1" applyFont="1" applyFill="1" applyBorder="1" applyAlignment="1">
      <x:alignment wrapText="1"/>
    </x:xf>
    <x:xf numFmtId="0" fontId="8" fillId="3" borderId="7" xfId="0" applyNumberFormat="1" applyFont="1" applyFill="1" applyBorder="1" applyAlignment="1">
      <x:alignment wrapText="1"/>
    </x:xf>
    <x:xf numFmtId="0" fontId="8" fillId="3" borderId="8" xfId="0" applyNumberFormat="1" applyFont="1" applyFill="1" applyBorder="1" applyAlignment="1">
      <x:alignment wrapText="1"/>
    </x:xf>
    <x:xf numFmtId="0" fontId="4" fillId="5" borderId="0" xfId="0" applyNumberFormat="1" applyFont="1" applyFill="1" applyBorder="1"/>
    <x:xf numFmtId="0" fontId="4" fillId="5" borderId="9" xfId="0" applyNumberFormat="1" applyFont="1" applyFill="1" applyBorder="1"/>
    <x:xf numFmtId="0" fontId="4" fillId="5" borderId="5" xfId="0" applyNumberFormat="1" applyFont="1" applyFill="1" applyBorder="1"/>
    <x:xf numFmtId="0" fontId="4" fillId="5" borderId="10" xfId="0" applyNumberFormat="1" applyFont="1" applyFill="1" applyBorder="1"/>
    <x:xf numFmtId="0" fontId="4" fillId="5" borderId="9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</x:cellXfs>
  <x:cellStyles count="1">
    <x:cellStyle name="Normal" xfId="0"/>
  </x:cellStyles>
  <x:dxfs count="70">
    <x:dxf>
      <x:font>
        <x:b/>
        <x:color rgb="FF2A7B58"/>
      </x:font>
      <x:fill>
        <x:patternFill patternType="solid">
          <x:bgColor rgb="FFEAF5EE"/>
        </x:patternFill>
      </x:fill>
    </x:dxf>
    <x:dxf>
      <x:font>
        <x:b/>
        <x:color rgb="FF2A7B58"/>
      </x:font>
      <x:fill>
        <x:patternFill patternType="solid">
          <x:bgColor rgb="FFEAF5EE"/>
        </x:patternFill>
      </x:fill>
    </x:dxf>
    <x:dxf>
      <x:font>
        <x:b/>
        <x:color rgb="FF2D6C9D"/>
      </x:font>
      <x:fill>
        <x:patternFill patternType="solid">
          <x:bgColor rgb="FFEAF3F9"/>
        </x:patternFill>
      </x:fill>
    </x:dxf>
    <x:dxf>
      <x:font>
        <x:b/>
        <x:color rgb="FF9A6500"/>
      </x:font>
      <x:fill>
        <x:patternFill patternType="solid">
          <x:bgColor rgb="FFFFF3CD"/>
        </x:patternFill>
      </x:fill>
    </x:dxf>
    <x:dxf>
      <x:font>
        <x:b/>
        <x:color rgb="FF9A6500"/>
      </x:font>
      <x:fill>
        <x:patternFill patternType="solid">
          <x:bgColor rgb="FFFFF3CD"/>
        </x:patternFill>
      </x:fill>
    </x:dxf>
    <x:dxf>
      <x:font>
        <x:b/>
        <x:color rgb="FFB43E46"/>
      </x:font>
      <x:fill>
        <x:patternFill patternType="solid">
          <x:bgColor rgb="FFFDEBEC"/>
        </x:patternFill>
      </x:fill>
    </x:dxf>
    <x:dxf>
      <x:font>
        <x:b/>
        <x:color rgb="FF6D7F8B"/>
      </x:font>
      <x:fill>
        <x:patternFill patternType="solid">
          <x:bgColor rgb="FFF1F4F6"/>
        </x:patternFill>
      </x:fill>
    </x:dxf>
    <x:dxf>
      <x:font>
        <x:b/>
        <x:color rgb="FF2A7B58"/>
      </x:font>
      <x:fill>
        <x:patternFill patternType="solid">
          <x:bgColor rgb="FFEAF5EE"/>
        </x:patternFill>
      </x:fill>
    </x:dxf>
    <x:dxf>
      <x:font>
        <x:b/>
        <x:color rgb="FF2A7B58"/>
      </x:font>
      <x:fill>
        <x:patternFill patternType="solid">
          <x:bgColor rgb="FFEAF5EE"/>
        </x:patternFill>
      </x:fill>
    </x:dxf>
    <x:dxf>
      <x:font>
        <x:b/>
        <x:color rgb="FF2D6C9D"/>
      </x:font>
      <x:fill>
        <x:patternFill patternType="solid">
          <x:bgColor rgb="FFEAF3F9"/>
        </x:patternFill>
      </x:fill>
    </x:dxf>
    <x:dxf>
      <x:font>
        <x:b/>
        <x:color rgb="FF9A6500"/>
      </x:font>
      <x:fill>
        <x:patternFill patternType="solid">
          <x:bgColor rgb="FFFFF3CD"/>
        </x:patternFill>
      </x:fill>
    </x:dxf>
    <x:dxf>
      <x:font>
        <x:b/>
        <x:color rgb="FF9A6500"/>
      </x:font>
      <x:fill>
        <x:patternFill patternType="solid">
          <x:bgColor rgb="FFFFF3CD"/>
        </x:patternFill>
      </x:fill>
    </x:dxf>
    <x:dxf>
      <x:font>
        <x:b/>
        <x:color rgb="FFB43E46"/>
      </x:font>
      <x:fill>
        <x:patternFill patternType="solid">
          <x:bgColor rgb="FFFDEBEC"/>
        </x:patternFill>
      </x:fill>
    </x:dxf>
    <x:dxf>
      <x:font>
        <x:b/>
        <x:color rgb="FF6D7F8B"/>
      </x:font>
      <x:fill>
        <x:patternFill patternType="solid">
          <x:bgColor rgb="FFF1F4F6"/>
        </x:patternFill>
      </x:fill>
    </x:dxf>
    <x:dxf>
      <x:font>
        <x:b/>
        <x:color rgb="FF2A7B58"/>
      </x:font>
      <x:fill>
        <x:patternFill patternType="solid">
          <x:bgColor rgb="FFEAF5EE"/>
        </x:patternFill>
      </x:fill>
    </x:dxf>
    <x:dxf>
      <x:font>
        <x:b/>
        <x:color rgb="FF2A7B58"/>
      </x:font>
      <x:fill>
        <x:patternFill patternType="solid">
          <x:bgColor rgb="FFEAF5EE"/>
        </x:patternFill>
      </x:fill>
    </x:dxf>
    <x:dxf>
      <x:font>
        <x:b/>
        <x:color rgb="FF2D6C9D"/>
      </x:font>
      <x:fill>
        <x:patternFill patternType="solid">
          <x:bgColor rgb="FFEAF3F9"/>
        </x:patternFill>
      </x:fill>
    </x:dxf>
    <x:dxf>
      <x:font>
        <x:b/>
        <x:color rgb="FF9A6500"/>
      </x:font>
      <x:fill>
        <x:patternFill patternType="solid">
          <x:bgColor rgb="FFFFF3CD"/>
        </x:patternFill>
      </x:fill>
    </x:dxf>
    <x:dxf>
      <x:font>
        <x:b/>
        <x:color rgb="FF9A6500"/>
      </x:font>
      <x:fill>
        <x:patternFill patternType="solid">
          <x:bgColor rgb="FFFFF3CD"/>
        </x:patternFill>
      </x:fill>
    </x:dxf>
    <x:dxf>
      <x:font>
        <x:b/>
        <x:color rgb="FFB43E46"/>
      </x:font>
      <x:fill>
        <x:patternFill patternType="solid">
          <x:bgColor rgb="FFFDEBEC"/>
        </x:patternFill>
      </x:fill>
    </x:dxf>
    <x:dxf>
      <x:font>
        <x:b/>
        <x:color rgb="FF6D7F8B"/>
      </x:font>
      <x:fill>
        <x:patternFill patternType="solid">
          <x:bgColor rgb="FFF1F4F6"/>
        </x:patternFill>
      </x:fill>
    </x:dxf>
    <x:dxf>
      <x:font>
        <x:b/>
        <x:color rgb="FF2A7B58"/>
      </x:font>
      <x:fill>
        <x:patternFill patternType="solid">
          <x:bgColor rgb="FFEAF5EE"/>
        </x:patternFill>
      </x:fill>
    </x:dxf>
    <x:dxf>
      <x:font>
        <x:b/>
        <x:color rgb="FF2A7B58"/>
      </x:font>
      <x:fill>
        <x:patternFill patternType="solid">
          <x:bgColor rgb="FFEAF5EE"/>
        </x:patternFill>
      </x:fill>
    </x:dxf>
    <x:dxf>
      <x:font>
        <x:b/>
        <x:color rgb="FF2D6C9D"/>
      </x:font>
      <x:fill>
        <x:patternFill patternType="solid">
          <x:bgColor rgb="FFEAF3F9"/>
        </x:patternFill>
      </x:fill>
    </x:dxf>
    <x:dxf>
      <x:font>
        <x:b/>
        <x:color rgb="FF9A6500"/>
      </x:font>
      <x:fill>
        <x:patternFill patternType="solid">
          <x:bgColor rgb="FFFFF3CD"/>
        </x:patternFill>
      </x:fill>
    </x:dxf>
    <x:dxf>
      <x:font>
        <x:b/>
        <x:color rgb="FF9A6500"/>
      </x:font>
      <x:fill>
        <x:patternFill patternType="solid">
          <x:bgColor rgb="FFFFF3CD"/>
        </x:patternFill>
      </x:fill>
    </x:dxf>
    <x:dxf>
      <x:font>
        <x:b/>
        <x:color rgb="FFB43E46"/>
      </x:font>
      <x:fill>
        <x:patternFill patternType="solid">
          <x:bgColor rgb="FFFDEBEC"/>
        </x:patternFill>
      </x:fill>
    </x:dxf>
    <x:dxf>
      <x:font>
        <x:b/>
        <x:color rgb="FF6D7F8B"/>
      </x:font>
      <x:fill>
        <x:patternFill patternType="solid">
          <x:bgColor rgb="FFF1F4F6"/>
        </x:patternFill>
      </x:fill>
    </x:dxf>
    <x:dxf>
      <x:font>
        <x:b/>
        <x:color rgb="FF2A7B58"/>
      </x:font>
      <x:fill>
        <x:patternFill patternType="solid">
          <x:bgColor rgb="FFEAF5EE"/>
        </x:patternFill>
      </x:fill>
    </x:dxf>
    <x:dxf>
      <x:font>
        <x:b/>
        <x:color rgb="FF2A7B58"/>
      </x:font>
      <x:fill>
        <x:patternFill patternType="solid">
          <x:bgColor rgb="FFEAF5EE"/>
        </x:patternFill>
      </x:fill>
    </x:dxf>
    <x:dxf>
      <x:font>
        <x:b/>
        <x:color rgb="FF2D6C9D"/>
      </x:font>
      <x:fill>
        <x:patternFill patternType="solid">
          <x:bgColor rgb="FFEAF3F9"/>
        </x:patternFill>
      </x:fill>
    </x:dxf>
    <x:dxf>
      <x:font>
        <x:b/>
        <x:color rgb="FF9A6500"/>
      </x:font>
      <x:fill>
        <x:patternFill patternType="solid">
          <x:bgColor rgb="FFFFF3CD"/>
        </x:patternFill>
      </x:fill>
    </x:dxf>
    <x:dxf>
      <x:font>
        <x:b/>
        <x:color rgb="FF9A6500"/>
      </x:font>
      <x:fill>
        <x:patternFill patternType="solid">
          <x:bgColor rgb="FFFFF3CD"/>
        </x:patternFill>
      </x:fill>
    </x:dxf>
    <x:dxf>
      <x:font>
        <x:b/>
        <x:color rgb="FFB43E46"/>
      </x:font>
      <x:fill>
        <x:patternFill patternType="solid">
          <x:bgColor rgb="FFFDEBEC"/>
        </x:patternFill>
      </x:fill>
    </x:dxf>
    <x:dxf>
      <x:font>
        <x:b/>
        <x:color rgb="FF6D7F8B"/>
      </x:font>
      <x:fill>
        <x:patternFill patternType="solid">
          <x:bgColor rgb="FFF1F4F6"/>
        </x:patternFill>
      </x:fill>
    </x:dxf>
    <x:dxf>
      <x:font>
        <x:b/>
        <x:color rgb="FF2A7B58"/>
      </x:font>
      <x:fill>
        <x:patternFill patternType="solid">
          <x:bgColor rgb="FFEAF5EE"/>
        </x:patternFill>
      </x:fill>
    </x:dxf>
    <x:dxf>
      <x:font>
        <x:b/>
        <x:color rgb="FF2A7B58"/>
      </x:font>
      <x:fill>
        <x:patternFill patternType="solid">
          <x:bgColor rgb="FFEAF5EE"/>
        </x:patternFill>
      </x:fill>
    </x:dxf>
    <x:dxf>
      <x:font>
        <x:b/>
        <x:color rgb="FF2D6C9D"/>
      </x:font>
      <x:fill>
        <x:patternFill patternType="solid">
          <x:bgColor rgb="FFEAF3F9"/>
        </x:patternFill>
      </x:fill>
    </x:dxf>
    <x:dxf>
      <x:font>
        <x:b/>
        <x:color rgb="FF9A6500"/>
      </x:font>
      <x:fill>
        <x:patternFill patternType="solid">
          <x:bgColor rgb="FFFFF3CD"/>
        </x:patternFill>
      </x:fill>
    </x:dxf>
    <x:dxf>
      <x:font>
        <x:b/>
        <x:color rgb="FF9A6500"/>
      </x:font>
      <x:fill>
        <x:patternFill patternType="solid">
          <x:bgColor rgb="FFFFF3CD"/>
        </x:patternFill>
      </x:fill>
    </x:dxf>
    <x:dxf>
      <x:font>
        <x:b/>
        <x:color rgb="FFB43E46"/>
      </x:font>
      <x:fill>
        <x:patternFill patternType="solid">
          <x:bgColor rgb="FFFDEBEC"/>
        </x:patternFill>
      </x:fill>
    </x:dxf>
    <x:dxf>
      <x:font>
        <x:b/>
        <x:color rgb="FF6D7F8B"/>
      </x:font>
      <x:fill>
        <x:patternFill patternType="solid">
          <x:bgColor rgb="FFF1F4F6"/>
        </x:patternFill>
      </x:fill>
    </x:dxf>
    <x:dxf>
      <x:font>
        <x:b/>
        <x:color rgb="FF2A7B58"/>
      </x:font>
      <x:fill>
        <x:patternFill patternType="solid">
          <x:bgColor rgb="FFEAF5EE"/>
        </x:patternFill>
      </x:fill>
    </x:dxf>
    <x:dxf>
      <x:font>
        <x:b/>
        <x:color rgb="FF2A7B58"/>
      </x:font>
      <x:fill>
        <x:patternFill patternType="solid">
          <x:bgColor rgb="FFEAF5EE"/>
        </x:patternFill>
      </x:fill>
    </x:dxf>
    <x:dxf>
      <x:font>
        <x:b/>
        <x:color rgb="FF2D6C9D"/>
      </x:font>
      <x:fill>
        <x:patternFill patternType="solid">
          <x:bgColor rgb="FFEAF3F9"/>
        </x:patternFill>
      </x:fill>
    </x:dxf>
    <x:dxf>
      <x:font>
        <x:b/>
        <x:color rgb="FF9A6500"/>
      </x:font>
      <x:fill>
        <x:patternFill patternType="solid">
          <x:bgColor rgb="FFFFF3CD"/>
        </x:patternFill>
      </x:fill>
    </x:dxf>
    <x:dxf>
      <x:font>
        <x:b/>
        <x:color rgb="FF9A6500"/>
      </x:font>
      <x:fill>
        <x:patternFill patternType="solid">
          <x:bgColor rgb="FFFFF3CD"/>
        </x:patternFill>
      </x:fill>
    </x:dxf>
    <x:dxf>
      <x:font>
        <x:b/>
        <x:color rgb="FFB43E46"/>
      </x:font>
      <x:fill>
        <x:patternFill patternType="solid">
          <x:bgColor rgb="FFFDEBEC"/>
        </x:patternFill>
      </x:fill>
    </x:dxf>
    <x:dxf>
      <x:font>
        <x:b/>
        <x:color rgb="FF6D7F8B"/>
      </x:font>
      <x:fill>
        <x:patternFill patternType="solid">
          <x:bgColor rgb="FFF1F4F6"/>
        </x:patternFill>
      </x:fill>
    </x:dxf>
    <x:dxf>
      <x:font>
        <x:b/>
        <x:color rgb="FF2A7B58"/>
      </x:font>
      <x:fill>
        <x:patternFill patternType="solid">
          <x:bgColor rgb="FFEAF5EE"/>
        </x:patternFill>
      </x:fill>
    </x:dxf>
    <x:dxf>
      <x:font>
        <x:b/>
        <x:color rgb="FF2A7B58"/>
      </x:font>
      <x:fill>
        <x:patternFill patternType="solid">
          <x:bgColor rgb="FFEAF5EE"/>
        </x:patternFill>
      </x:fill>
    </x:dxf>
    <x:dxf>
      <x:font>
        <x:b/>
        <x:color rgb="FF2D6C9D"/>
      </x:font>
      <x:fill>
        <x:patternFill patternType="solid">
          <x:bgColor rgb="FFEAF3F9"/>
        </x:patternFill>
      </x:fill>
    </x:dxf>
    <x:dxf>
      <x:font>
        <x:b/>
        <x:color rgb="FF9A6500"/>
      </x:font>
      <x:fill>
        <x:patternFill patternType="solid">
          <x:bgColor rgb="FFFFF3CD"/>
        </x:patternFill>
      </x:fill>
    </x:dxf>
    <x:dxf>
      <x:font>
        <x:b/>
        <x:color rgb="FF9A6500"/>
      </x:font>
      <x:fill>
        <x:patternFill patternType="solid">
          <x:bgColor rgb="FFFFF3CD"/>
        </x:patternFill>
      </x:fill>
    </x:dxf>
    <x:dxf>
      <x:font>
        <x:b/>
        <x:color rgb="FFB43E46"/>
      </x:font>
      <x:fill>
        <x:patternFill patternType="solid">
          <x:bgColor rgb="FFFDEBEC"/>
        </x:patternFill>
      </x:fill>
    </x:dxf>
    <x:dxf>
      <x:font>
        <x:b/>
        <x:color rgb="FF6D7F8B"/>
      </x:font>
      <x:fill>
        <x:patternFill patternType="solid">
          <x:bgColor rgb="FFF1F4F6"/>
        </x:patternFill>
      </x:fill>
    </x:dxf>
    <x:dxf>
      <x:font>
        <x:b/>
        <x:color rgb="FF2A7B58"/>
      </x:font>
      <x:fill>
        <x:patternFill patternType="solid">
          <x:bgColor rgb="FFEAF5EE"/>
        </x:patternFill>
      </x:fill>
    </x:dxf>
    <x:dxf>
      <x:font>
        <x:b/>
        <x:color rgb="FF2A7B58"/>
      </x:font>
      <x:fill>
        <x:patternFill patternType="solid">
          <x:bgColor rgb="FFEAF5EE"/>
        </x:patternFill>
      </x:fill>
    </x:dxf>
    <x:dxf>
      <x:font>
        <x:b/>
        <x:color rgb="FF2D6C9D"/>
      </x:font>
      <x:fill>
        <x:patternFill patternType="solid">
          <x:bgColor rgb="FFEAF3F9"/>
        </x:patternFill>
      </x:fill>
    </x:dxf>
    <x:dxf>
      <x:font>
        <x:b/>
        <x:color rgb="FF9A6500"/>
      </x:font>
      <x:fill>
        <x:patternFill patternType="solid">
          <x:bgColor rgb="FFFFF3CD"/>
        </x:patternFill>
      </x:fill>
    </x:dxf>
    <x:dxf>
      <x:font>
        <x:b/>
        <x:color rgb="FF9A6500"/>
      </x:font>
      <x:fill>
        <x:patternFill patternType="solid">
          <x:bgColor rgb="FFFFF3CD"/>
        </x:patternFill>
      </x:fill>
    </x:dxf>
    <x:dxf>
      <x:font>
        <x:b/>
        <x:color rgb="FFB43E46"/>
      </x:font>
      <x:fill>
        <x:patternFill patternType="solid">
          <x:bgColor rgb="FFFDEBEC"/>
        </x:patternFill>
      </x:fill>
    </x:dxf>
    <x:dxf>
      <x:font>
        <x:b/>
        <x:color rgb="FF6D7F8B"/>
      </x:font>
      <x:fill>
        <x:patternFill patternType="solid">
          <x:bgColor rgb="FFF1F4F6"/>
        </x:patternFill>
      </x:fill>
    </x:dxf>
    <x:dxf>
      <x:font>
        <x:b/>
        <x:color rgb="FF2A7B58"/>
      </x:font>
      <x:fill>
        <x:patternFill patternType="solid">
          <x:bgColor rgb="FFEAF5EE"/>
        </x:patternFill>
      </x:fill>
    </x:dxf>
    <x:dxf>
      <x:font>
        <x:b/>
        <x:color rgb="FF2A7B58"/>
      </x:font>
      <x:fill>
        <x:patternFill patternType="solid">
          <x:bgColor rgb="FFEAF5EE"/>
        </x:patternFill>
      </x:fill>
    </x:dxf>
    <x:dxf>
      <x:font>
        <x:b/>
        <x:color rgb="FF2D6C9D"/>
      </x:font>
      <x:fill>
        <x:patternFill patternType="solid">
          <x:bgColor rgb="FFEAF3F9"/>
        </x:patternFill>
      </x:fill>
    </x:dxf>
    <x:dxf>
      <x:font>
        <x:b/>
        <x:color rgb="FF9A6500"/>
      </x:font>
      <x:fill>
        <x:patternFill patternType="solid">
          <x:bgColor rgb="FFFFF3CD"/>
        </x:patternFill>
      </x:fill>
    </x:dxf>
    <x:dxf>
      <x:font>
        <x:b/>
        <x:color rgb="FF9A6500"/>
      </x:font>
      <x:fill>
        <x:patternFill patternType="solid">
          <x:bgColor rgb="FFFFF3CD"/>
        </x:patternFill>
      </x:fill>
    </x:dxf>
    <x:dxf>
      <x:font>
        <x:b/>
        <x:color rgb="FFB43E46"/>
      </x:font>
      <x:fill>
        <x:patternFill patternType="solid">
          <x:bgColor rgb="FFFDEBEC"/>
        </x:patternFill>
      </x:fill>
    </x:dxf>
    <x:dxf>
      <x:font>
        <x:b/>
        <x:color rgb="FF6D7F8B"/>
      </x:font>
      <x:fill>
        <x:patternFill patternType="solid">
          <x:bgColor rgb="FFF1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5e310c36de4e77" /><Relationship Type="http://schemas.openxmlformats.org/officeDocument/2006/relationships/theme" Target="/xl/theme/theme1.xml" Id="R5c0c54d72b004101" /><Relationship Type="http://schemas.openxmlformats.org/officeDocument/2006/relationships/sharedStrings" Target="/xl/sharedStrings.xml" Id="R9a9526d951b24722" /><Relationship Type="http://schemas.openxmlformats.org/officeDocument/2006/relationships/worksheet" Target="/xl/worksheets/sheet1.xml" Id="Rd2bafbf1704a4d91" /><Relationship Type="http://schemas.openxmlformats.org/officeDocument/2006/relationships/worksheet" Target="/xl/worksheets/sheet2.xml" Id="R1afdfe917f22471c" /><Relationship Type="http://schemas.openxmlformats.org/officeDocument/2006/relationships/worksheet" Target="/xl/worksheets/sheet3.xml" Id="R6d3500ef02f54f77" /><Relationship Type="http://schemas.openxmlformats.org/officeDocument/2006/relationships/worksheet" Target="/xl/worksheets/sheet4.xml" Id="R243c7485c2e34362" /><Relationship Type="http://schemas.openxmlformats.org/officeDocument/2006/relationships/worksheet" Target="/xl/worksheets/sheet5.xml" Id="R83e1e305882d488b" /><Relationship Type="http://schemas.openxmlformats.org/officeDocument/2006/relationships/worksheet" Target="/xl/worksheets/sheet6.xml" Id="R9ac6a6daad0f4322" /><Relationship Type="http://schemas.openxmlformats.org/officeDocument/2006/relationships/worksheet" Target="/xl/worksheets/sheet7.xml" Id="R0da7ac808772427c" /><Relationship Type="http://schemas.openxmlformats.org/officeDocument/2006/relationships/worksheet" Target="/xl/worksheets/sheet8.xml" Id="Ra954be7993514867" /><Relationship Type="http://schemas.openxmlformats.org/officeDocument/2006/relationships/worksheet" Target="/xl/worksheets/sheet9.xml" Id="R8eddb3cb01684bb4" /><Relationship Type="http://schemas.openxmlformats.org/officeDocument/2006/relationships/worksheet" Target="/xl/worksheets/sheet10.xml" Id="Rd14e8e0fb18f4e78" /><Relationship Type="http://schemas.openxmlformats.org/officeDocument/2006/relationships/worksheet" Target="/xl/worksheets/sheet11.xml" Id="R5c80fb2d713f4c24" /></Relationships>
</file>

<file path=xl/tables/table1.xml><?xml version="1.0" encoding="utf-8"?>
<x:table xmlns:x="http://schemas.openxmlformats.org/spreadsheetml/2006/main" id="1" name="RequirementsAlignmentTable" displayName="RequirementsAlignmentTable" ref="A6:Q86" headerRowCount="1" totalsRowCount="0" totalsRowShown="0">
  <x:tableColumns count="17">
    <x:tableColumn id="1" name="对齐编号"/>
    <x:tableColumn id="2" name="模块"/>
    <x:tableColumn id="3" name="关联流程"/>
    <x:tableColumn id="4" name="功能编号"/>
    <x:tableColumn id="5" name="功能/需求"/>
    <x:tableColumn id="6" name="业务目的"/>
    <x:tableColumn id="7" name="主要角色"/>
    <x:tableColumn id="8" name="触发/入口"/>
    <x:tableColumn id="9" name="表单/页面"/>
    <x:tableColumn id="10" name="关键字段/资料"/>
    <x:tableColumn id="11" name="前置状态"/>
    <x:tableColumn id="12" name="后置结果"/>
    <x:tableColumn id="13" name="当前原型"/>
    <x:tableColumn id="14" name="原型页面"/>
    <x:tableColumn id="15" name="客户确认"/>
    <x:tableColumn id="16" name="客户意见"/>
    <x:tableColumn id="17" name="验收口径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duleScopeTable" displayName="ModuleScopeTable" ref="A4:P15" headerRowCount="1" totalsRowCount="0" totalsRowShown="0">
  <x:tableColumns count="16">
    <x:tableColumn id="1" name="模块编号"/>
    <x:tableColumn id="2" name="模块名称"/>
    <x:tableColumn id="3" name="模块作用"/>
    <x:tableColumn id="4" name="对应页面/表单"/>
    <x:tableColumn id="5" name="主要角色"/>
    <x:tableColumn id="6" name="核心输入"/>
    <x:tableColumn id="7" name="核心处理"/>
    <x:tableColumn id="8" name="核心输出"/>
    <x:tableColumn id="9" name="上游来源"/>
    <x:tableColumn id="10" name="下游去向"/>
    <x:tableColumn id="11" name="原型范围"/>
    <x:tableColumn id="12" name="关联主流程"/>
    <x:tableColumn id="13" name="客户确认"/>
    <x:tableColumn id="14" name="定稿范围"/>
    <x:tableColumn id="15" name="客户意见/边界"/>
    <x:tableColumn id="16" name="本轮会议重点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lowReviewTable" displayName="FlowReviewTable" ref="A4:S51" headerRowCount="1" totalsRowCount="0" totalsRowShown="0">
  <x:tableColumns count="19">
    <x:tableColumn id="1" name="流程编号"/>
    <x:tableColumn id="2" name="流程名称"/>
    <x:tableColumn id="3" name="步骤"/>
    <x:tableColumn id="4" name="阶段"/>
    <x:tableColumn id="5" name="触发条件"/>
    <x:tableColumn id="6" name="执行角色"/>
    <x:tableColumn id="7" name="业务动作"/>
    <x:tableColumn id="8" name="页面/表单"/>
    <x:tableColumn id="9" name="关键字段"/>
    <x:tableColumn id="10" name="前置状态"/>
    <x:tableColumn id="11" name="后置状态"/>
    <x:tableColumn id="12" name="输出/通知"/>
    <x:tableColumn id="13" name="业务规则"/>
    <x:tableColumn id="14" name="异常/待确认"/>
    <x:tableColumn id="15" name="建议范围"/>
    <x:tableColumn id="16" name="关联需求"/>
    <x:tableColumn id="17" name="客户确认"/>
    <x:tableColumn id="18" name="定稿结论"/>
    <x:tableColumn id="19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ormReviewTable" displayName="FormReviewTable" ref="A4:M40" headerRowCount="1" totalsRowCount="0" totalsRowShown="0">
  <x:tableColumns count="13">
    <x:tableColumn id="1" name="表单编号"/>
    <x:tableColumn id="2" name="模块"/>
    <x:tableColumn id="3" name="表单/页面"/>
    <x:tableColumn id="4" name="用途"/>
    <x:tableColumn id="5" name="使用角色"/>
    <x:tableColumn id="6" name="入口/使用场景"/>
    <x:tableColumn id="7" name="字段数"/>
    <x:tableColumn id="8" name="关联功能"/>
    <x:tableColumn id="9" name="关联流程"/>
    <x:tableColumn id="10" name="当前原型状态"/>
    <x:tableColumn id="11" name="客户确认"/>
    <x:tableColumn id="12" name="定稿用途/范围"/>
    <x:tableColumn id="13" name="客户意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ieldReviewTable" displayName="FieldReviewTable" ref="A4:P248" headerRowCount="1" totalsRowCount="0" totalsRowShown="0">
  <x:tableColumns count="16">
    <x:tableColumn id="1" name="字段编号"/>
    <x:tableColumn id="2" name="模块"/>
    <x:tableColumn id="3" name="表单/页面"/>
    <x:tableColumn id="4" name="字段组"/>
    <x:tableColumn id="5" name="当前字段名称"/>
    <x:tableColumn id="6" name="当前类型"/>
    <x:tableColumn id="7" name="当前必填规则"/>
    <x:tableColumn id="8" name="字段说明/校验"/>
    <x:tableColumn id="9" name="原型状态"/>
    <x:tableColumn id="10" name="客户确认"/>
    <x:tableColumn id="11" name="定稿字段名称"/>
    <x:tableColumn id="12" name="定稿类型"/>
    <x:tableColumn id="13" name="定稿必填"/>
    <x:tableColumn id="14" name="选项/规则定稿"/>
    <x:tableColumn id="15" name="客户备注"/>
    <x:tableColumn id="16" name="关联依据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oleReviewTable" displayName="RoleReviewTable" ref="A4:J14" headerRowCount="1" totalsRowCount="0" totalsRowShown="0">
  <x:tableColumns count="10">
    <x:tableColumn id="1" name="角色编码"/>
    <x:tableColumn id="2" name="角色名称"/>
    <x:tableColumn id="3" name="部门/定位"/>
    <x:tableColumn id="4" name="当前可见页面"/>
    <x:tableColumn id="5" name="当前数据范围"/>
    <x:tableColumn id="6" name="核心操作"/>
    <x:tableColumn id="7" name="明确限制"/>
    <x:tableColumn id="8" name="客户确认"/>
    <x:tableColumn id="9" name="定稿权限"/>
    <x:tableColumn id="10" name="客户意见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rototypeAlignmentTable" displayName="PrototypeAlignmentTable" ref="A4:K21" headerRowCount="1" totalsRowCount="0" totalsRowShown="0">
  <x:tableColumns count="11">
    <x:tableColumn id="1" name="页面编号"/>
    <x:tableColumn id="2" name="端"/>
    <x:tableColumn id="3" name="页面/入口"/>
    <x:tableColumn id="4" name="所属模块"/>
    <x:tableColumn id="5" name="主要角色"/>
    <x:tableColumn id="6" name="页面作用"/>
    <x:tableColumn id="7" name="关联功能"/>
    <x:tableColumn id="8" name="主要表单/对象"/>
    <x:tableColumn id="9" name="当前状态"/>
    <x:tableColumn id="10" name="客户确认"/>
    <x:tableColumn id="11" name="对齐差异/修改要求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ecisionRegisterTable" displayName="DecisionRegisterTable" ref="A4:L19" headerRowCount="1" totalsRowCount="0" totalsRowShown="0">
  <x:tableColumns count="12">
    <x:tableColumn id="1" name="决策编号"/>
    <x:tableColumn id="2" name="优先级"/>
    <x:tableColumn id="3" name="主题"/>
    <x:tableColumn id="4" name="需客户确认的问题"/>
    <x:tableColumn id="5" name="影响模块/流程"/>
    <x:tableColumn id="6" name="建议参与人"/>
    <x:tableColumn id="7" name="需准备材料/样例"/>
    <x:tableColumn id="8" name="建议选项或判断依据"/>
    <x:tableColumn id="9" name="状态"/>
    <x:tableColumn id="10" name="客户结论"/>
    <x:tableColumn id="11" name="责任人"/>
    <x:tableColumn id="12" name="计划确认日期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hangeLogTable" displayName="ChangeLogTable" ref="A4:L34" headerRowCount="1" totalsRowCount="0" totalsRowShown="0">
  <x:tableColumns count="12">
    <x:tableColumn id="1" name="变更编号"/>
    <x:tableColumn id="2" name="提出日期"/>
    <x:tableColumn id="3" name="提出方"/>
    <x:tableColumn id="4" name="关联对象类型"/>
    <x:tableColumn id="5" name="关联编号"/>
    <x:tableColumn id="6" name="变更内容"/>
    <x:tableColumn id="7" name="变更原因"/>
    <x:tableColumn id="8" name="影响模块/流程/字段"/>
    <x:tableColumn id="9" name="优先级"/>
    <x:tableColumn id="10" name="处理状态"/>
    <x:tableColumn id="11" name="确认结论"/>
    <x:tableColumn id="12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2d85fbca94f42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73c0b1942a4a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2aad18a5c994e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27b9465b2154c3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984cd09fe11400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d9861d4d9894ec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cd49348096b45d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1460717e30d422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18f2c0156bb4e6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10" hidden="0" customWidth="1"/>
    <x:col min="3" max="3" width="10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4" hidden="0" customWidth="1"/>
    <x:col min="14" max="14" width="36" hidden="0" customWidth="1"/>
  </x:cols>
  <x:sheetData>
    <x:row r="1" ht="28" customHeight="1">
      <x:c r="A1" s="2" t="str">
        <x:v>EC工单系统｜项目总览</x:v>
      </x:c>
      <x:c r="B1" s="59"/>
      <x:c r="C1" s="59"/>
      <x:c r="D1" s="59"/>
      <x:c r="E1" s="59"/>
      <x:c r="F1" s="59"/>
      <x:c r="G1" s="59"/>
      <x:c r="H1" s="59"/>
      <x:c r="I1" s="59"/>
      <x:c r="J1" s="59"/>
      <x:c r="K1" s="59"/>
      <x:c r="L1" s="59"/>
      <x:c r="M1" s="59"/>
      <x:c r="N1" s="59"/>
    </x:row>
    <x:row r="2" ht="24" customHeight="1">
      <x:c r="A2" s="5" t="str">
        <x:v>客户评审版 v2.0｜本表用于把范围、流程、功能、表单字段、原型和决策逐条对齐；所有结论初始为“待确认”。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</x:row>
    <x:row r="3">
      <x:c r="A3" s="59"/>
      <x:c r="B3" s="59"/>
      <x:c r="C3" s="59"/>
      <x:c r="D3" s="59"/>
      <x:c r="E3" s="59"/>
      <x:c r="F3" s="59"/>
      <x:c r="G3" s="59"/>
      <x:c r="H3" s="59"/>
      <x:c r="I3" s="59"/>
      <x:c r="J3" s="59"/>
      <x:c r="K3" s="59"/>
      <x:c r="L3" s="59"/>
      <x:c r="M3" s="59"/>
      <x:c r="N3" s="59"/>
    </x:row>
    <x:row r="4">
      <x:c r="A4" s="11" t="str">
        <x:v>项目名称</x:v>
      </x:c>
      <x:c r="B4" s="12" t="str">
        <x:v>EC工单系统</x:v>
      </x:c>
      <x:c r="C4" s="11" t="str">
        <x:v>评审版本</x:v>
      </x:c>
      <x:c r="D4" s="12" t="str">
        <x:v>客户评审版 v2.0</x:v>
      </x:c>
      <x:c r="E4" s="11" t="str">
        <x:v>当前原型</x:v>
      </x:c>
      <x:c r="F4" s="12" t="str">
        <x:v>prototype/（2.0）</x:v>
      </x:c>
      <x:c r="G4" s="11" t="str">
        <x:v>当前阶段</x:v>
      </x:c>
      <x:c r="H4" s="12" t="str">
        <x:v>客户需求逐项确认</x:v>
      </x:c>
      <x:c r="I4" s="11" t="str">
        <x:v>需求状态</x:v>
      </x:c>
      <x:c r="J4" s="12" t="str">
        <x:v>评审中</x:v>
      </x:c>
      <x:c r="K4" s="11" t="str">
        <x:v>目标交付时间</x:v>
      </x:c>
      <x:c r="L4" s="13" t="str">
        <x:v>待客户确认</x:v>
      </x:c>
      <x:c r="M4" s="11" t="str">
        <x:v>项目负责人</x:v>
      </x:c>
      <x:c r="N4" s="13" t="str">
        <x:v>待补充</x:v>
      </x:c>
    </x:row>
    <x:row r="5">
      <x:c r="A5" s="59"/>
      <x:c r="B5" s="59"/>
      <x:c r="C5" s="59"/>
      <x:c r="D5" s="59"/>
      <x:c r="E5" s="59"/>
      <x:c r="F5" s="59"/>
      <x:c r="G5" s="59"/>
      <x:c r="H5" s="59"/>
      <x:c r="I5" s="59"/>
      <x:c r="J5" s="59"/>
      <x:c r="K5" s="59"/>
      <x:c r="L5" s="59"/>
      <x:c r="M5" s="59"/>
      <x:c r="N5" s="59"/>
    </x:row>
    <x:row r="6">
      <x:c r="A6" s="25" t="str">
        <x:v>评审对象</x:v>
      </x:c>
      <x:c r="B6" s="26" t="str">
        <x:v>模块</x:v>
      </x:c>
      <x:c r="C6" s="26" t="str">
        <x:v>功能</x:v>
      </x:c>
      <x:c r="D6" s="26" t="str">
        <x:v>流程步骤</x:v>
      </x:c>
      <x:c r="E6" s="26" t="str">
        <x:v>表单</x:v>
      </x:c>
      <x:c r="F6" s="26" t="str">
        <x:v>字段</x:v>
      </x:c>
      <x:c r="G6" s="26" t="str">
        <x:v>页面</x:v>
      </x:c>
      <x:c r="H6" s="26" t="str">
        <x:v>待确认决策</x:v>
      </x:c>
      <x:c r="I6" s="26" t="str">
        <x:v>变更记录</x:v>
      </x:c>
      <x:c r="J6" s="26" t="str">
        <x:v>已确认需求</x:v>
      </x:c>
      <x:c r="K6" s="26" t="str">
        <x:v>待确认需求</x:v>
      </x:c>
      <x:c r="L6" s="26" t="str">
        <x:v>需调整项</x:v>
      </x:c>
      <x:c r="M6" s="26" t="str">
        <x:v>当前结论</x:v>
      </x:c>
      <x:c r="N6" s="27" t="str">
        <x:v>备注</x:v>
      </x:c>
    </x:row>
    <x:row r="7">
      <x:c r="A7" s="33" t="str">
        <x:f>"EC工单系统"</x:f>
        <x:v>EC工单系统</x:v>
      </x:c>
      <x:c r="B7" s="33" t="n">
        <x:f>COUNTA('模块范围'!$A$5:$A$15)</x:f>
        <x:v>11</x:v>
      </x:c>
      <x:c r="C7" s="33" t="n">
        <x:f>COUNTA('需求对齐主表'!$D$7:$D$86)</x:f>
        <x:v>80</x:v>
      </x:c>
      <x:c r="D7" s="33" t="n">
        <x:f>COUNTA('流程逐条确认'!$A$5:$A$53)</x:f>
        <x:v>47</x:v>
      </x:c>
      <x:c r="E7" s="33" t="n">
        <x:f>COUNTA('表单清单'!$A$5:$A$40)</x:f>
        <x:v>36</x:v>
      </x:c>
      <x:c r="F7" s="33" t="n">
        <x:f>COUNTA('字段逐项确认'!$A$5:$A$248)</x:f>
        <x:v>244</x:v>
      </x:c>
      <x:c r="G7" s="33" t="n">
        <x:f>COUNTA('原型页面对齐'!$A$5:$A$21)</x:f>
        <x:v>17</x:v>
      </x:c>
      <x:c r="H7" s="33" t="n">
        <x:f>COUNTA('待确认决策'!$A$5:$A$19)</x:f>
        <x:v>15</x:v>
      </x:c>
      <x:c r="I7" s="33" t="n">
        <x:f>COUNTA('需求变更记录'!$A$5:$A$35)</x:f>
        <x:v>30</x:v>
      </x:c>
      <x:c r="J7" s="33" t="n">
        <x:f>COUNTIF('需求对齐主表'!$O$7:$O$86,"已确认")</x:f>
        <x:v>0</x:v>
      </x:c>
      <x:c r="K7" s="33" t="n">
        <x:f>COUNTIF('需求对齐主表'!$O$7:$O$86,"待确认")</x:f>
        <x:v>80</x:v>
      </x:c>
      <x:c r="L7" s="33" t="n">
        <x:f>COUNTIF('需求对齐主表'!$O$7:$O$86,"需调整")</x:f>
        <x:v>0</x:v>
      </x:c>
      <x:c r="M7" s="33" t="str">
        <x:f>"评审中"</x:f>
        <x:v>评审中</x:v>
      </x:c>
      <x:c r="N7" s="34" t="str">
        <x:f>"主链路和外部仓库同步规则需优先对齐"</x:f>
        <x:v>主链路和外部仓库同步规则需优先对齐</x:v>
      </x:c>
    </x:row>
    <x:row r="8">
      <x:c r="A8" s="59"/>
      <x:c r="B8" s="59"/>
      <x:c r="C8" s="59"/>
      <x:c r="D8" s="59"/>
      <x:c r="E8" s="59"/>
      <x:c r="F8" s="59"/>
      <x:c r="G8" s="59"/>
      <x:c r="H8" s="59"/>
      <x:c r="I8" s="59"/>
      <x:c r="J8" s="59"/>
      <x:c r="K8" s="59"/>
      <x:c r="L8" s="59"/>
      <x:c r="M8" s="59"/>
      <x:c r="N8" s="59"/>
    </x:row>
    <x:row r="9">
      <x:c r="A9" s="25" t="str">
        <x:v>里程碑</x:v>
      </x:c>
      <x:c r="B9" s="26" t="str">
        <x:v>目标时间</x:v>
      </x:c>
      <x:c r="C9" s="26" t="str">
        <x:v>当前状态</x:v>
      </x:c>
      <x:c r="D9" s="26" t="str">
        <x:v>输出物</x:v>
      </x:c>
      <x:c r="E9" s="26" t="str">
        <x:v>客户需确认</x:v>
      </x:c>
      <x:c r="F9" s="26" t="str">
        <x:v>责任方</x:v>
      </x:c>
      <x:c r="G9" s="27" t="str">
        <x:v>备注</x:v>
      </x:c>
      <x:c r="H9" s="59"/>
      <x:c r="I9" s="25" t="str">
        <x:v>优先决策</x:v>
      </x:c>
      <x:c r="J9" s="26" t="str">
        <x:v>主题</x:v>
      </x:c>
      <x:c r="K9" s="26" t="str">
        <x:v>影响范围</x:v>
      </x:c>
      <x:c r="L9" s="26" t="str">
        <x:v>状态</x:v>
      </x:c>
      <x:c r="M9" s="26" t="str">
        <x:v>客户结论</x:v>
      </x:c>
      <x:c r="N9" s="27" t="str">
        <x:v>本轮建议</x:v>
      </x:c>
    </x:row>
    <x:row r="10" ht="44" customHeight="1">
      <x:c r="A10" s="40" t="str">
        <x:v>M1 范围确认</x:v>
      </x:c>
      <x:c r="B10" s="40" t="str">
        <x:v>待定</x:v>
      </x:c>
      <x:c r="C10" s="42" t="str">
        <x:v>评审中</x:v>
      </x:c>
      <x:c r="D10" s="40" t="str">
        <x:v>模块范围 + 需求对齐主表</x:v>
      </x:c>
      <x:c r="E10" s="40" t="str">
        <x:v>一期纳入/不纳入模块</x:v>
      </x:c>
      <x:c r="F10" s="40" t="str">
        <x:v>双方</x:v>
      </x:c>
      <x:c r="G10" s="40" t="str">
        <x:v>不把当前原型直接等同于最终需求</x:v>
      </x:c>
      <x:c r="H10" s="59"/>
      <x:c r="I10" s="40" t="str">
        <x:v>C01</x:v>
      </x:c>
      <x:c r="J10" s="40" t="str">
        <x:v>一期范围是否包含报价、标书、备货、会计</x:v>
      </x:c>
      <x:c r="K10" s="40" t="str">
        <x:v>范围/预算/排期</x:v>
      </x:c>
      <x:c r="L10" s="42" t="str">
        <x:v>待确认</x:v>
      </x:c>
      <x:c r="M10" s="40" t="str"/>
      <x:c r="N10" s="40" t="str">
        <x:v>先确认范围</x:v>
      </x:c>
    </x:row>
    <x:row r="11" ht="44" customHeight="1">
      <x:c r="A11" s="41" t="str">
        <x:v>M2 主流程确认</x:v>
      </x:c>
      <x:c r="B11" s="41" t="str">
        <x:v>待定</x:v>
      </x:c>
      <x:c r="C11" s="43" t="str">
        <x:v>待确认</x:v>
      </x:c>
      <x:c r="D11" s="41" t="str">
        <x:v>流程逐条确认</x:v>
      </x:c>
      <x:c r="E11" s="41" t="str">
        <x:v>报价→修订→中单→仓库通备货→派工→完工链路</x:v>
      </x:c>
      <x:c r="F11" s="41" t="str">
        <x:v>双方</x:v>
      </x:c>
      <x:c r="G11" s="41" t="str">
        <x:v>仓库通是外部系统，需确认同步边界</x:v>
      </x:c>
      <x:c r="H11" s="59"/>
      <x:c r="I11" s="41" t="str">
        <x:v>C02</x:v>
      </x:c>
      <x:c r="J11" s="41" t="str">
        <x:v>报价→修订→中单→仓库通→派工主链路是否成立</x:v>
      </x:c>
      <x:c r="K11" s="41" t="str">
        <x:v>报价/仓库/工单</x:v>
      </x:c>
      <x:c r="L11" s="43" t="str">
        <x:v>待确认</x:v>
      </x:c>
      <x:c r="M11" s="41" t="str"/>
      <x:c r="N11" s="41" t="str">
        <x:v>先确认主链路</x:v>
      </x:c>
    </x:row>
    <x:row r="12" ht="44" customHeight="1">
      <x:c r="A12" s="41" t="str">
        <x:v>M3 功能与表单确认</x:v>
      </x:c>
      <x:c r="B12" s="41" t="str">
        <x:v>待定</x:v>
      </x:c>
      <x:c r="C12" s="43" t="str">
        <x:v>待确认</x:v>
      </x:c>
      <x:c r="D12" s="41" t="str">
        <x:v>功能/表单/字段清单</x:v>
      </x:c>
      <x:c r="E12" s="41" t="str">
        <x:v>功能作用、表单用途、字段名称和必填规则</x:v>
      </x:c>
      <x:c r="F12" s="41" t="str">
        <x:v>业务负责人</x:v>
      </x:c>
      <x:c r="G12" s="41" t="str">
        <x:v>逐条回填客户意见</x:v>
      </x:c>
      <x:c r="H12" s="59"/>
      <x:c r="I12" s="41" t="str">
        <x:v>C03</x:v>
      </x:c>
      <x:c r="J12" s="41" t="str">
        <x:v>仓库通回传哪些备货状态和编号</x:v>
      </x:c>
      <x:c r="K12" s="41" t="str">
        <x:v>外部接口/状态</x:v>
      </x:c>
      <x:c r="L12" s="43" t="str">
        <x:v>待确认</x:v>
      </x:c>
      <x:c r="M12" s="41" t="str"/>
      <x:c r="N12" s="41" t="str">
        <x:v>明确字段和触发</x:v>
      </x:c>
    </x:row>
    <x:row r="13" ht="44" customHeight="1">
      <x:c r="A13" s="41" t="str">
        <x:v>M4 原型对齐</x:v>
      </x:c>
      <x:c r="B13" s="41" t="str">
        <x:v>待定</x:v>
      </x:c>
      <x:c r="C13" s="43" t="str">
        <x:v>待确认</x:v>
      </x:c>
      <x:c r="D13" s="41" t="str">
        <x:v>原型页面对齐</x:v>
      </x:c>
      <x:c r="E13" s="41" t="str">
        <x:v>页面是否覆盖已确认需求、差异怎么改</x:v>
      </x:c>
      <x:c r="F13" s="41" t="str">
        <x:v>产品/客户</x:v>
      </x:c>
      <x:c r="G13" s="41" t="str">
        <x:v>当前原型仅作讨论底稿</x:v>
      </x:c>
      <x:c r="H13" s="59"/>
      <x:c r="I13" s="41" t="str">
        <x:v>C04</x:v>
      </x:c>
      <x:c r="J13" s="41" t="str">
        <x:v>备货完成后由谁派工、生成什么任务</x:v>
      </x:c>
      <x:c r="K13" s="41" t="str">
        <x:v>调度/权限</x:v>
      </x:c>
      <x:c r="L13" s="43" t="str">
        <x:v>待确认</x:v>
      </x:c>
      <x:c r="M13" s="41" t="str"/>
      <x:c r="N13" s="41" t="str">
        <x:v>明确责任角色</x:v>
      </x:c>
    </x:row>
    <x:row r="14" ht="44" customHeight="1">
      <x:c r="A14" s="41" t="str">
        <x:v>M5 验收准备</x:v>
      </x:c>
      <x:c r="B14" s="41" t="str">
        <x:v>待定</x:v>
      </x:c>
      <x:c r="C14" s="43" t="str">
        <x:v>未开始</x:v>
      </x:c>
      <x:c r="D14" s="41" t="str">
        <x:v>验收案例与变更记录</x:v>
      </x:c>
      <x:c r="E14" s="41" t="str">
        <x:v>验收口径、真实样例和上线边界</x:v>
      </x:c>
      <x:c r="F14" s="41" t="str">
        <x:v>项目组</x:v>
      </x:c>
      <x:c r="G14" s="41" t="str">
        <x:v>需求批准后再进入验收准备</x:v>
      </x:c>
      <x:c r="H14" s="59"/>
      <x:c r="I14" s="41" t="str">
        <x:v>C05</x:v>
      </x:c>
      <x:c r="J14" s="41" t="str">
        <x:v>完工单提交后是否需主管审核</x:v>
      </x:c>
      <x:c r="K14" s="41" t="str">
        <x:v>现场/报告/验收</x:v>
      </x:c>
      <x:c r="L14" s="43" t="str">
        <x:v>待确认</x:v>
      </x:c>
      <x:c r="M14" s="41" t="str"/>
      <x:c r="N14" s="41" t="str">
        <x:v>明确完工状态</x:v>
      </x:c>
    </x:row>
    <x:row r="15">
      <x:c r="A15" s="59"/>
      <x:c r="B15" s="59"/>
      <x:c r="C15" s="59"/>
      <x:c r="D15" s="59"/>
      <x:c r="E15" s="59"/>
      <x:c r="F15" s="59"/>
      <x:c r="G15" s="59"/>
      <x:c r="H15" s="59"/>
      <x:c r="I15" s="59"/>
      <x:c r="J15" s="59"/>
      <x:c r="K15" s="59"/>
      <x:c r="L15" s="59"/>
      <x:c r="M15" s="59"/>
      <x:c r="N15" s="59"/>
    </x:row>
    <x:row r="16">
      <x:c r="A16" s="59"/>
      <x:c r="B16" s="59"/>
      <x:c r="C16" s="59"/>
      <x:c r="D16" s="59"/>
      <x:c r="E16" s="59"/>
      <x:c r="F16" s="59"/>
      <x:c r="G16" s="59"/>
      <x:c r="H16" s="59"/>
      <x:c r="I16" s="59"/>
      <x:c r="J16" s="59"/>
      <x:c r="K16" s="59"/>
      <x:c r="L16" s="59"/>
      <x:c r="M16" s="59"/>
      <x:c r="N16" s="59"/>
    </x:row>
    <x:row r="17" ht="32" customHeight="1">
      <x:c r="A17" s="49" t="str">
        <x:v>本轮客户评审建议：先看“需求对齐主表”，按 A-001 起逐条确认；遇到流程争议，跳转到“流程逐条确认”；遇到字段争议，跳转到“字段逐项确认”；所有未决事项进入“待确认决策”。</x:v>
      </x:c>
      <x:c r="B17" s="50"/>
      <x:c r="C17" s="50"/>
      <x:c r="D17" s="50"/>
      <x:c r="E17" s="50"/>
      <x:c r="F17" s="50"/>
      <x:c r="G17" s="50"/>
      <x:c r="H17" s="50"/>
      <x:c r="I17" s="50"/>
      <x:c r="J17" s="50"/>
      <x:c r="K17" s="50"/>
      <x:c r="L17" s="50"/>
      <x:c r="M17" s="50"/>
      <x:c r="N17" s="51"/>
    </x:row>
  </x:sheetData>
  <x:mergeCells>
    <x:mergeCell ref="A1:N1"/>
    <x:mergeCell ref="A2:N2"/>
    <x:mergeCell ref="A17:N17"/>
  </x:mergeCells>
  <x:conditionalFormatting sqref="C10:C14">
    <x:cfRule type="containsText" dxfId="0" priority="1" operator="containsText" text="已确认"/>
    <x:cfRule type="containsText" dxfId="1" priority="2" operator="containsText" text="已批准"/>
    <x:cfRule type="containsText" dxfId="2" priority="3" operator="containsText" text="评审中"/>
    <x:cfRule type="containsText" dxfId="3" priority="4" operator="containsText" text="有条件确认"/>
    <x:cfRule type="containsText" dxfId="4" priority="5" operator="containsText" text="待确认"/>
    <x:cfRule type="containsText" dxfId="5" priority="6" operator="containsText" text="需调整"/>
    <x:cfRule type="containsText" dxfId="6" priority="7" operator="containsText" text="不纳入"/>
  </x:conditionalFormatting>
  <x:conditionalFormatting sqref="L10:L14">
    <x:cfRule type="containsText" dxfId="7" priority="8" operator="containsText" text="已确认"/>
    <x:cfRule type="containsText" dxfId="8" priority="9" operator="containsText" text="已批准"/>
    <x:cfRule type="containsText" dxfId="9" priority="10" operator="containsText" text="评审中"/>
    <x:cfRule type="containsText" dxfId="10" priority="11" operator="containsText" text="有条件确认"/>
    <x:cfRule type="containsText" dxfId="11" priority="12" operator="containsText" text="待确认"/>
    <x:cfRule type="containsText" dxfId="12" priority="13" operator="containsText" text="需调整"/>
    <x:cfRule type="containsText" dxfId="13" priority="14" operator="containsText" text="不纳入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12" hidden="0" customWidth="1"/>
    <x:col min="2" max="2" width="24" hidden="0" customWidth="1"/>
    <x:col min="3" max="3" width="22" hidden="0" customWidth="1"/>
    <x:col min="4" max="4" width="11" hidden="0" customWidth="1"/>
    <x:col min="5" max="5" width="34" hidden="0" customWidth="1"/>
    <x:col min="6" max="6" width="48" hidden="0" customWidth="1"/>
    <x:col min="7" max="7" width="24" hidden="0" customWidth="1"/>
    <x:col min="8" max="8" width="30" hidden="0" customWidth="1"/>
    <x:col min="9" max="9" width="30" hidden="0" customWidth="1"/>
    <x:col min="10" max="10" width="38" hidden="0" customWidth="1"/>
    <x:col min="11" max="11" width="16" hidden="0" customWidth="1"/>
    <x:col min="12" max="12" width="18" hidden="0" customWidth="1"/>
    <x:col min="13" max="13" width="15" hidden="0" customWidth="1"/>
    <x:col min="14" max="14" width="22" hidden="0" customWidth="1"/>
    <x:col min="15" max="15" width="16" hidden="0" customWidth="1"/>
    <x:col min="16" max="16" width="38" hidden="0" customWidth="1"/>
    <x:col min="17" max="17" width="48" hidden="0" customWidth="1"/>
  </x:cols>
  <x:sheetData>
    <x:row r="1" ht="28" customHeight="1">
      <x:c r="A1" s="2" t="str">
        <x:v>需求对齐主表｜客户逐条评审入口</x:v>
      </x:c>
      <x:c r="B1" s="59"/>
      <x:c r="C1" s="59"/>
      <x:c r="D1" s="59"/>
      <x:c r="E1" s="59"/>
      <x:c r="F1" s="59"/>
      <x:c r="G1" s="59"/>
      <x:c r="H1" s="59"/>
      <x:c r="I1" s="59"/>
      <x:c r="J1" s="59"/>
      <x:c r="K1" s="59"/>
      <x:c r="L1" s="59"/>
      <x:c r="M1" s="59"/>
      <x:c r="N1" s="59"/>
      <x:c r="O1" s="59"/>
      <x:c r="P1" s="59"/>
      <x:c r="Q1" s="59"/>
    </x:row>
    <x:row r="2" ht="24" customHeight="1">
      <x:c r="A2" s="5" t="str">
        <x:v>每一行是一条可追踪需求：从模块、流程、功能到表单字段和原型页面，客户只需要先填写黄色列；状态全部保持“待确认”直到双方明确结论。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</x:row>
    <x:row r="3">
      <x:c r="A3" s="59"/>
      <x:c r="B3" s="59"/>
      <x:c r="C3" s="59"/>
      <x:c r="D3" s="59"/>
      <x:c r="E3" s="59"/>
      <x:c r="F3" s="59"/>
      <x:c r="G3" s="59"/>
      <x:c r="H3" s="59"/>
      <x:c r="I3" s="59"/>
      <x:c r="J3" s="59"/>
      <x:c r="K3" s="59"/>
      <x:c r="L3" s="59"/>
      <x:c r="M3" s="59"/>
      <x:c r="N3" s="59"/>
      <x:c r="O3" s="59"/>
      <x:c r="P3" s="59"/>
      <x:c r="Q3" s="59"/>
    </x:row>
    <x:row r="4" ht="30" customHeight="1">
      <x:c r="A4" s="49" t="str">
        <x:v>填写规则：客户确认只能选“待确认 / 已确认 / 有条件确认 / 需调整 / 不纳入”；若选择“需调整”，请在客户意见列写清修改内容，项目组再同步流程、字段和原型。</x:v>
      </x:c>
      <x:c r="B4" s="50"/>
      <x:c r="C4" s="50"/>
      <x:c r="D4" s="50"/>
      <x:c r="E4" s="50"/>
      <x:c r="F4" s="50"/>
      <x:c r="G4" s="50"/>
      <x:c r="H4" s="50"/>
      <x:c r="I4" s="50"/>
      <x:c r="J4" s="50"/>
      <x:c r="K4" s="50"/>
      <x:c r="L4" s="50"/>
      <x:c r="M4" s="50"/>
      <x:c r="N4" s="50"/>
      <x:c r="O4" s="50"/>
      <x:c r="P4" s="50"/>
      <x:c r="Q4" s="51"/>
    </x:row>
    <x:row r="5">
      <x:c r="A5" s="59"/>
      <x:c r="B5" s="59"/>
      <x:c r="C5" s="59"/>
      <x:c r="D5" s="59"/>
      <x:c r="E5" s="59"/>
      <x:c r="F5" s="59"/>
      <x:c r="G5" s="59"/>
      <x:c r="H5" s="59"/>
      <x:c r="I5" s="59"/>
      <x:c r="J5" s="59"/>
      <x:c r="K5" s="59"/>
      <x:c r="L5" s="59"/>
      <x:c r="M5" s="59"/>
      <x:c r="N5" s="59"/>
      <x:c r="O5" s="59"/>
      <x:c r="P5" s="59"/>
      <x:c r="Q5" s="59"/>
    </x:row>
    <x:row r="6">
      <x:c r="A6" s="25" t="str">
        <x:v>对齐编号</x:v>
      </x:c>
      <x:c r="B6" s="26" t="str">
        <x:v>模块</x:v>
      </x:c>
      <x:c r="C6" s="26" t="str">
        <x:v>关联流程</x:v>
      </x:c>
      <x:c r="D6" s="26" t="str">
        <x:v>功能编号</x:v>
      </x:c>
      <x:c r="E6" s="26" t="str">
        <x:v>功能/需求</x:v>
      </x:c>
      <x:c r="F6" s="26" t="str">
        <x:v>业务目的</x:v>
      </x:c>
      <x:c r="G6" s="26" t="str">
        <x:v>主要角色</x:v>
      </x:c>
      <x:c r="H6" s="26" t="str">
        <x:v>触发/入口</x:v>
      </x:c>
      <x:c r="I6" s="26" t="str">
        <x:v>表单/页面</x:v>
      </x:c>
      <x:c r="J6" s="26" t="str">
        <x:v>关键字段/资料</x:v>
      </x:c>
      <x:c r="K6" s="26" t="str">
        <x:v>前置状态</x:v>
      </x:c>
      <x:c r="L6" s="26" t="str">
        <x:v>后置结果</x:v>
      </x:c>
      <x:c r="M6" s="26" t="str">
        <x:v>当前原型</x:v>
      </x:c>
      <x:c r="N6" s="26" t="str">
        <x:v>原型页面</x:v>
      </x:c>
      <x:c r="O6" s="26" t="str">
        <x:v>客户确认</x:v>
      </x:c>
      <x:c r="P6" s="26" t="str">
        <x:v>客户意见</x:v>
      </x:c>
      <x:c r="Q6" s="27" t="str">
        <x:v>验收口径</x:v>
      </x:c>
    </x:row>
    <x:row r="7" ht="68" customHeight="1">
      <x:c r="A7" s="40" t="str">
        <x:v>A-001</x:v>
      </x:c>
      <x:c r="B7" s="40" t="str">
        <x:v>首页与通知</x:v>
      </x:c>
      <x:c r="C7" s="40" t="str">
        <x:v>P01/P02/P03/P04/P08/P11</x:v>
      </x:c>
      <x:c r="D7" s="40" t="str">
        <x:v>F001</x:v>
      </x:c>
      <x:c r="E7" s="40" t="str">
        <x:v>查看 7 个工单状态的数量和分布</x:v>
      </x:c>
      <x:c r="F7" s="40" t="str">
        <x:v>面向全部角色，支持查看 7 个工单状态的数量和分布；正式交付需结合真实数据、权限和验收规则确认。</x:v>
      </x:c>
      <x:c r="G7" s="40" t="str">
        <x:v>全部角色</x:v>
      </x:c>
      <x:c r="H7" s="40" t="str">
        <x:v>进入首页看板后执行</x:v>
      </x:c>
      <x:c r="I7" s="40" t="str">
        <x:v>首页看板</x:v>
      </x:c>
      <x:c r="J7" s="40" t="str">
        <x:v>状态数量、CALL编号、客户/摘要、异常类型、时间/操作人/内容</x:v>
      </x:c>
      <x:c r="K7" s="40" t="str">
        <x:v>待确认</x:v>
      </x:c>
      <x:c r="L7" s="40" t="str">
        <x:v>待确认</x:v>
      </x:c>
      <x:c r="M7" s="40" t="str">
        <x:v>可演示</x:v>
      </x:c>
      <x:c r="N7" s="40" t="str">
        <x:v>首页看板</x:v>
      </x:c>
      <x:c r="O7" s="42" t="str">
        <x:v>待确认</x:v>
      </x:c>
      <x:c r="P7" s="42" t="str"/>
      <x:c r="Q7" s="40" t="str">
        <x:v>相关角色可按确认后的规则完成“查看 7 个工单状态的数量和分布”，结果、状态和操作记录可查询。</x:v>
      </x:c>
    </x:row>
    <x:row r="8" ht="68" customHeight="1">
      <x:c r="A8" s="41" t="str">
        <x:v>A-002</x:v>
      </x:c>
      <x:c r="B8" s="41" t="str">
        <x:v>首页与通知</x:v>
      </x:c>
      <x:c r="C8" s="41" t="str">
        <x:v>P01/P02/P03/P04/P08/P11</x:v>
      </x:c>
      <x:c r="D8" s="41" t="str">
        <x:v>F002</x:v>
      </x:c>
      <x:c r="E8" s="41" t="str">
        <x:v>查看本人、团队或管理范围内的今日待办</x:v>
      </x:c>
      <x:c r="F8" s="41" t="str">
        <x:v>面向CS、CR、TL、ADMIN、BOSS，支持查看本人、团队或管理范围内的今日待办；正式交付需结合真实数据、权限和验收规则确认。</x:v>
      </x:c>
      <x:c r="G8" s="41" t="str">
        <x:v>CS、CR、TL、ADMIN、BOSS</x:v>
      </x:c>
      <x:c r="H8" s="41" t="str">
        <x:v>进入首页看板后执行</x:v>
      </x:c>
      <x:c r="I8" s="41" t="str">
        <x:v>首页看板</x:v>
      </x:c>
      <x:c r="J8" s="41" t="str">
        <x:v>状态数量、CALL编号、客户/摘要、异常类型、时间/操作人/内容</x:v>
      </x:c>
      <x:c r="K8" s="41" t="str">
        <x:v>待确认</x:v>
      </x:c>
      <x:c r="L8" s="41" t="str">
        <x:v>待确认</x:v>
      </x:c>
      <x:c r="M8" s="41" t="str">
        <x:v>可演示</x:v>
      </x:c>
      <x:c r="N8" s="41" t="str">
        <x:v>首页看板</x:v>
      </x:c>
      <x:c r="O8" s="43" t="str">
        <x:v>待确认</x:v>
      </x:c>
      <x:c r="P8" s="43" t="str"/>
      <x:c r="Q8" s="41" t="str">
        <x:v>相关角色可按确认后的规则完成“查看本人、团队或管理范围内的今日待办”，结果、状态和操作记录可查询。</x:v>
      </x:c>
    </x:row>
    <x:row r="9" ht="68" customHeight="1">
      <x:c r="A9" s="41" t="str">
        <x:v>A-003</x:v>
      </x:c>
      <x:c r="B9" s="41" t="str">
        <x:v>首页与通知</x:v>
      </x:c>
      <x:c r="C9" s="41" t="str">
        <x:v>P01/P02/P03/P04/P08/P11</x:v>
      </x:c>
      <x:c r="D9" s="41" t="str">
        <x:v>F003</x:v>
      </x:c>
      <x:c r="E9" s="41" t="str">
        <x:v>查看异常 CALL、紧急事项、拒单和需关注事项</x:v>
      </x:c>
      <x:c r="F9" s="41" t="str">
        <x:v>面向CS、CR、TL、BOSS，支持查看异常 CALL、紧急事项、拒单和需关注事项；正式交付需结合真实数据、权限和验收规则确认。</x:v>
      </x:c>
      <x:c r="G9" s="41" t="str">
        <x:v>CS、CR、TL、BOSS</x:v>
      </x:c>
      <x:c r="H9" s="41" t="str">
        <x:v>进入首页看板后执行</x:v>
      </x:c>
      <x:c r="I9" s="41" t="str">
        <x:v>首页看板</x:v>
      </x:c>
      <x:c r="J9" s="41" t="str">
        <x:v>状态数量、CALL编号、客户/摘要、异常类型、时间/操作人/内容</x:v>
      </x:c>
      <x:c r="K9" s="41" t="str">
        <x:v>待确认</x:v>
      </x:c>
      <x:c r="L9" s="41" t="str">
        <x:v>待确认</x:v>
      </x:c>
      <x:c r="M9" s="41" t="str">
        <x:v>可演示</x:v>
      </x:c>
      <x:c r="N9" s="41" t="str">
        <x:v>首页看板</x:v>
      </x:c>
      <x:c r="O9" s="43" t="str">
        <x:v>待确认</x:v>
      </x:c>
      <x:c r="P9" s="43" t="str"/>
      <x:c r="Q9" s="41" t="str">
        <x:v>相关角色可按确认后的规则完成“查看异常 CALL、紧急事项、拒单和需关注事项”，结果、状态和操作记录可查询。</x:v>
      </x:c>
    </x:row>
    <x:row r="10" ht="68" customHeight="1">
      <x:c r="A10" s="41" t="str">
        <x:v>A-004</x:v>
      </x:c>
      <x:c r="B10" s="41" t="str">
        <x:v>首页与通知</x:v>
      </x:c>
      <x:c r="C10" s="41" t="str">
        <x:v>P01/P02/P03/P04/P08/P11</x:v>
      </x:c>
      <x:c r="D10" s="41" t="str">
        <x:v>F004</x:v>
      </x:c>
      <x:c r="E10" s="41" t="str">
        <x:v>查看最近业务动态、状态时间线和最近来电</x:v>
      </x:c>
      <x:c r="F10" s="41" t="str">
        <x:v>面向全部角色，支持查看最近业务动态、状态时间线和最近来电；正式交付需结合真实数据、权限和验收规则确认。</x:v>
      </x:c>
      <x:c r="G10" s="41" t="str">
        <x:v>全部角色</x:v>
      </x:c>
      <x:c r="H10" s="41" t="str">
        <x:v>进入首页看板后执行</x:v>
      </x:c>
      <x:c r="I10" s="41" t="str">
        <x:v>首页看板</x:v>
      </x:c>
      <x:c r="J10" s="41" t="str">
        <x:v>状态数量、CALL编号、客户/摘要、异常类型、时间/操作人/内容</x:v>
      </x:c>
      <x:c r="K10" s="41" t="str">
        <x:v>待确认</x:v>
      </x:c>
      <x:c r="L10" s="41" t="str">
        <x:v>待确认</x:v>
      </x:c>
      <x:c r="M10" s="41" t="str">
        <x:v>可演示</x:v>
      </x:c>
      <x:c r="N10" s="41" t="str">
        <x:v>首页看板</x:v>
      </x:c>
      <x:c r="O10" s="43" t="str">
        <x:v>待确认</x:v>
      </x:c>
      <x:c r="P10" s="43" t="str"/>
      <x:c r="Q10" s="41" t="str">
        <x:v>相关角色可按确认后的规则完成“查看最近业务动态、状态时间线和最近来电”，结果、状态和操作记录可查询。</x:v>
      </x:c>
    </x:row>
    <x:row r="11" ht="68" customHeight="1">
      <x:c r="A11" s="41" t="str">
        <x:v>A-005</x:v>
      </x:c>
      <x:c r="B11" s="41" t="str">
        <x:v>首页与通知</x:v>
      </x:c>
      <x:c r="C11" s="41" t="str">
        <x:v>P01/P02/P03/P04/P08/P11</x:v>
      </x:c>
      <x:c r="D11" s="41" t="str">
        <x:v>F005</x:v>
      </x:c>
      <x:c r="E11" s="41" t="str">
        <x:v>接收派单、拒单、完成、报价等业务通知</x:v>
      </x:c>
      <x:c r="F11" s="41" t="str">
        <x:v>面向相关角色，支持接收派单、拒单、完成、报价等业务通知；正式交付需结合真实数据、权限和验收规则确认。</x:v>
      </x:c>
      <x:c r="G11" s="41" t="str">
        <x:v>相关角色</x:v>
      </x:c>
      <x:c r="H11" s="41" t="str">
        <x:v>进入通知中心后执行</x:v>
      </x:c>
      <x:c r="I11" s="41" t="str">
        <x:v>通知中心</x:v>
      </x:c>
      <x:c r="J11" s="41" t="str">
        <x:v>通知类型、接收角色/人员、关联编号、发送时间、已读状态</x:v>
      </x:c>
      <x:c r="K11" s="41" t="str">
        <x:v>待确认</x:v>
      </x:c>
      <x:c r="L11" s="41" t="str">
        <x:v>待确认</x:v>
      </x:c>
      <x:c r="M11" s="41" t="str">
        <x:v>流程演示</x:v>
      </x:c>
      <x:c r="N11" s="41" t="str">
        <x:v>通知中心</x:v>
      </x:c>
      <x:c r="O11" s="43" t="str">
        <x:v>待确认</x:v>
      </x:c>
      <x:c r="P11" s="43" t="str"/>
      <x:c r="Q11" s="41" t="str">
        <x:v>相关角色可按确认后的规则完成“接收派单、拒单、完成、报价等业务通知”，结果、状态和操作记录可查询。</x:v>
      </x:c>
    </x:row>
    <x:row r="12" ht="68" customHeight="1">
      <x:c r="A12" s="41" t="str">
        <x:v>A-006</x:v>
      </x:c>
      <x:c r="B12" s="41" t="str">
        <x:v>CALL受理与工单管理</x:v>
      </x:c>
      <x:c r="C12" s="41" t="str">
        <x:v>P01</x:v>
      </x:c>
      <x:c r="D12" s="41" t="str">
        <x:v>F006</x:v>
      </x:c>
      <x:c r="E12" s="41" t="str">
        <x:v>记录来电并判断“仅答疑”或“创建工单”</x:v>
      </x:c>
      <x:c r="F12" s="41" t="str">
        <x:v>面向CS，支持记录来电并判断“仅答疑”或“创建工单”；正式交付需结合真实数据、权限和验收规则确认。</x:v>
      </x:c>
      <x:c r="G12" s="41" t="str">
        <x:v>CS</x:v>
      </x:c>
      <x:c r="H12" s="41" t="str">
        <x:v>进入CALL受理记录后执行</x:v>
      </x:c>
      <x:c r="I12" s="41" t="str">
        <x:v>CALL受理记录</x:v>
      </x:c>
      <x:c r="J12" s="41" t="str">
        <x:v>客户、联系人/电话、来源渠道、内容摘要、受理判断</x:v>
      </x:c>
      <x:c r="K12" s="41" t="str">
        <x:v>待确认</x:v>
      </x:c>
      <x:c r="L12" s="41" t="str">
        <x:v>待确认</x:v>
      </x:c>
      <x:c r="M12" s="41" t="str">
        <x:v>可演示</x:v>
      </x:c>
      <x:c r="N12" s="41" t="str">
        <x:v>CALL受理记录</x:v>
      </x:c>
      <x:c r="O12" s="43" t="str">
        <x:v>待确认</x:v>
      </x:c>
      <x:c r="P12" s="43" t="str"/>
      <x:c r="Q12" s="41" t="str">
        <x:v>相关角色可按确认后的规则完成“记录来电并判断“仅答疑”或“创建工单””，结果、状态和操作记录可查询。</x:v>
      </x:c>
    </x:row>
    <x:row r="13" ht="68" customHeight="1">
      <x:c r="A13" s="41" t="str">
        <x:v>A-007</x:v>
      </x:c>
      <x:c r="B13" s="41" t="str">
        <x:v>CALL受理与工单管理</x:v>
      </x:c>
      <x:c r="C13" s="41" t="str">
        <x:v>P01</x:v>
      </x:c>
      <x:c r="D13" s="41" t="str">
        <x:v>F007</x:v>
      </x:c>
      <x:c r="E13" s="41" t="str">
        <x:v>新建工单、保存草稿、提交和取消</x:v>
      </x:c>
      <x:c r="F13" s="41" t="str">
        <x:v>面向CS、CR、ADMIN，支持新建工单、保存草稿、提交和取消；正式交付需结合真实数据、权限和验收规则确认。</x:v>
      </x:c>
      <x:c r="G13" s="41" t="str">
        <x:v>CS、CR、ADMIN</x:v>
      </x:c>
      <x:c r="H13" s="41" t="str">
        <x:v>进入新建/编辑CALL后执行</x:v>
      </x:c>
      <x:c r="I13" s="41" t="str">
        <x:v>新建/编辑CALL</x:v>
      </x:c>
      <x:c r="J13" s="41" t="str">
        <x:v>CALL编号、任务编号、客户/联系人、联系电话、CALL代码</x:v>
      </x:c>
      <x:c r="K13" s="41" t="str">
        <x:v>待确认</x:v>
      </x:c>
      <x:c r="L13" s="41" t="str">
        <x:v>待确认</x:v>
      </x:c>
      <x:c r="M13" s="41" t="str">
        <x:v>可演示</x:v>
      </x:c>
      <x:c r="N13" s="41" t="str">
        <x:v>新建/编辑CALL</x:v>
      </x:c>
      <x:c r="O13" s="43" t="str">
        <x:v>待确认</x:v>
      </x:c>
      <x:c r="P13" s="43" t="str"/>
      <x:c r="Q13" s="41" t="str">
        <x:v>相关角色可按确认后的规则完成“新建工单、保存草稿、提交和取消”，结果、状态和操作记录可查询。</x:v>
      </x:c>
    </x:row>
    <x:row r="14" ht="68" customHeight="1">
      <x:c r="A14" s="41" t="str">
        <x:v>A-008</x:v>
      </x:c>
      <x:c r="B14" s="41" t="str">
        <x:v>CALL受理与工单管理</x:v>
      </x:c>
      <x:c r="C14" s="41" t="str">
        <x:v>P01</x:v>
      </x:c>
      <x:c r="D14" s="41" t="str">
        <x:v>F008</x:v>
      </x:c>
      <x:c r="E14" s="41" t="str">
        <x:v>选择客户、联系人并带入客户资料</x:v>
      </x:c>
      <x:c r="F14" s="41" t="str">
        <x:v>面向CS、CR，支持选择客户、联系人并带入客户资料；正式交付需结合真实数据、权限和验收规则确认。</x:v>
      </x:c>
      <x:c r="G14" s="41" t="str">
        <x:v>CS、CR</x:v>
      </x:c>
      <x:c r="H14" s="41" t="str">
        <x:v>进入新建/编辑CALL后执行</x:v>
      </x:c>
      <x:c r="I14" s="41" t="str">
        <x:v>新建/编辑CALL</x:v>
      </x:c>
      <x:c r="J14" s="41" t="str">
        <x:v>CALL编号、任务编号、客户/联系人、联系电话、CALL代码</x:v>
      </x:c>
      <x:c r="K14" s="41" t="str">
        <x:v>待确认</x:v>
      </x:c>
      <x:c r="L14" s="41" t="str">
        <x:v>待确认</x:v>
      </x:c>
      <x:c r="M14" s="41" t="str">
        <x:v>可演示</x:v>
      </x:c>
      <x:c r="N14" s="41" t="str">
        <x:v>新建/编辑CALL</x:v>
      </x:c>
      <x:c r="O14" s="43" t="str">
        <x:v>待确认</x:v>
      </x:c>
      <x:c r="P14" s="43" t="str"/>
      <x:c r="Q14" s="41" t="str">
        <x:v>相关角色可按确认后的规则完成“选择客户、联系人并带入客户资料”，结果、状态和操作记录可查询。</x:v>
      </x:c>
    </x:row>
    <x:row r="15" ht="68" customHeight="1">
      <x:c r="A15" s="41" t="str">
        <x:v>A-009</x:v>
      </x:c>
      <x:c r="B15" s="41" t="str">
        <x:v>CALL受理与工单管理</x:v>
      </x:c>
      <x:c r="C15" s="41" t="str">
        <x:v>P01</x:v>
      </x:c>
      <x:c r="D15" s="41" t="str">
        <x:v>F009</x:v>
      </x:c>
      <x:c r="E15" s="41" t="str">
        <x:v>填写 CALL 代码、类型、区域、标准地点、问题描述和附件</x:v>
      </x:c>
      <x:c r="F15" s="41" t="str">
        <x:v>面向CS、CR、TL，支持填写 CALL 代码、类型、区域、标准地点、问题描述和附件；正式交付需结合真实数据、权限和验收规则确认。</x:v>
      </x:c>
      <x:c r="G15" s="41" t="str">
        <x:v>CS、CR、TL</x:v>
      </x:c>
      <x:c r="H15" s="41" t="str">
        <x:v>进入新建/编辑CALL后执行</x:v>
      </x:c>
      <x:c r="I15" s="41" t="str">
        <x:v>新建/编辑CALL</x:v>
      </x:c>
      <x:c r="J15" s="41" t="str">
        <x:v>CALL编号、任务编号、客户/联系人、联系电话、CALL代码</x:v>
      </x:c>
      <x:c r="K15" s="41" t="str">
        <x:v>待确认</x:v>
      </x:c>
      <x:c r="L15" s="41" t="str">
        <x:v>待确认</x:v>
      </x:c>
      <x:c r="M15" s="41" t="str">
        <x:v>可演示</x:v>
      </x:c>
      <x:c r="N15" s="41" t="str">
        <x:v>新建/编辑CALL</x:v>
      </x:c>
      <x:c r="O15" s="43" t="str">
        <x:v>待确认</x:v>
      </x:c>
      <x:c r="P15" s="43" t="str"/>
      <x:c r="Q15" s="41" t="str">
        <x:v>相关角色可按确认后的规则完成“填写 CALL 代码、类型、区域、标准地点、问题描述和附件”，结果、状态和操作记录可查询。</x:v>
      </x:c>
    </x:row>
    <x:row r="16" ht="68" customHeight="1">
      <x:c r="A16" s="41" t="str">
        <x:v>A-010</x:v>
      </x:c>
      <x:c r="B16" s="41" t="str">
        <x:v>CALL受理与工单管理</x:v>
      </x:c>
      <x:c r="C16" s="41" t="str">
        <x:v>P01</x:v>
      </x:c>
      <x:c r="D16" s="41" t="str">
        <x:v>F010</x:v>
      </x:c>
      <x:c r="E16" s="41" t="str">
        <x:v>按状态、类型、区域、负责人、师傅、客户和关键词筛选</x:v>
      </x:c>
      <x:c r="F16" s="41" t="str">
        <x:v>面向CS、CR、TL、ADMIN，支持按状态、类型、区域、负责人、师傅、客户和关键词筛选；正式交付需结合真实数据、权限和验收规则确认。</x:v>
      </x:c>
      <x:c r="G16" s="41" t="str">
        <x:v>CS、CR、TL、ADMIN</x:v>
      </x:c>
      <x:c r="H16" s="41" t="str">
        <x:v>进入CALL列表与筛选后执行</x:v>
      </x:c>
      <x:c r="I16" s="41" t="str">
        <x:v>CALL列表与筛选</x:v>
      </x:c>
      <x:c r="J16" s="41" t="str">
        <x:v>关键词、状态、CALL类型、区域、负责人/师傅</x:v>
      </x:c>
      <x:c r="K16" s="41" t="str">
        <x:v>待确认</x:v>
      </x:c>
      <x:c r="L16" s="41" t="str">
        <x:v>待确认</x:v>
      </x:c>
      <x:c r="M16" s="41" t="str">
        <x:v>可演示</x:v>
      </x:c>
      <x:c r="N16" s="41" t="str">
        <x:v>CALL列表与筛选</x:v>
      </x:c>
      <x:c r="O16" s="43" t="str">
        <x:v>待确认</x:v>
      </x:c>
      <x:c r="P16" s="43" t="str"/>
      <x:c r="Q16" s="41" t="str">
        <x:v>相关角色可按确认后的规则完成“按状态、类型、区域、负责人、师傅、客户和关键词筛选”，结果、状态和操作记录可查询。</x:v>
      </x:c>
    </x:row>
    <x:row r="17" ht="68" customHeight="1">
      <x:c r="A17" s="41" t="str">
        <x:v>A-011</x:v>
      </x:c>
      <x:c r="B17" s="41" t="str">
        <x:v>CALL受理与工单管理</x:v>
      </x:c>
      <x:c r="C17" s="41" t="str">
        <x:v>P01</x:v>
      </x:c>
      <x:c r="D17" s="41" t="str">
        <x:v>F011</x:v>
      </x:c>
      <x:c r="E17" s="41" t="str">
        <x:v>查看 CALL 详情、处理记录、催单记录和状态时间线</x:v>
      </x:c>
      <x:c r="F17" s="41" t="str">
        <x:v>面向相关业务角色，支持查看 CALL 详情、处理记录、催单记录和状态时间线；正式交付需结合真实数据、权限和验收规则确认。</x:v>
      </x:c>
      <x:c r="G17" s="41" t="str">
        <x:v>相关业务角色</x:v>
      </x:c>
      <x:c r="H17" s="41" t="str">
        <x:v>进入CALL详情与操作后执行</x:v>
      </x:c>
      <x:c r="I17" s="41" t="str">
        <x:v>CALL详情与操作</x:v>
      </x:c>
      <x:c r="J17" s="41" t="str">
        <x:v>CALL/任务编号、状态/类型/区域、客户/联系人/电话、地址/标准地点、TL/师傅/负责人</x:v>
      </x:c>
      <x:c r="K17" s="41" t="str">
        <x:v>待确认</x:v>
      </x:c>
      <x:c r="L17" s="41" t="str">
        <x:v>待确认</x:v>
      </x:c>
      <x:c r="M17" s="41" t="str">
        <x:v>可演示</x:v>
      </x:c>
      <x:c r="N17" s="41" t="str">
        <x:v>CALL详情与操作</x:v>
      </x:c>
      <x:c r="O17" s="43" t="str">
        <x:v>待确认</x:v>
      </x:c>
      <x:c r="P17" s="43" t="str"/>
      <x:c r="Q17" s="41" t="str">
        <x:v>相关角色可按确认后的规则完成“查看 CALL 详情、处理记录、催单记录和状态时间线”，结果、状态和操作记录可查询。</x:v>
      </x:c>
    </x:row>
    <x:row r="18" ht="68" customHeight="1">
      <x:c r="A18" s="41" t="str">
        <x:v>A-012</x:v>
      </x:c>
      <x:c r="B18" s="41" t="str">
        <x:v>CALL受理与工单管理</x:v>
      </x:c>
      <x:c r="C18" s="41" t="str">
        <x:v>P01</x:v>
      </x:c>
      <x:c r="D18" s="41" t="str">
        <x:v>F012</x:v>
      </x:c>
      <x:c r="E18" s="41" t="str">
        <x:v>直接完成、取消、补充资料、催单、编辑和关联报价</x:v>
      </x:c>
      <x:c r="F18" s="41" t="str">
        <x:v>面向CS、CR、TL、ADMIN，支持直接完成、取消、补充资料、催单、编辑和关联报价；正式交付需结合真实数据、权限和验收规则确认。</x:v>
      </x:c>
      <x:c r="G18" s="41" t="str">
        <x:v>CS、CR、TL、ADMIN</x:v>
      </x:c>
      <x:c r="H18" s="41" t="str">
        <x:v>进入CALL详情与操作后执行</x:v>
      </x:c>
      <x:c r="I18" s="41" t="str">
        <x:v>CALL详情与操作</x:v>
      </x:c>
      <x:c r="J18" s="41" t="str">
        <x:v>CALL/任务编号、状态/类型/区域、客户/联系人/电话、地址/标准地点、TL/师傅/负责人</x:v>
      </x:c>
      <x:c r="K18" s="41" t="str">
        <x:v>待确认</x:v>
      </x:c>
      <x:c r="L18" s="41" t="str">
        <x:v>待确认</x:v>
      </x:c>
      <x:c r="M18" s="41" t="str">
        <x:v>可演示</x:v>
      </x:c>
      <x:c r="N18" s="41" t="str">
        <x:v>CALL详情与操作</x:v>
      </x:c>
      <x:c r="O18" s="43" t="str">
        <x:v>待确认</x:v>
      </x:c>
      <x:c r="P18" s="43" t="str"/>
      <x:c r="Q18" s="41" t="str">
        <x:v>相关角色可按确认后的规则完成“直接完成、取消、补充资料、催单、编辑和关联报价”，结果、状态和操作记录可查询。</x:v>
      </x:c>
    </x:row>
    <x:row r="19" ht="68" customHeight="1">
      <x:c r="A19" s="41" t="str">
        <x:v>A-013</x:v>
      </x:c>
      <x:c r="B19" s="41" t="str">
        <x:v>CALL受理与工单管理</x:v>
      </x:c>
      <x:c r="C19" s="41" t="str">
        <x:v>P01</x:v>
      </x:c>
      <x:c r="D19" s="41" t="str">
        <x:v>F013</x:v>
      </x:c>
      <x:c r="E19" s="41" t="str">
        <x:v>使用“任务编号”作为分派中心独立流水号，与 CALL 编号分离</x:v>
      </x:c>
      <x:c r="F19" s="41" t="str">
        <x:v>分派任务使用独立任务编号，不能覆盖CALL编号；两个编号均需支持关联查询。</x:v>
      </x:c>
      <x:c r="G19" s="41" t="str">
        <x:v>TL、CR、ADMIN</x:v>
      </x:c>
      <x:c r="H19" s="41" t="str">
        <x:v>进入分派中心/分派弹窗后执行</x:v>
      </x:c>
      <x:c r="I19" s="41" t="str">
        <x:v>分派中心/分派弹窗</x:v>
      </x:c>
      <x:c r="J19" s="41" t="str">
        <x:v>见“字段逐项确认”，按表单逐项确认</x:v>
      </x:c>
      <x:c r="K19" s="41" t="str">
        <x:v>待确认</x:v>
      </x:c>
      <x:c r="L19" s="41" t="str">
        <x:v>待确认</x:v>
      </x:c>
      <x:c r="M19" s="41" t="str">
        <x:v>可演示</x:v>
      </x:c>
      <x:c r="N19" s="41" t="str">
        <x:v>分派中心/分派弹窗</x:v>
      </x:c>
      <x:c r="O19" s="43" t="str">
        <x:v>待确认</x:v>
      </x:c>
      <x:c r="P19" s="43" t="str"/>
      <x:c r="Q19" s="41" t="str">
        <x:v>相关角色可按确认后的规则完成“使用“任务编号”作为分派中心独立流水号，与 CALL 编号分离”，结果、状态和操作记录可查询。</x:v>
      </x:c>
    </x:row>
    <x:row r="20" ht="68" customHeight="1">
      <x:c r="A20" s="41" t="str">
        <x:v>A-014</x:v>
      </x:c>
      <x:c r="B20" s="41" t="str">
        <x:v>分派与调度</x:v>
      </x:c>
      <x:c r="C20" s="41" t="str">
        <x:v>P02</x:v>
      </x:c>
      <x:c r="D20" s="41" t="str">
        <x:v>F014</x:v>
      </x:c>
      <x:c r="E20" s="41" t="str">
        <x:v>查看待分派、已分派、申请审批和可接单师傅指标</x:v>
      </x:c>
      <x:c r="F20" s="41" t="str">
        <x:v>面向TL、CR、ADMIN，支持查看待分派、已分派、申请审批和可接单师傅指标；正式交付需结合真实数据、权限和验收规则确认。</x:v>
      </x:c>
      <x:c r="G20" s="41" t="str">
        <x:v>TL、CR、ADMIN</x:v>
      </x:c>
      <x:c r="H20" s="41" t="str">
        <x:v>进入分派中心/分派弹窗后执行</x:v>
      </x:c>
      <x:c r="I20" s="41" t="str">
        <x:v>分派中心/分派弹窗</x:v>
      </x:c>
      <x:c r="J20" s="41" t="str">
        <x:v>任务编号/CALL编号、客户/区域/类型/描述、师傅姓名、区域/技能、今日负载</x:v>
      </x:c>
      <x:c r="K20" s="41" t="str">
        <x:v>待确认</x:v>
      </x:c>
      <x:c r="L20" s="41" t="str">
        <x:v>待确认</x:v>
      </x:c>
      <x:c r="M20" s="41" t="str">
        <x:v>可演示</x:v>
      </x:c>
      <x:c r="N20" s="41" t="str">
        <x:v>分派中心/分派弹窗</x:v>
      </x:c>
      <x:c r="O20" s="43" t="str">
        <x:v>待确认</x:v>
      </x:c>
      <x:c r="P20" s="43" t="str"/>
      <x:c r="Q20" s="41" t="str">
        <x:v>相关角色可按确认后的规则完成“查看待分派、已分派、申请审批和可接单师傅指标”，结果、状态和操作记录可查询。</x:v>
      </x:c>
    </x:row>
    <x:row r="21" ht="68" customHeight="1">
      <x:c r="A21" s="41" t="str">
        <x:v>A-015</x:v>
      </x:c>
      <x:c r="B21" s="41" t="str">
        <x:v>分派与调度</x:v>
      </x:c>
      <x:c r="C21" s="41" t="str">
        <x:v>P02</x:v>
      </x:c>
      <x:c r="D21" s="41" t="str">
        <x:v>F015</x:v>
      </x:c>
      <x:c r="E21" s="41" t="str">
        <x:v>按任务编号、CALL、客户、区域、状态和类型搜索</x:v>
      </x:c>
      <x:c r="F21" s="41" t="str">
        <x:v>面向TL、CR，支持按任务编号、CALL、客户、区域、状态和类型搜索；正式交付需结合真实数据、权限和验收规则确认。</x:v>
      </x:c>
      <x:c r="G21" s="41" t="str">
        <x:v>TL、CR</x:v>
      </x:c>
      <x:c r="H21" s="41" t="str">
        <x:v>进入分派中心/分派弹窗后执行</x:v>
      </x:c>
      <x:c r="I21" s="41" t="str">
        <x:v>分派中心/分派弹窗</x:v>
      </x:c>
      <x:c r="J21" s="41" t="str">
        <x:v>任务编号/CALL编号、客户/区域/类型/描述、师傅姓名、区域/技能、今日负载</x:v>
      </x:c>
      <x:c r="K21" s="41" t="str">
        <x:v>待确认</x:v>
      </x:c>
      <x:c r="L21" s="41" t="str">
        <x:v>待确认</x:v>
      </x:c>
      <x:c r="M21" s="41" t="str">
        <x:v>可演示</x:v>
      </x:c>
      <x:c r="N21" s="41" t="str">
        <x:v>分派中心/分派弹窗</x:v>
      </x:c>
      <x:c r="O21" s="43" t="str">
        <x:v>待确认</x:v>
      </x:c>
      <x:c r="P21" s="43" t="str"/>
      <x:c r="Q21" s="41" t="str">
        <x:v>相关角色可按确认后的规则完成“按任务编号、CALL、客户、区域、状态和类型搜索”，结果、状态和操作记录可查询。</x:v>
      </x:c>
    </x:row>
    <x:row r="22" ht="68" customHeight="1">
      <x:c r="A22" s="41" t="str">
        <x:v>A-016</x:v>
      </x:c>
      <x:c r="B22" s="41" t="str">
        <x:v>分派与调度</x:v>
      </x:c>
      <x:c r="C22" s="41" t="str">
        <x:v>P02</x:v>
      </x:c>
      <x:c r="D22" s="41" t="str">
        <x:v>F016</x:v>
      </x:c>
      <x:c r="E22" s="41" t="str">
        <x:v>在同区域的可接单师傅中推荐负载最低者；无候选人时不跨区推荐、不自动派单</x:v>
      </x:c>
      <x:c r="F22" s="41" t="str">
        <x:v>系统仅在同区域、启用且可接单的师傅中推荐当前负载最低者，不自动执行派单。</x:v>
      </x:c>
      <x:c r="G22" s="41" t="str">
        <x:v>TL、CR</x:v>
      </x:c>
      <x:c r="H22" s="41" t="str">
        <x:v>进入分派中心/分派弹窗后执行</x:v>
      </x:c>
      <x:c r="I22" s="41" t="str">
        <x:v>分派中心/分派弹窗</x:v>
      </x:c>
      <x:c r="J22" s="41" t="str">
        <x:v>任务编号/CALL编号、客户/区域/类型/描述、师傅姓名、区域/技能、今日负载</x:v>
      </x:c>
      <x:c r="K22" s="41" t="str">
        <x:v>待确认</x:v>
      </x:c>
      <x:c r="L22" s="41" t="str">
        <x:v>待确认</x:v>
      </x:c>
      <x:c r="M22" s="41" t="str">
        <x:v>可演示</x:v>
      </x:c>
      <x:c r="N22" s="41" t="str">
        <x:v>分派中心/分派弹窗</x:v>
      </x:c>
      <x:c r="O22" s="43" t="str">
        <x:v>待确认</x:v>
      </x:c>
      <x:c r="P22" s="43" t="str"/>
      <x:c r="Q22" s="41" t="str">
        <x:v>相关角色可按确认后的规则完成“在同区域的可接单师傅中推荐负载最低者；无候选人时不跨区推荐、不自动派单”，结果、状态和操作记录可查询。</x:v>
      </x:c>
    </x:row>
    <x:row r="23" ht="68" customHeight="1">
      <x:c r="A23" s="41" t="str">
        <x:v>A-017</x:v>
      </x:c>
      <x:c r="B23" s="41" t="str">
        <x:v>分派与调度</x:v>
      </x:c>
      <x:c r="C23" s="41" t="str">
        <x:v>P02</x:v>
      </x:c>
      <x:c r="D23" s="41" t="str">
        <x:v>F017</x:v>
      </x:c>
      <x:c r="E23" s="41" t="str">
        <x:v>人工按师傅技能筛选候选人；技能不参与自动推荐</x:v>
      </x:c>
      <x:c r="F23" s="41" t="str">
        <x:v>技能仅供人工筛选，不参与自动推荐优先级。</x:v>
      </x:c>
      <x:c r="G23" s="41" t="str">
        <x:v>TL、CR</x:v>
      </x:c>
      <x:c r="H23" s="41" t="str">
        <x:v>进入分派中心/分派弹窗后执行</x:v>
      </x:c>
      <x:c r="I23" s="41" t="str">
        <x:v>分派中心/分派弹窗</x:v>
      </x:c>
      <x:c r="J23" s="41" t="str">
        <x:v>任务编号/CALL编号、客户/区域/类型/描述、师傅姓名、区域/技能、今日负载</x:v>
      </x:c>
      <x:c r="K23" s="41" t="str">
        <x:v>待确认</x:v>
      </x:c>
      <x:c r="L23" s="41" t="str">
        <x:v>待确认</x:v>
      </x:c>
      <x:c r="M23" s="41" t="str">
        <x:v>可演示</x:v>
      </x:c>
      <x:c r="N23" s="41" t="str">
        <x:v>分派中心/分派弹窗</x:v>
      </x:c>
      <x:c r="O23" s="43" t="str">
        <x:v>待确认</x:v>
      </x:c>
      <x:c r="P23" s="43" t="str"/>
      <x:c r="Q23" s="41" t="str">
        <x:v>相关角色可按确认后的规则完成“人工按师傅技能筛选候选人；技能不参与自动推荐”，结果、状态和操作记录可查询。</x:v>
      </x:c>
    </x:row>
    <x:row r="24" ht="68" customHeight="1">
      <x:c r="A24" s="41" t="str">
        <x:v>A-018</x:v>
      </x:c>
      <x:c r="B24" s="41" t="str">
        <x:v>分派与调度</x:v>
      </x:c>
      <x:c r="C24" s="41" t="str">
        <x:v>P02</x:v>
      </x:c>
      <x:c r="D24" s="41" t="str">
        <x:v>F018</x:v>
      </x:c>
      <x:c r="E24" s="41" t="str">
        <x:v>请假师傅置灰且不可分派；负载过高师傅标记为忙碌</x:v>
      </x:c>
      <x:c r="F24" s="41" t="str">
        <x:v>请假师傅不可分派；高负载阈值和请假数据来源需在POC确认。</x:v>
      </x:c>
      <x:c r="G24" s="41" t="str">
        <x:v>TL、CR、ADMIN</x:v>
      </x:c>
      <x:c r="H24" s="41" t="str">
        <x:v>进入分派中心/分派弹窗后执行</x:v>
      </x:c>
      <x:c r="I24" s="41" t="str">
        <x:v>分派中心/分派弹窗</x:v>
      </x:c>
      <x:c r="J24" s="41" t="str">
        <x:v>任务编号/CALL编号、客户/区域/类型/描述、师傅姓名、区域/技能、今日负载</x:v>
      </x:c>
      <x:c r="K24" s="41" t="str">
        <x:v>待确认</x:v>
      </x:c>
      <x:c r="L24" s="41" t="str">
        <x:v>待确认</x:v>
      </x:c>
      <x:c r="M24" s="41" t="str">
        <x:v>可演示</x:v>
      </x:c>
      <x:c r="N24" s="41" t="str">
        <x:v>分派中心/分派弹窗</x:v>
      </x:c>
      <x:c r="O24" s="43" t="str">
        <x:v>待确认</x:v>
      </x:c>
      <x:c r="P24" s="43" t="str"/>
      <x:c r="Q24" s="41" t="str">
        <x:v>相关角色可按确认后的规则完成“请假师傅置灰且不可分派；负载过高师傅标记为忙碌”，结果、状态和操作记录可查询。</x:v>
      </x:c>
    </x:row>
    <x:row r="25" ht="68" customHeight="1">
      <x:c r="A25" s="41" t="str">
        <x:v>A-019</x:v>
      </x:c>
      <x:c r="B25" s="41" t="str">
        <x:v>分派与调度</x:v>
      </x:c>
      <x:c r="C25" s="41" t="str">
        <x:v>P02</x:v>
      </x:c>
      <x:c r="D25" s="41" t="str">
        <x:v>F019</x:v>
      </x:c>
      <x:c r="E25" s="41" t="str">
        <x:v>首次分派、改派、派工备注和分派日志</x:v>
      </x:c>
      <x:c r="F25" s="41" t="str">
        <x:v>面向TL、CR，支持首次分派、改派、派工备注和分派日志；正式交付需结合真实数据、权限和验收规则确认。</x:v>
      </x:c>
      <x:c r="G25" s="41" t="str">
        <x:v>TL、CR</x:v>
      </x:c>
      <x:c r="H25" s="41" t="str">
        <x:v>进入分派中心/分派弹窗后执行</x:v>
      </x:c>
      <x:c r="I25" s="41" t="str">
        <x:v>分派中心/分派弹窗</x:v>
      </x:c>
      <x:c r="J25" s="41" t="str">
        <x:v>任务编号/CALL编号、客户/区域/类型/描述、师傅姓名、区域/技能、今日负载</x:v>
      </x:c>
      <x:c r="K25" s="41" t="str">
        <x:v>待确认</x:v>
      </x:c>
      <x:c r="L25" s="41" t="str">
        <x:v>待确认</x:v>
      </x:c>
      <x:c r="M25" s="41" t="str">
        <x:v>可演示</x:v>
      </x:c>
      <x:c r="N25" s="41" t="str">
        <x:v>分派中心/分派弹窗</x:v>
      </x:c>
      <x:c r="O25" s="43" t="str">
        <x:v>待确认</x:v>
      </x:c>
      <x:c r="P25" s="43" t="str"/>
      <x:c r="Q25" s="41" t="str">
        <x:v>相关角色可按确认后的规则完成“首次分派、改派、派工备注和分派日志”，结果、状态和操作记录可查询。</x:v>
      </x:c>
    </x:row>
    <x:row r="26" ht="68" customHeight="1">
      <x:c r="A26" s="41" t="str">
        <x:v>A-020</x:v>
      </x:c>
      <x:c r="B26" s="41" t="str">
        <x:v>分派与调度</x:v>
      </x:c>
      <x:c r="C26" s="41" t="str">
        <x:v>P02</x:v>
      </x:c>
      <x:c r="D26" s="41" t="str">
        <x:v>F020</x:v>
      </x:c>
      <x:c r="E26" s="41" t="str">
        <x:v>分派权限按“区域主管”及“对应区域 CR”限制</x:v>
      </x:c>
      <x:c r="F26" s="41" t="str">
        <x:v>TL、区域CR与管理员的可见和可操作范围需形成正式权限矩阵。</x:v>
      </x:c>
      <x:c r="G26" s="41" t="str">
        <x:v>TL、CR、ADMIN</x:v>
      </x:c>
      <x:c r="H26" s="41" t="str">
        <x:v>进入分派中心/分派弹窗后执行</x:v>
      </x:c>
      <x:c r="I26" s="41" t="str">
        <x:v>分派中心/分派弹窗</x:v>
      </x:c>
      <x:c r="J26" s="41" t="str">
        <x:v>任务编号/CALL编号、客户/区域/类型/描述、师傅姓名、区域/技能、今日负载</x:v>
      </x:c>
      <x:c r="K26" s="41" t="str">
        <x:v>待确认</x:v>
      </x:c>
      <x:c r="L26" s="41" t="str">
        <x:v>待确认</x:v>
      </x:c>
      <x:c r="M26" s="41" t="str">
        <x:v>可演示</x:v>
      </x:c>
      <x:c r="N26" s="41" t="str">
        <x:v>分派中心/分派弹窗</x:v>
      </x:c>
      <x:c r="O26" s="43" t="str">
        <x:v>待确认</x:v>
      </x:c>
      <x:c r="P26" s="43" t="str"/>
      <x:c r="Q26" s="41" t="str">
        <x:v>相关角色可按确认后的规则完成“分派权限按“区域主管”及“对应区域 CR”限制”，结果、状态和操作记录可查询。</x:v>
      </x:c>
    </x:row>
    <x:row r="27" ht="68" customHeight="1">
      <x:c r="A27" s="41" t="str">
        <x:v>A-021</x:v>
      </x:c>
      <x:c r="B27" s="41" t="str">
        <x:v>分派与调度</x:v>
      </x:c>
      <x:c r="C27" s="41" t="str">
        <x:v>P02</x:v>
      </x:c>
      <x:c r="D27" s="41" t="str">
        <x:v>F021</x:v>
      </x:c>
      <x:c r="E27" s="41" t="str">
        <x:v>分派时由系统自动判定领取完工单或服务报告</x:v>
      </x:c>
      <x:c r="F27" s="41" t="str">
        <x:v>系统依据物料、采购或报价关联自动判断领取SR或完工单。</x:v>
      </x:c>
      <x:c r="G27" s="41" t="str">
        <x:v>TL、CR</x:v>
      </x:c>
      <x:c r="H27" s="41" t="str">
        <x:v>进入分派中心/分派弹窗后执行</x:v>
      </x:c>
      <x:c r="I27" s="41" t="str">
        <x:v>分派中心/分派弹窗</x:v>
      </x:c>
      <x:c r="J27" s="41" t="str">
        <x:v>任务编号/CALL编号、客户/区域/类型/描述、师傅姓名、区域/技能、今日负载</x:v>
      </x:c>
      <x:c r="K27" s="41" t="str">
        <x:v>待确认</x:v>
      </x:c>
      <x:c r="L27" s="41" t="str">
        <x:v>待确认</x:v>
      </x:c>
      <x:c r="M27" s="41" t="str">
        <x:v>可演示</x:v>
      </x:c>
      <x:c r="N27" s="41" t="str">
        <x:v>分派中心/分派弹窗</x:v>
      </x:c>
      <x:c r="O27" s="43" t="str">
        <x:v>待确认</x:v>
      </x:c>
      <x:c r="P27" s="43" t="str"/>
      <x:c r="Q27" s="41" t="str">
        <x:v>相关角色可按确认后的规则完成“分派时由系统自动判定领取完工单或服务报告”，结果、状态和操作记录可查询。</x:v>
      </x:c>
    </x:row>
    <x:row r="28" ht="68" customHeight="1">
      <x:c r="A28" s="41" t="str">
        <x:v>A-022</x:v>
      </x:c>
      <x:c r="B28" s="41" t="str">
        <x:v>分派与调度</x:v>
      </x:c>
      <x:c r="C28" s="41" t="str">
        <x:v>P02</x:v>
      </x:c>
      <x:c r="D28" s="41" t="str">
        <x:v>F022</x:v>
      </x:c>
      <x:c r="E28" s="41" t="str">
        <x:v>师傅接单、拒单并填写拒单原因</x:v>
      </x:c>
      <x:c r="F28" s="41" t="str">
        <x:v>面向MASTER，支持师傅接单、拒单并填写拒单原因；正式交付需结合真实数据、权限和验收规则确认。</x:v>
      </x:c>
      <x:c r="G28" s="41" t="str">
        <x:v>MASTER</x:v>
      </x:c>
      <x:c r="H28" s="41" t="str">
        <x:v>进入师傅首页/CALL列表/详情后执行</x:v>
      </x:c>
      <x:c r="I28" s="41" t="str">
        <x:v>师傅首页/CALL列表/详情</x:v>
      </x:c>
      <x:c r="J28" s="41" t="str">
        <x:v>见“字段逐项确认”，按表单逐项确认</x:v>
      </x:c>
      <x:c r="K28" s="41" t="str">
        <x:v>待确认</x:v>
      </x:c>
      <x:c r="L28" s="41" t="str">
        <x:v>待确认</x:v>
      </x:c>
      <x:c r="M28" s="41" t="str">
        <x:v>可演示</x:v>
      </x:c>
      <x:c r="N28" s="41" t="str">
        <x:v>师傅首页/CALL列表/详情</x:v>
      </x:c>
      <x:c r="O28" s="43" t="str">
        <x:v>待确认</x:v>
      </x:c>
      <x:c r="P28" s="43" t="str"/>
      <x:c r="Q28" s="41" t="str">
        <x:v>相关角色可按确认后的规则完成“师傅接单、拒单并填写拒单原因”，结果、状态和操作记录可查询。</x:v>
      </x:c>
    </x:row>
    <x:row r="29" ht="68" customHeight="1">
      <x:c r="A29" s="41" t="str">
        <x:v>A-023</x:v>
      </x:c>
      <x:c r="B29" s="41" t="str">
        <x:v>分派与调度</x:v>
      </x:c>
      <x:c r="C29" s="41" t="str">
        <x:v>P02</x:v>
      </x:c>
      <x:c r="D29" s="41" t="str">
        <x:v>F023</x:v>
      </x:c>
      <x:c r="E29" s="41" t="str">
        <x:v>主管通过或不通过分派申请</x:v>
      </x:c>
      <x:c r="F29" s="41" t="str">
        <x:v>面向TL，支持主管通过或不通过分派申请；正式交付需结合真实数据、权限和验收规则确认。</x:v>
      </x:c>
      <x:c r="G29" s="41" t="str">
        <x:v>TL</x:v>
      </x:c>
      <x:c r="H29" s="41" t="str">
        <x:v>进入分派申请审批后执行</x:v>
      </x:c>
      <x:c r="I29" s="41" t="str">
        <x:v>分派申请审批</x:v>
      </x:c>
      <x:c r="J29" s="41" t="str">
        <x:v>任务编号、申请师傅、申请时间、审批结果、审批意见</x:v>
      </x:c>
      <x:c r="K29" s="41" t="str">
        <x:v>待确认</x:v>
      </x:c>
      <x:c r="L29" s="41" t="str">
        <x:v>待确认</x:v>
      </x:c>
      <x:c r="M29" s="41" t="str">
        <x:v>可演示</x:v>
      </x:c>
      <x:c r="N29" s="41" t="str">
        <x:v>分派申请审批</x:v>
      </x:c>
      <x:c r="O29" s="43" t="str">
        <x:v>待确认</x:v>
      </x:c>
      <x:c r="P29" s="43" t="str"/>
      <x:c r="Q29" s="41" t="str">
        <x:v>相关角色可按确认后的规则完成“主管通过或不通过分派申请”，结果、状态和操作记录可查询。</x:v>
      </x:c>
    </x:row>
    <x:row r="30" ht="68" customHeight="1">
      <x:c r="A30" s="41" t="str">
        <x:v>A-024</x:v>
      </x:c>
      <x:c r="B30" s="41" t="str">
        <x:v>移动端现场执行</x:v>
      </x:c>
      <x:c r="C30" s="41" t="str">
        <x:v>P03/P04</x:v>
      </x:c>
      <x:c r="D30" s="41" t="str">
        <x:v>F024</x:v>
      </x:c>
      <x:c r="E30" s="41" t="str">
        <x:v>师傅首页查看今日工作、待确认、待处理和处理中 CALL</x:v>
      </x:c>
      <x:c r="F30" s="41" t="str">
        <x:v>面向MASTER，支持师傅首页查看今日工作、待确认、待处理和处理中 CALL；正式交付需结合真实数据、权限和验收规则确认。</x:v>
      </x:c>
      <x:c r="G30" s="41" t="str">
        <x:v>MASTER</x:v>
      </x:c>
      <x:c r="H30" s="41" t="str">
        <x:v>进入师傅首页/CALL列表/详情后执行</x:v>
      </x:c>
      <x:c r="I30" s="41" t="str">
        <x:v>师傅首页/CALL列表/详情</x:v>
      </x:c>
      <x:c r="J30" s="41" t="str">
        <x:v>CALL编号/状态、客户/区域/地址、类型/优先级、问题描述/附件、接单/拒单</x:v>
      </x:c>
      <x:c r="K30" s="41" t="str">
        <x:v>待确认</x:v>
      </x:c>
      <x:c r="L30" s="41" t="str">
        <x:v>待确认</x:v>
      </x:c>
      <x:c r="M30" s="41" t="str">
        <x:v>可演示</x:v>
      </x:c>
      <x:c r="N30" s="41" t="str">
        <x:v>师傅首页/CALL列表/详情</x:v>
      </x:c>
      <x:c r="O30" s="43" t="str">
        <x:v>待确认</x:v>
      </x:c>
      <x:c r="P30" s="43" t="str"/>
      <x:c r="Q30" s="41" t="str">
        <x:v>相关角色可按确认后的规则完成“师傅首页查看今日工作、待确认、待处理和处理中 CALL”，结果、状态和操作记录可查询。</x:v>
      </x:c>
    </x:row>
    <x:row r="31" ht="68" customHeight="1">
      <x:c r="A31" s="41" t="str">
        <x:v>A-025</x:v>
      </x:c>
      <x:c r="B31" s="41" t="str">
        <x:v>移动端现场执行</x:v>
      </x:c>
      <x:c r="C31" s="41" t="str">
        <x:v>P03/P04</x:v>
      </x:c>
      <x:c r="D31" s="41" t="str">
        <x:v>F025</x:v>
      </x:c>
      <x:c r="E31" s="41" t="str">
        <x:v>查看本人任务列表、优先处理事项和工单详情</x:v>
      </x:c>
      <x:c r="F31" s="41" t="str">
        <x:v>面向MASTER，支持查看本人任务列表、优先处理事项和工单详情；正式交付需结合真实数据、权限和验收规则确认。</x:v>
      </x:c>
      <x:c r="G31" s="41" t="str">
        <x:v>MASTER</x:v>
      </x:c>
      <x:c r="H31" s="41" t="str">
        <x:v>进入师傅首页/CALL列表/详情后执行</x:v>
      </x:c>
      <x:c r="I31" s="41" t="str">
        <x:v>师傅首页/CALL列表/详情</x:v>
      </x:c>
      <x:c r="J31" s="41" t="str">
        <x:v>CALL编号/状态、客户/区域/地址、类型/优先级、问题描述/附件、接单/拒单</x:v>
      </x:c>
      <x:c r="K31" s="41" t="str">
        <x:v>待确认</x:v>
      </x:c>
      <x:c r="L31" s="41" t="str">
        <x:v>待确认</x:v>
      </x:c>
      <x:c r="M31" s="41" t="str">
        <x:v>可演示</x:v>
      </x:c>
      <x:c r="N31" s="41" t="str">
        <x:v>师傅首页/CALL列表/详情</x:v>
      </x:c>
      <x:c r="O31" s="43" t="str">
        <x:v>待确认</x:v>
      </x:c>
      <x:c r="P31" s="43" t="str"/>
      <x:c r="Q31" s="41" t="str">
        <x:v>相关角色可按确认后的规则完成“查看本人任务列表、优先处理事项和工单详情”，结果、状态和操作记录可查询。</x:v>
      </x:c>
    </x:row>
    <x:row r="32" ht="68" customHeight="1">
      <x:c r="A32" s="41" t="str">
        <x:v>A-026</x:v>
      </x:c>
      <x:c r="B32" s="41" t="str">
        <x:v>移动端现场执行</x:v>
      </x:c>
      <x:c r="C32" s="41" t="str">
        <x:v>P03/P04</x:v>
      </x:c>
      <x:c r="D32" s="41" t="str">
        <x:v>F026</x:v>
      </x:c>
      <x:c r="E32" s="41" t="str">
        <x:v>接单、拒单、开始处理、记录到场时间</x:v>
      </x:c>
      <x:c r="F32" s="41" t="str">
        <x:v>面向MASTER，支持接单、拒单、开始处理、记录到场时间；正式交付需结合真实数据、权限和验收规则确认。</x:v>
      </x:c>
      <x:c r="G32" s="41" t="str">
        <x:v>MASTER</x:v>
      </x:c>
      <x:c r="H32" s="41" t="str">
        <x:v>进入师傅首页/CALL列表/详情后执行</x:v>
      </x:c>
      <x:c r="I32" s="41" t="str">
        <x:v>师傅首页/CALL列表/详情</x:v>
      </x:c>
      <x:c r="J32" s="41" t="str">
        <x:v>CALL编号/状态、客户/区域/地址、类型/优先级、问题描述/附件、接单/拒单</x:v>
      </x:c>
      <x:c r="K32" s="41" t="str">
        <x:v>待确认</x:v>
      </x:c>
      <x:c r="L32" s="41" t="str">
        <x:v>待确认</x:v>
      </x:c>
      <x:c r="M32" s="41" t="str">
        <x:v>可演示</x:v>
      </x:c>
      <x:c r="N32" s="41" t="str">
        <x:v>师傅首页/CALL列表/详情</x:v>
      </x:c>
      <x:c r="O32" s="43" t="str">
        <x:v>待确认</x:v>
      </x:c>
      <x:c r="P32" s="43" t="str"/>
      <x:c r="Q32" s="41" t="str">
        <x:v>相关角色可按确认后的规则完成“接单、拒单、开始处理、记录到场时间”，结果、状态和操作记录可查询。</x:v>
      </x:c>
    </x:row>
    <x:row r="33" ht="68" customHeight="1">
      <x:c r="A33" s="41" t="str">
        <x:v>A-027</x:v>
      </x:c>
      <x:c r="B33" s="41" t="str">
        <x:v>移动端现场执行</x:v>
      </x:c>
      <x:c r="C33" s="41" t="str">
        <x:v>P03/P04</x:v>
      </x:c>
      <x:c r="D33" s="41" t="str">
        <x:v>F027</x:v>
      </x:c>
      <x:c r="E33" s="41" t="str">
        <x:v>填写服务报告编号、系统、目的、完成工作和跟进事项</x:v>
      </x:c>
      <x:c r="F33" s="41" t="str">
        <x:v>面向MASTER，支持填写服务报告编号、系统、目的、完成工作和跟进事项；正式交付需结合真实数据、权限和验收规则确认。</x:v>
      </x:c>
      <x:c r="G33" s="41" t="str">
        <x:v>MASTER</x:v>
      </x:c>
      <x:c r="H33" s="41" t="str">
        <x:v>进入现场处理/服务报告后执行</x:v>
      </x:c>
      <x:c r="I33" s="41" t="str">
        <x:v>现场处理/服务报告</x:v>
      </x:c>
      <x:c r="J33" s="41" t="str">
        <x:v>到场时间、位置说明、SR编号、系统/设备、服务目的</x:v>
      </x:c>
      <x:c r="K33" s="41" t="str">
        <x:v>待确认</x:v>
      </x:c>
      <x:c r="L33" s="41" t="str">
        <x:v>待确认</x:v>
      </x:c>
      <x:c r="M33" s="41" t="str">
        <x:v>可演示</x:v>
      </x:c>
      <x:c r="N33" s="41" t="str">
        <x:v>现场处理/服务报告</x:v>
      </x:c>
      <x:c r="O33" s="43" t="str">
        <x:v>待确认</x:v>
      </x:c>
      <x:c r="P33" s="43" t="str"/>
      <x:c r="Q33" s="41" t="str">
        <x:v>相关角色可按确认后的规则完成“填写服务报告编号、系统、目的、完成工作和跟进事项”，结果、状态和操作记录可查询。</x:v>
      </x:c>
    </x:row>
    <x:row r="34" ht="68" customHeight="1">
      <x:c r="A34" s="41" t="str">
        <x:v>A-028</x:v>
      </x:c>
      <x:c r="B34" s="41" t="str">
        <x:v>移动端现场执行</x:v>
      </x:c>
      <x:c r="C34" s="41" t="str">
        <x:v>P03/P04</x:v>
      </x:c>
      <x:c r="D34" s="41" t="str">
        <x:v>F028</x:v>
      </x:c>
      <x:c r="E34" s="41" t="str">
        <x:v>上传服务报告图片并模拟带入报告数据</x:v>
      </x:c>
      <x:c r="F34" s="41" t="str">
        <x:v>当前仅演示图片带入流程，真实OCR识别能力需另行POC。</x:v>
      </x:c>
      <x:c r="G34" s="41" t="str">
        <x:v>MASTER</x:v>
      </x:c>
      <x:c r="H34" s="41" t="str">
        <x:v>进入现场处理/服务报告后执行</x:v>
      </x:c>
      <x:c r="I34" s="41" t="str">
        <x:v>现场处理/服务报告</x:v>
      </x:c>
      <x:c r="J34" s="41" t="str">
        <x:v>到场时间、位置说明、SR编号、系统/设备、服务目的</x:v>
      </x:c>
      <x:c r="K34" s="41" t="str">
        <x:v>待确认</x:v>
      </x:c>
      <x:c r="L34" s="41" t="str">
        <x:v>待确认</x:v>
      </x:c>
      <x:c r="M34" s="41" t="str">
        <x:v>流程演示</x:v>
      </x:c>
      <x:c r="N34" s="41" t="str">
        <x:v>现场处理/服务报告</x:v>
      </x:c>
      <x:c r="O34" s="43" t="str">
        <x:v>待确认</x:v>
      </x:c>
      <x:c r="P34" s="43" t="str"/>
      <x:c r="Q34" s="41" t="str">
        <x:v>相关角色可按确认后的规则完成“上传服务报告图片并模拟带入报告数据”，结果、状态和操作记录可查询。</x:v>
      </x:c>
    </x:row>
    <x:row r="35" ht="68" customHeight="1">
      <x:c r="A35" s="41" t="str">
        <x:v>A-029</x:v>
      </x:c>
      <x:c r="B35" s="41" t="str">
        <x:v>移动端现场执行</x:v>
      </x:c>
      <x:c r="C35" s="41" t="str">
        <x:v>P03/P04</x:v>
      </x:c>
      <x:c r="D35" s="41" t="str">
        <x:v>F029</x:v>
      </x:c>
      <x:c r="E35" s="41" t="str">
        <x:v>上传现场照片、材料照片、附件和车资记录</x:v>
      </x:c>
      <x:c r="F35" s="41" t="str">
        <x:v>面向MASTER，支持上传现场照片、材料照片、附件和车资记录；正式交付需结合真实数据、权限和验收规则确认。</x:v>
      </x:c>
      <x:c r="G35" s="41" t="str">
        <x:v>MASTER</x:v>
      </x:c>
      <x:c r="H35" s="41" t="str">
        <x:v>进入现场处理/服务报告后执行</x:v>
      </x:c>
      <x:c r="I35" s="41" t="str">
        <x:v>现场处理/服务报告</x:v>
      </x:c>
      <x:c r="J35" s="41" t="str">
        <x:v>到场时间、位置说明、SR编号、系统/设备、服务目的</x:v>
      </x:c>
      <x:c r="K35" s="41" t="str">
        <x:v>待确认</x:v>
      </x:c>
      <x:c r="L35" s="41" t="str">
        <x:v>待确认</x:v>
      </x:c>
      <x:c r="M35" s="41" t="str">
        <x:v>可演示</x:v>
      </x:c>
      <x:c r="N35" s="41" t="str">
        <x:v>现场处理/服务报告</x:v>
      </x:c>
      <x:c r="O35" s="43" t="str">
        <x:v>待确认</x:v>
      </x:c>
      <x:c r="P35" s="43" t="str"/>
      <x:c r="Q35" s="41" t="str">
        <x:v>相关角色可按确认后的规则完成“上传现场照片、材料照片、附件和车资记录”，结果、状态和操作记录可查询。</x:v>
      </x:c>
    </x:row>
    <x:row r="36" ht="68" customHeight="1">
      <x:c r="A36" s="41" t="str">
        <x:v>A-030</x:v>
      </x:c>
      <x:c r="B36" s="41" t="str">
        <x:v>移动端现场执行</x:v>
      </x:c>
      <x:c r="C36" s="41" t="str">
        <x:v>P03/P04</x:v>
      </x:c>
      <x:c r="D36" s="41" t="str">
        <x:v>F030</x:v>
      </x:c>
      <x:c r="E36" s="41" t="str">
        <x:v>标记是否需要后补报价、材料或客户确认</x:v>
      </x:c>
      <x:c r="F36" s="41" t="str">
        <x:v>面向MASTER、QUO、PUR，支持标记是否需要后补报价、材料或客户确认；正式交付需结合真实数据、权限和验收规则确认。</x:v>
      </x:c>
      <x:c r="G36" s="41" t="str">
        <x:v>MASTER、QUO、PUR</x:v>
      </x:c>
      <x:c r="H36" s="41" t="str">
        <x:v>进入现场处理/服务报告后执行</x:v>
      </x:c>
      <x:c r="I36" s="41" t="str">
        <x:v>现场处理/服务报告</x:v>
      </x:c>
      <x:c r="J36" s="41" t="str">
        <x:v>到场时间、位置说明、SR编号、系统/设备、服务目的</x:v>
      </x:c>
      <x:c r="K36" s="41" t="str">
        <x:v>待确认</x:v>
      </x:c>
      <x:c r="L36" s="41" t="str">
        <x:v>待确认</x:v>
      </x:c>
      <x:c r="M36" s="41" t="str">
        <x:v>可演示</x:v>
      </x:c>
      <x:c r="N36" s="41" t="str">
        <x:v>现场处理/服务报告</x:v>
      </x:c>
      <x:c r="O36" s="43" t="str">
        <x:v>待确认</x:v>
      </x:c>
      <x:c r="P36" s="43" t="str"/>
      <x:c r="Q36" s="41" t="str">
        <x:v>相关角色可按确认后的规则完成“标记是否需要后补报价、材料或客户确认”，结果、状态和操作记录可查询。</x:v>
      </x:c>
    </x:row>
    <x:row r="37" ht="68" customHeight="1">
      <x:c r="A37" s="41" t="str">
        <x:v>A-031</x:v>
      </x:c>
      <x:c r="B37" s="41" t="str">
        <x:v>移动端现场执行</x:v>
      </x:c>
      <x:c r="C37" s="41" t="str">
        <x:v>P03/P04</x:v>
      </x:c>
      <x:c r="D37" s="41" t="str">
        <x:v>F031</x:v>
      </x:c>
      <x:c r="E37" s="41" t="str">
        <x:v>记录满意度、电子签名或客户不在场</x:v>
      </x:c>
      <x:c r="F37" s="41" t="str">
        <x:v>面向MASTER、客户，支持记录满意度、电子签名或客户不在场；正式交付需结合真实数据、权限和验收规则确认。</x:v>
      </x:c>
      <x:c r="G37" s="41" t="str">
        <x:v>MASTER、客户</x:v>
      </x:c>
      <x:c r="H37" s="41" t="str">
        <x:v>进入完工单与客户确认后执行</x:v>
      </x:c>
      <x:c r="I37" s="41" t="str">
        <x:v>完工单与客户确认</x:v>
      </x:c>
      <x:c r="J37" s="41" t="str">
        <x:v>完工单编号、完工内容、材料明细、满意度、电子签名</x:v>
      </x:c>
      <x:c r="K37" s="41" t="str">
        <x:v>待确认</x:v>
      </x:c>
      <x:c r="L37" s="41" t="str">
        <x:v>待确认</x:v>
      </x:c>
      <x:c r="M37" s="41" t="str">
        <x:v>可演示</x:v>
      </x:c>
      <x:c r="N37" s="41" t="str">
        <x:v>完工单与客户确认</x:v>
      </x:c>
      <x:c r="O37" s="43" t="str">
        <x:v>待确认</x:v>
      </x:c>
      <x:c r="P37" s="43" t="str"/>
      <x:c r="Q37" s="41" t="str">
        <x:v>相关角色可按确认后的规则完成“记录满意度、电子签名或客户不在场”，结果、状态和操作记录可查询。</x:v>
      </x:c>
    </x:row>
    <x:row r="38" ht="68" customHeight="1">
      <x:c r="A38" s="41" t="str">
        <x:v>A-032</x:v>
      </x:c>
      <x:c r="B38" s="41" t="str">
        <x:v>移动端现场执行</x:v>
      </x:c>
      <x:c r="C38" s="41" t="str">
        <x:v>P03/P04</x:v>
      </x:c>
      <x:c r="D38" s="41" t="str">
        <x:v>F032</x:v>
      </x:c>
      <x:c r="E38" s="41" t="str">
        <x:v>填写完工单编号、材料、照片、签章和备注</x:v>
      </x:c>
      <x:c r="F38" s="41" t="str">
        <x:v>面向MASTER，支持填写完工单编号、材料、照片、签章和备注；正式交付需结合真实数据、权限和验收规则确认。</x:v>
      </x:c>
      <x:c r="G38" s="41" t="str">
        <x:v>MASTER</x:v>
      </x:c>
      <x:c r="H38" s="41" t="str">
        <x:v>进入完工单与客户确认后执行</x:v>
      </x:c>
      <x:c r="I38" s="41" t="str">
        <x:v>完工单与客户确认</x:v>
      </x:c>
      <x:c r="J38" s="41" t="str">
        <x:v>完工单编号、完工内容、材料明细、满意度、电子签名</x:v>
      </x:c>
      <x:c r="K38" s="41" t="str">
        <x:v>待确认</x:v>
      </x:c>
      <x:c r="L38" s="41" t="str">
        <x:v>待确认</x:v>
      </x:c>
      <x:c r="M38" s="41" t="str">
        <x:v>可演示</x:v>
      </x:c>
      <x:c r="N38" s="41" t="str">
        <x:v>完工单与客户确认</x:v>
      </x:c>
      <x:c r="O38" s="43" t="str">
        <x:v>待确认</x:v>
      </x:c>
      <x:c r="P38" s="43" t="str"/>
      <x:c r="Q38" s="41" t="str">
        <x:v>相关角色可按确认后的规则完成“填写完工单编号、材料、照片、签章和备注”，结果、状态和操作记录可查询。</x:v>
      </x:c>
    </x:row>
    <x:row r="39" ht="68" customHeight="1">
      <x:c r="A39" s="41" t="str">
        <x:v>A-033</x:v>
      </x:c>
      <x:c r="B39" s="41" t="str">
        <x:v>移动端现场执行</x:v>
      </x:c>
      <x:c r="C39" s="41" t="str">
        <x:v>P03/P04</x:v>
      </x:c>
      <x:c r="D39" s="41" t="str">
        <x:v>F033</x:v>
      </x:c>
      <x:c r="E39" s="41" t="str">
        <x:v>暂存并提交完工结果，进入待确认或待审批</x:v>
      </x:c>
      <x:c r="F39" s="41" t="str">
        <x:v>面向MASTER，支持暂存并提交完工结果，进入待确认或待审批；正式交付需结合真实数据、权限和验收规则确认。</x:v>
      </x:c>
      <x:c r="G39" s="41" t="str">
        <x:v>MASTER</x:v>
      </x:c>
      <x:c r="H39" s="41" t="str">
        <x:v>进入完工单与客户确认后执行</x:v>
      </x:c>
      <x:c r="I39" s="41" t="str">
        <x:v>完工单与客户确认</x:v>
      </x:c>
      <x:c r="J39" s="41" t="str">
        <x:v>完工单编号、完工内容、材料明细、满意度、电子签名</x:v>
      </x:c>
      <x:c r="K39" s="41" t="str">
        <x:v>待确认</x:v>
      </x:c>
      <x:c r="L39" s="41" t="str">
        <x:v>待确认</x:v>
      </x:c>
      <x:c r="M39" s="41" t="str">
        <x:v>可演示</x:v>
      </x:c>
      <x:c r="N39" s="41" t="str">
        <x:v>完工单与客户确认</x:v>
      </x:c>
      <x:c r="O39" s="43" t="str">
        <x:v>待确认</x:v>
      </x:c>
      <x:c r="P39" s="43" t="str"/>
      <x:c r="Q39" s="41" t="str">
        <x:v>相关角色可按确认后的规则完成“暂存并提交完工结果，进入待确认或待审批”，结果、状态和操作记录可查询。</x:v>
      </x:c>
    </x:row>
    <x:row r="40" ht="68" customHeight="1">
      <x:c r="A40" s="41" t="str">
        <x:v>A-034</x:v>
      </x:c>
      <x:c r="B40" s="41" t="str">
        <x:v>移动端现场执行</x:v>
      </x:c>
      <x:c r="C40" s="41" t="str">
        <x:v>P03/P04</x:v>
      </x:c>
      <x:c r="D40" s="41" t="str">
        <x:v>F034</x:v>
      </x:c>
      <x:c r="E40" s="41" t="str">
        <x:v>离线保存处理记录，恢复网络后上传</x:v>
      </x:c>
      <x:c r="F40" s="41" t="str">
        <x:v>需要在真机弱网环境验证离线缓存、冲突处理和恢复上传。</x:v>
      </x:c>
      <x:c r="G40" s="41" t="str">
        <x:v>MASTER</x:v>
      </x:c>
      <x:c r="H40" s="41" t="str">
        <x:v>进入完工单与客户确认后执行</x:v>
      </x:c>
      <x:c r="I40" s="41" t="str">
        <x:v>完工单与客户确认</x:v>
      </x:c>
      <x:c r="J40" s="41" t="str">
        <x:v>完工单编号、完工内容、材料明细、满意度、电子签名</x:v>
      </x:c>
      <x:c r="K40" s="41" t="str">
        <x:v>待确认</x:v>
      </x:c>
      <x:c r="L40" s="41" t="str">
        <x:v>待确认</x:v>
      </x:c>
      <x:c r="M40" s="41" t="str">
        <x:v>流程演示</x:v>
      </x:c>
      <x:c r="N40" s="41" t="str">
        <x:v>完工单与客户确认</x:v>
      </x:c>
      <x:c r="O40" s="43" t="str">
        <x:v>待确认</x:v>
      </x:c>
      <x:c r="P40" s="43" t="str"/>
      <x:c r="Q40" s="41" t="str">
        <x:v>相关角色可按确认后的规则完成“离线保存处理记录，恢复网络后上传”，结果、状态和操作记录可查询。</x:v>
      </x:c>
    </x:row>
    <x:row r="41" ht="68" customHeight="1">
      <x:c r="A41" s="41" t="str">
        <x:v>A-035</x:v>
      </x:c>
      <x:c r="B41" s="41" t="str">
        <x:v>报告与文档</x:v>
      </x:c>
      <x:c r="C41" s="41" t="str">
        <x:v>P05/P08</x:v>
      </x:c>
      <x:c r="D41" s="41" t="str">
        <x:v>F035</x:v>
      </x:c>
      <x:c r="E41" s="41" t="str">
        <x:v>按服务报告（SR）和完工单（CP）分类查看文件夹</x:v>
      </x:c>
      <x:c r="F41" s="41" t="str">
        <x:v>面向CS、CR、TL、ADMIN，支持按服务报告（SR）和完工单（CP）分类查看文件夹；正式交付需结合真实数据、权限和验收规则确认。</x:v>
      </x:c>
      <x:c r="G41" s="41" t="str">
        <x:v>CS、CR、TL、ADMIN</x:v>
      </x:c>
      <x:c r="H41" s="41" t="str">
        <x:v>进入报告管理/发送后执行</x:v>
      </x:c>
      <x:c r="I41" s="41" t="str">
        <x:v>报告管理/发送</x:v>
      </x:c>
      <x:c r="J41" s="41" t="str">
        <x:v>报告类型/状态、编号/客户/区域/内容、报告编号、关联CALL、客户/签名状态</x:v>
      </x:c>
      <x:c r="K41" s="41" t="str">
        <x:v>待确认</x:v>
      </x:c>
      <x:c r="L41" s="41" t="str">
        <x:v>待确认</x:v>
      </x:c>
      <x:c r="M41" s="41" t="str">
        <x:v>可演示</x:v>
      </x:c>
      <x:c r="N41" s="41" t="str">
        <x:v>报告管理/发送</x:v>
      </x:c>
      <x:c r="O41" s="43" t="str">
        <x:v>待确认</x:v>
      </x:c>
      <x:c r="P41" s="43" t="str"/>
      <x:c r="Q41" s="41" t="str">
        <x:v>相关角色可按确认后的规则完成“按服务报告（SR）和完工单（CP）分类查看文件夹”，结果、状态和操作记录可查询。</x:v>
      </x:c>
    </x:row>
    <x:row r="42" ht="68" customHeight="1">
      <x:c r="A42" s="41" t="str">
        <x:v>A-036</x:v>
      </x:c>
      <x:c r="B42" s="41" t="str">
        <x:v>报告与文档</x:v>
      </x:c>
      <x:c r="C42" s="41" t="str">
        <x:v>P05/P08</x:v>
      </x:c>
      <x:c r="D42" s="41" t="str">
        <x:v>F036</x:v>
      </x:c>
      <x:c r="E42" s="41" t="str">
        <x:v>按区域、状态、编号、客户和内容搜索报告</x:v>
      </x:c>
      <x:c r="F42" s="41" t="str">
        <x:v>面向CS、CR、TL、ADMIN，支持按区域、状态、编号、客户和内容搜索报告；正式交付需结合真实数据、权限和验收规则确认。</x:v>
      </x:c>
      <x:c r="G42" s="41" t="str">
        <x:v>CS、CR、TL、ADMIN</x:v>
      </x:c>
      <x:c r="H42" s="41" t="str">
        <x:v>进入报告管理/发送后执行</x:v>
      </x:c>
      <x:c r="I42" s="41" t="str">
        <x:v>报告管理/发送</x:v>
      </x:c>
      <x:c r="J42" s="41" t="str">
        <x:v>报告类型/状态、编号/客户/区域/内容、报告编号、关联CALL、客户/签名状态</x:v>
      </x:c>
      <x:c r="K42" s="41" t="str">
        <x:v>待确认</x:v>
      </x:c>
      <x:c r="L42" s="41" t="str">
        <x:v>待确认</x:v>
      </x:c>
      <x:c r="M42" s="41" t="str">
        <x:v>可演示</x:v>
      </x:c>
      <x:c r="N42" s="41" t="str">
        <x:v>报告管理/发送</x:v>
      </x:c>
      <x:c r="O42" s="43" t="str">
        <x:v>待确认</x:v>
      </x:c>
      <x:c r="P42" s="43" t="str"/>
      <x:c r="Q42" s="41" t="str">
        <x:v>相关角色可按确认后的规则完成“按区域、状态、编号、客户和内容搜索报告”，结果、状态和操作记录可查询。</x:v>
      </x:c>
    </x:row>
    <x:row r="43" ht="68" customHeight="1">
      <x:c r="A43" s="41" t="str">
        <x:v>A-037</x:v>
      </x:c>
      <x:c r="B43" s="41" t="str">
        <x:v>报告与文档</x:v>
      </x:c>
      <x:c r="C43" s="41" t="str">
        <x:v>P05/P08</x:v>
      </x:c>
      <x:c r="D43" s="41" t="str">
        <x:v>F037</x:v>
      </x:c>
      <x:c r="E43" s="41" t="str">
        <x:v>查看报告详情并跳转关联 CALL</x:v>
      </x:c>
      <x:c r="F43" s="41" t="str">
        <x:v>面向相关业务角色，支持查看报告详情并跳转关联 CALL；正式交付需结合真实数据、权限和验收规则确认。</x:v>
      </x:c>
      <x:c r="G43" s="41" t="str">
        <x:v>相关业务角色</x:v>
      </x:c>
      <x:c r="H43" s="41" t="str">
        <x:v>进入报告管理/发送后执行</x:v>
      </x:c>
      <x:c r="I43" s="41" t="str">
        <x:v>报告管理/发送</x:v>
      </x:c>
      <x:c r="J43" s="41" t="str">
        <x:v>报告类型/状态、编号/客户/区域/内容、报告编号、关联CALL、客户/签名状态</x:v>
      </x:c>
      <x:c r="K43" s="41" t="str">
        <x:v>待确认</x:v>
      </x:c>
      <x:c r="L43" s="41" t="str">
        <x:v>待确认</x:v>
      </x:c>
      <x:c r="M43" s="41" t="str">
        <x:v>可演示</x:v>
      </x:c>
      <x:c r="N43" s="41" t="str">
        <x:v>报告管理/发送</x:v>
      </x:c>
      <x:c r="O43" s="43" t="str">
        <x:v>待确认</x:v>
      </x:c>
      <x:c r="P43" s="43" t="str"/>
      <x:c r="Q43" s="41" t="str">
        <x:v>相关角色可按确认后的规则完成“查看报告详情并跳转关联 CALL”，结果、状态和操作记录可查询。</x:v>
      </x:c>
    </x:row>
    <x:row r="44" ht="68" customHeight="1">
      <x:c r="A44" s="41" t="str">
        <x:v>A-038</x:v>
      </x:c>
      <x:c r="B44" s="41" t="str">
        <x:v>报告与文档</x:v>
      </x:c>
      <x:c r="C44" s="41" t="str">
        <x:v>P05/P08</x:v>
      </x:c>
      <x:c r="D44" s="41" t="str">
        <x:v>F038</x:v>
      </x:c>
      <x:c r="E44" s="41" t="str">
        <x:v>通过 Email 或 WhatsApp 发送报告</x:v>
      </x:c>
      <x:c r="F44" s="41" t="str">
        <x:v>原型可演示发送动作，Email和WhatsApp真实通道未接入。</x:v>
      </x:c>
      <x:c r="G44" s="41" t="str">
        <x:v>CS、CR</x:v>
      </x:c>
      <x:c r="H44" s="41" t="str">
        <x:v>进入报告管理/发送后执行</x:v>
      </x:c>
      <x:c r="I44" s="41" t="str">
        <x:v>报告管理/发送</x:v>
      </x:c>
      <x:c r="J44" s="41" t="str">
        <x:v>报告类型/状态、编号/客户/区域/内容、报告编号、关联CALL、客户/签名状态</x:v>
      </x:c>
      <x:c r="K44" s="41" t="str">
        <x:v>待确认</x:v>
      </x:c>
      <x:c r="L44" s="41" t="str">
        <x:v>待确认</x:v>
      </x:c>
      <x:c r="M44" s="41" t="str">
        <x:v>流程演示</x:v>
      </x:c>
      <x:c r="N44" s="41" t="str">
        <x:v>报告管理/发送</x:v>
      </x:c>
      <x:c r="O44" s="43" t="str">
        <x:v>待确认</x:v>
      </x:c>
      <x:c r="P44" s="43" t="str"/>
      <x:c r="Q44" s="41" t="str">
        <x:v>相关角色可按确认后的规则完成“通过 Email 或 WhatsApp 发送报告”，结果、状态和操作记录可查询。</x:v>
      </x:c>
    </x:row>
    <x:row r="45" ht="68" customHeight="1">
      <x:c r="A45" s="41" t="str">
        <x:v>A-039</x:v>
      </x:c>
      <x:c r="B45" s="41" t="str">
        <x:v>报告与文档</x:v>
      </x:c>
      <x:c r="C45" s="41" t="str">
        <x:v>P05/P08</x:v>
      </x:c>
      <x:c r="D45" s="41" t="str">
        <x:v>F039</x:v>
      </x:c>
      <x:c r="E45" s="41" t="str">
        <x:v>记录发送对象、方式、时间和发送日志</x:v>
      </x:c>
      <x:c r="F45" s="41" t="str">
        <x:v>面向CS、CR、ADMIN，支持记录发送对象、方式、时间和发送日志；正式交付需结合真实数据、权限和验收规则确认。</x:v>
      </x:c>
      <x:c r="G45" s="41" t="str">
        <x:v>CS、CR、ADMIN</x:v>
      </x:c>
      <x:c r="H45" s="41" t="str">
        <x:v>进入报告管理/发送后执行</x:v>
      </x:c>
      <x:c r="I45" s="41" t="str">
        <x:v>报告管理/发送</x:v>
      </x:c>
      <x:c r="J45" s="41" t="str">
        <x:v>报告类型/状态、编号/客户/区域/内容、报告编号、关联CALL、客户/签名状态</x:v>
      </x:c>
      <x:c r="K45" s="41" t="str">
        <x:v>待确认</x:v>
      </x:c>
      <x:c r="L45" s="41" t="str">
        <x:v>待确认</x:v>
      </x:c>
      <x:c r="M45" s="41" t="str">
        <x:v>可演示</x:v>
      </x:c>
      <x:c r="N45" s="41" t="str">
        <x:v>报告管理/发送</x:v>
      </x:c>
      <x:c r="O45" s="43" t="str">
        <x:v>待确认</x:v>
      </x:c>
      <x:c r="P45" s="43" t="str"/>
      <x:c r="Q45" s="41" t="str">
        <x:v>相关角色可按确认后的规则完成“记录发送对象、方式、时间和发送日志”，结果、状态和操作记录可查询。</x:v>
      </x:c>
    </x:row>
    <x:row r="46" ht="68" customHeight="1">
      <x:c r="A46" s="41" t="str">
        <x:v>A-040</x:v>
      </x:c>
      <x:c r="B46" s="41" t="str">
        <x:v>报价管理</x:v>
      </x:c>
      <x:c r="C46" s="41" t="str">
        <x:v>P06</x:v>
      </x:c>
      <x:c r="D46" s="41" t="str">
        <x:v>F040</x:v>
      </x:c>
      <x:c r="E46" s="41" t="str">
        <x:v>新增、编辑、删除、查看和筛选报价</x:v>
      </x:c>
      <x:c r="F46" s="41" t="str">
        <x:v>面向QUO、CR、ADMIN，支持新增、编辑、删除、查看和筛选报价；正式交付需结合真实数据、权限和验收规则确认。</x:v>
      </x:c>
      <x:c r="G46" s="41" t="str">
        <x:v>QUO、CR、ADMIN</x:v>
      </x:c>
      <x:c r="H46" s="41" t="str">
        <x:v>进入报价单/报价明细后执行</x:v>
      </x:c>
      <x:c r="I46" s="41" t="str">
        <x:v>报价单/报价明细</x:v>
      </x:c>
      <x:c r="J46" s="41" t="str">
        <x:v>报价编号、报价标题/类别、来源/CALL/SR/客户、报价负责人、报价日期/回覆截止/有效期</x:v>
      </x:c>
      <x:c r="K46" s="41" t="str">
        <x:v>待确认</x:v>
      </x:c>
      <x:c r="L46" s="41" t="str">
        <x:v>待确认</x:v>
      </x:c>
      <x:c r="M46" s="41" t="str">
        <x:v>可演示</x:v>
      </x:c>
      <x:c r="N46" s="41" t="str">
        <x:v>报价单/报价明细</x:v>
      </x:c>
      <x:c r="O46" s="43" t="str">
        <x:v>待确认</x:v>
      </x:c>
      <x:c r="P46" s="43" t="str"/>
      <x:c r="Q46" s="41" t="str">
        <x:v>相关角色可按确认后的规则完成“新增、编辑、删除、查看和筛选报价”，结果、状态和操作记录可查询。</x:v>
      </x:c>
    </x:row>
    <x:row r="47" ht="68" customHeight="1">
      <x:c r="A47" s="41" t="str">
        <x:v>A-041</x:v>
      </x:c>
      <x:c r="B47" s="41" t="str">
        <x:v>报价管理</x:v>
      </x:c>
      <x:c r="C47" s="41" t="str">
        <x:v>P06</x:v>
      </x:c>
      <x:c r="D47" s="41" t="str">
        <x:v>F041</x:v>
      </x:c>
      <x:c r="E47" s="41" t="str">
        <x:v>维护报价标题、类别、物料、数量、税率、金额和有效期</x:v>
      </x:c>
      <x:c r="F47" s="41" t="str">
        <x:v>面向QUO，支持维护报价标题、类别、物料、数量、税率、金额和有效期；正式交付需结合真实数据、权限和验收规则确认。</x:v>
      </x:c>
      <x:c r="G47" s="41" t="str">
        <x:v>QUO</x:v>
      </x:c>
      <x:c r="H47" s="41" t="str">
        <x:v>进入报价单/报价明细后执行</x:v>
      </x:c>
      <x:c r="I47" s="41" t="str">
        <x:v>报价单/报价明细</x:v>
      </x:c>
      <x:c r="J47" s="41" t="str">
        <x:v>报价编号、报价标题/类别、来源/CALL/SR/客户、报价负责人、报价日期/回覆截止/有效期</x:v>
      </x:c>
      <x:c r="K47" s="41" t="str">
        <x:v>待确认</x:v>
      </x:c>
      <x:c r="L47" s="41" t="str">
        <x:v>待确认</x:v>
      </x:c>
      <x:c r="M47" s="41" t="str">
        <x:v>可演示</x:v>
      </x:c>
      <x:c r="N47" s="41" t="str">
        <x:v>报价单/报价明细</x:v>
      </x:c>
      <x:c r="O47" s="43" t="str">
        <x:v>待确认</x:v>
      </x:c>
      <x:c r="P47" s="43" t="str"/>
      <x:c r="Q47" s="41" t="str">
        <x:v>相关角色可按确认后的规则完成“维护报价标题、类别、物料、数量、税率、金额和有效期”，结果、状态和操作记录可查询。</x:v>
      </x:c>
    </x:row>
    <x:row r="48" ht="68" customHeight="1">
      <x:c r="A48" s="41" t="str">
        <x:v>A-042</x:v>
      </x:c>
      <x:c r="B48" s="41" t="str">
        <x:v>报价管理</x:v>
      </x:c>
      <x:c r="C48" s="41" t="str">
        <x:v>P06</x:v>
      </x:c>
      <x:c r="D48" s="41" t="str">
        <x:v>F042</x:v>
      </x:c>
      <x:c r="E48" s="41" t="str">
        <x:v>显示历史物料成本价和供应商参考，不锁定库存</x:v>
      </x:c>
      <x:c r="F48" s="41" t="str">
        <x:v>面向QUO，支持显示历史物料成本价和供应商参考，不锁定库存；正式交付需结合真实数据、权限和验收规则确认。</x:v>
      </x:c>
      <x:c r="G48" s="41" t="str">
        <x:v>QUO</x:v>
      </x:c>
      <x:c r="H48" s="41" t="str">
        <x:v>进入报价单/报价明细后执行</x:v>
      </x:c>
      <x:c r="I48" s="41" t="str">
        <x:v>报价单/报价明细</x:v>
      </x:c>
      <x:c r="J48" s="41" t="str">
        <x:v>报价编号、报价标题/类别、来源/CALL/SR/客户、报价负责人、报价日期/回覆截止/有效期</x:v>
      </x:c>
      <x:c r="K48" s="41" t="str">
        <x:v>待确认</x:v>
      </x:c>
      <x:c r="L48" s="41" t="str">
        <x:v>待确认</x:v>
      </x:c>
      <x:c r="M48" s="41" t="str">
        <x:v>可演示</x:v>
      </x:c>
      <x:c r="N48" s="41" t="str">
        <x:v>报价单/报价明细</x:v>
      </x:c>
      <x:c r="O48" s="43" t="str">
        <x:v>待确认</x:v>
      </x:c>
      <x:c r="P48" s="43" t="str"/>
      <x:c r="Q48" s="41" t="str">
        <x:v>相关角色可按确认后的规则完成“显示历史物料成本价和供应商参考，不锁定库存”，结果、状态和操作记录可查询。</x:v>
      </x:c>
    </x:row>
    <x:row r="49" ht="68" customHeight="1">
      <x:c r="A49" s="41" t="str">
        <x:v>A-043</x:v>
      </x:c>
      <x:c r="B49" s="41" t="str">
        <x:v>报价管理</x:v>
      </x:c>
      <x:c r="C49" s="41" t="str">
        <x:v>P06</x:v>
      </x:c>
      <x:c r="D49" s="41" t="str">
        <x:v>F043</x:v>
      </x:c>
      <x:c r="E49" s="41" t="str">
        <x:v>关联 CALL、SR、客户和后补报价请求；服务报告提交时按需生成关联报价</x:v>
      </x:c>
      <x:c r="F49" s="41" t="str">
        <x:v>面向QUO、CR、MASTER，支持关联 CALL、SR、客户和后补报价请求；服务报告提交时按需生成关联报价；正式交付需结合真实数据、权限和验收规则确认。</x:v>
      </x:c>
      <x:c r="G49" s="41" t="str">
        <x:v>QUO、CR、MASTER</x:v>
      </x:c>
      <x:c r="H49" s="41" t="str">
        <x:v>进入报价单/报价明细后执行</x:v>
      </x:c>
      <x:c r="I49" s="41" t="str">
        <x:v>报价单/报价明细</x:v>
      </x:c>
      <x:c r="J49" s="41" t="str">
        <x:v>报价编号、报价标题/类别、来源/CALL/SR/客户、报价负责人、报价日期/回覆截止/有效期</x:v>
      </x:c>
      <x:c r="K49" s="41" t="str">
        <x:v>待确认</x:v>
      </x:c>
      <x:c r="L49" s="41" t="str">
        <x:v>待确认</x:v>
      </x:c>
      <x:c r="M49" s="41" t="str">
        <x:v>可演示</x:v>
      </x:c>
      <x:c r="N49" s="41" t="str">
        <x:v>报价单/报价明细</x:v>
      </x:c>
      <x:c r="O49" s="43" t="str">
        <x:v>待确认</x:v>
      </x:c>
      <x:c r="P49" s="43" t="str"/>
      <x:c r="Q49" s="41" t="str">
        <x:v>相关角色可按确认后的规则完成“关联 CALL、SR、客户和后补报价请求；服务报告提交时按需生成关联报价”，结果、状态和操作记录可查询。</x:v>
      </x:c>
    </x:row>
    <x:row r="50" ht="68" customHeight="1">
      <x:c r="A50" s="41" t="str">
        <x:v>A-044</x:v>
      </x:c>
      <x:c r="B50" s="41" t="str">
        <x:v>报价管理</x:v>
      </x:c>
      <x:c r="C50" s="41" t="str">
        <x:v>P06</x:v>
      </x:c>
      <x:c r="D50" s="41" t="str">
        <x:v>F044</x:v>
      </x:c>
      <x:c r="E50" s="41" t="str">
        <x:v>维护报价状态、版本、中标状态和修订记录</x:v>
      </x:c>
      <x:c r="F50" s="41" t="str">
        <x:v>面向QUO、BOSS，支持维护报价状态、版本、中标状态和修订记录；正式交付需结合真实数据、权限和验收规则确认。</x:v>
      </x:c>
      <x:c r="G50" s="41" t="str">
        <x:v>QUO、BOSS</x:v>
      </x:c>
      <x:c r="H50" s="41" t="str">
        <x:v>进入报价单/报价明细后执行</x:v>
      </x:c>
      <x:c r="I50" s="41" t="str">
        <x:v>报价单/报价明细</x:v>
      </x:c>
      <x:c r="J50" s="41" t="str">
        <x:v>报价编号、报价标题/类别、来源/CALL/SR/客户、报价负责人、报价日期/回覆截止/有效期</x:v>
      </x:c>
      <x:c r="K50" s="41" t="str">
        <x:v>待确认</x:v>
      </x:c>
      <x:c r="L50" s="41" t="str">
        <x:v>待确认</x:v>
      </x:c>
      <x:c r="M50" s="41" t="str">
        <x:v>可演示</x:v>
      </x:c>
      <x:c r="N50" s="41" t="str">
        <x:v>报价单/报价明细</x:v>
      </x:c>
      <x:c r="O50" s="43" t="str">
        <x:v>待确认</x:v>
      </x:c>
      <x:c r="P50" s="43" t="str"/>
      <x:c r="Q50" s="41" t="str">
        <x:v>相关角色可按确认后的规则完成“维护报价状态、版本、中标状态和修订记录”，结果、状态和操作记录可查询。</x:v>
      </x:c>
    </x:row>
    <x:row r="51" ht="68" customHeight="1">
      <x:c r="A51" s="41" t="str">
        <x:v>A-045</x:v>
      </x:c>
      <x:c r="B51" s="41" t="str">
        <x:v>报价管理</x:v>
      </x:c>
      <x:c r="C51" s="41" t="str">
        <x:v>P06</x:v>
      </x:c>
      <x:c r="D51" s="41" t="str">
        <x:v>F045</x:v>
      </x:c>
      <x:c r="E51" s="41" t="str">
        <x:v>维护报价组通讯录和报价负责人</x:v>
      </x:c>
      <x:c r="F51" s="41" t="str">
        <x:v>面向QUO、ADMIN，支持维护报价组通讯录和报价负责人；正式交付需结合真实数据、权限和验收规则确认。</x:v>
      </x:c>
      <x:c r="G51" s="41" t="str">
        <x:v>QUO、ADMIN</x:v>
      </x:c>
      <x:c r="H51" s="41" t="str">
        <x:v>进入报价单/报价明细后执行</x:v>
      </x:c>
      <x:c r="I51" s="41" t="str">
        <x:v>报价单/报价明细</x:v>
      </x:c>
      <x:c r="J51" s="41" t="str">
        <x:v>报价编号、报价标题/类别、来源/CALL/SR/客户、报价负责人、报价日期/回覆截止/有效期</x:v>
      </x:c>
      <x:c r="K51" s="41" t="str">
        <x:v>待确认</x:v>
      </x:c>
      <x:c r="L51" s="41" t="str">
        <x:v>待确认</x:v>
      </x:c>
      <x:c r="M51" s="41" t="str">
        <x:v>可演示</x:v>
      </x:c>
      <x:c r="N51" s="41" t="str">
        <x:v>报价单/报价明细</x:v>
      </x:c>
      <x:c r="O51" s="43" t="str">
        <x:v>待确认</x:v>
      </x:c>
      <x:c r="P51" s="43" t="str"/>
      <x:c r="Q51" s="41" t="str">
        <x:v>相关角色可按确认后的规则完成“维护报价组通讯录和报价负责人”，结果、状态和操作记录可查询。</x:v>
      </x:c>
    </x:row>
    <x:row r="52" ht="68" customHeight="1">
      <x:c r="A52" s="41" t="str">
        <x:v>A-046</x:v>
      </x:c>
      <x:c r="B52" s="41" t="str">
        <x:v>标书管理</x:v>
      </x:c>
      <x:c r="C52" s="41" t="str">
        <x:v>P09</x:v>
      </x:c>
      <x:c r="D52" s="41" t="str">
        <x:v>F046</x:v>
      </x:c>
      <x:c r="E52" s="41" t="str">
        <x:v>新建、导入、编辑、删除和搜索标书</x:v>
      </x:c>
      <x:c r="F52" s="41" t="str">
        <x:v>面向TENDER、ADMIN，支持新建、导入、编辑、删除和搜索标书；正式交付需结合真实数据、权限和验收规则确认。</x:v>
      </x:c>
      <x:c r="G52" s="41" t="str">
        <x:v>TENDER、ADMIN</x:v>
      </x:c>
      <x:c r="H52" s="41" t="str">
        <x:v>进入标书表单后执行</x:v>
      </x:c>
      <x:c r="I52" s="41" t="str">
        <x:v>标书表单</x:v>
      </x:c>
      <x:c r="J52" s="41" t="str">
        <x:v>标书编号/名称、标书来源、回标方式、收到日期/截止日期、负责人</x:v>
      </x:c>
      <x:c r="K52" s="41" t="str">
        <x:v>待确认</x:v>
      </x:c>
      <x:c r="L52" s="41" t="str">
        <x:v>待确认</x:v>
      </x:c>
      <x:c r="M52" s="41" t="str">
        <x:v>可演示</x:v>
      </x:c>
      <x:c r="N52" s="41" t="str">
        <x:v>标书表单</x:v>
      </x:c>
      <x:c r="O52" s="43" t="str">
        <x:v>待确认</x:v>
      </x:c>
      <x:c r="P52" s="43" t="str"/>
      <x:c r="Q52" s="41" t="str">
        <x:v>相关角色可按确认后的规则完成“新建、导入、编辑、删除和搜索标书”，结果、状态和操作记录可查询。</x:v>
      </x:c>
    </x:row>
    <x:row r="53" ht="68" customHeight="1">
      <x:c r="A53" s="41" t="str">
        <x:v>A-047</x:v>
      </x:c>
      <x:c r="B53" s="41" t="str">
        <x:v>标书管理</x:v>
      </x:c>
      <x:c r="C53" s="41" t="str">
        <x:v>P09</x:v>
      </x:c>
      <x:c r="D53" s="41" t="str">
        <x:v>F047</x:v>
      </x:c>
      <x:c r="E53" s="41" t="str">
        <x:v>维护标书来源、回标方式、截止日期和负责人</x:v>
      </x:c>
      <x:c r="F53" s="41" t="str">
        <x:v>面向TENDER，支持维护标书来源、回标方式、截止日期和负责人；正式交付需结合真实数据、权限和验收规则确认。</x:v>
      </x:c>
      <x:c r="G53" s="41" t="str">
        <x:v>TENDER</x:v>
      </x:c>
      <x:c r="H53" s="41" t="str">
        <x:v>进入标书表单后执行</x:v>
      </x:c>
      <x:c r="I53" s="41" t="str">
        <x:v>标书表单</x:v>
      </x:c>
      <x:c r="J53" s="41" t="str">
        <x:v>标书编号/名称、标书来源、回标方式、收到日期/截止日期、负责人</x:v>
      </x:c>
      <x:c r="K53" s="41" t="str">
        <x:v>待确认</x:v>
      </x:c>
      <x:c r="L53" s="41" t="str">
        <x:v>待确认</x:v>
      </x:c>
      <x:c r="M53" s="41" t="str">
        <x:v>可演示</x:v>
      </x:c>
      <x:c r="N53" s="41" t="str">
        <x:v>标书表单</x:v>
      </x:c>
      <x:c r="O53" s="43" t="str">
        <x:v>待确认</x:v>
      </x:c>
      <x:c r="P53" s="43" t="str"/>
      <x:c r="Q53" s="41" t="str">
        <x:v>相关角色可按确认后的规则完成“维护标书来源、回标方式、截止日期和负责人”，结果、状态和操作记录可查询。</x:v>
      </x:c>
    </x:row>
    <x:row r="54" ht="68" customHeight="1">
      <x:c r="A54" s="41" t="str">
        <x:v>A-048</x:v>
      </x:c>
      <x:c r="B54" s="41" t="str">
        <x:v>标书管理</x:v>
      </x:c>
      <x:c r="C54" s="41" t="str">
        <x:v>P09</x:v>
      </x:c>
      <x:c r="D54" s="41" t="str">
        <x:v>F048</x:v>
      </x:c>
      <x:c r="E54" s="41" t="str">
        <x:v>倒计时查看截止日期、投标状态和中标结果</x:v>
      </x:c>
      <x:c r="F54" s="41" t="str">
        <x:v>面向TENDER、BOSS，支持倒计时查看截止日期、投标状态和中标结果；正式交付需结合真实数据、权限和验收规则确认。</x:v>
      </x:c>
      <x:c r="G54" s="41" t="str">
        <x:v>TENDER、BOSS</x:v>
      </x:c>
      <x:c r="H54" s="41" t="str">
        <x:v>进入标书表单后执行</x:v>
      </x:c>
      <x:c r="I54" s="41" t="str">
        <x:v>标书表单</x:v>
      </x:c>
      <x:c r="J54" s="41" t="str">
        <x:v>标书编号/名称、标书来源、回标方式、收到日期/截止日期、负责人</x:v>
      </x:c>
      <x:c r="K54" s="41" t="str">
        <x:v>待确认</x:v>
      </x:c>
      <x:c r="L54" s="41" t="str">
        <x:v>待确认</x:v>
      </x:c>
      <x:c r="M54" s="41" t="str">
        <x:v>可演示</x:v>
      </x:c>
      <x:c r="N54" s="41" t="str">
        <x:v>标书表单</x:v>
      </x:c>
      <x:c r="O54" s="43" t="str">
        <x:v>待确认</x:v>
      </x:c>
      <x:c r="P54" s="43" t="str"/>
      <x:c r="Q54" s="41" t="str">
        <x:v>相关角色可按确认后的规则完成“倒计时查看截止日期、投标状态和中标结果”，结果、状态和操作记录可查询。</x:v>
      </x:c>
    </x:row>
    <x:row r="55" ht="68" customHeight="1">
      <x:c r="A55" s="41" t="str">
        <x:v>A-049</x:v>
      </x:c>
      <x:c r="B55" s="41" t="str">
        <x:v>标书管理</x:v>
      </x:c>
      <x:c r="C55" s="41" t="str">
        <x:v>P09</x:v>
      </x:c>
      <x:c r="D55" s="41" t="str">
        <x:v>F049</x:v>
      </x:c>
      <x:c r="E55" s="41" t="str">
        <x:v>管理标书附件、往来资料和内部备注</x:v>
      </x:c>
      <x:c r="F55" s="41" t="str">
        <x:v>面向TENDER，支持管理标书附件、往来资料和内部备注；正式交付需结合真实数据、权限和验收规则确认。</x:v>
      </x:c>
      <x:c r="G55" s="41" t="str">
        <x:v>TENDER</x:v>
      </x:c>
      <x:c r="H55" s="41" t="str">
        <x:v>进入标书表单后执行</x:v>
      </x:c>
      <x:c r="I55" s="41" t="str">
        <x:v>标书表单</x:v>
      </x:c>
      <x:c r="J55" s="41" t="str">
        <x:v>标书编号/名称、标书来源、回标方式、收到日期/截止日期、负责人</x:v>
      </x:c>
      <x:c r="K55" s="41" t="str">
        <x:v>待确认</x:v>
      </x:c>
      <x:c r="L55" s="41" t="str">
        <x:v>待确认</x:v>
      </x:c>
      <x:c r="M55" s="41" t="str">
        <x:v>可演示</x:v>
      </x:c>
      <x:c r="N55" s="41" t="str">
        <x:v>标书表单</x:v>
      </x:c>
      <x:c r="O55" s="43" t="str">
        <x:v>待确认</x:v>
      </x:c>
      <x:c r="P55" s="43" t="str"/>
      <x:c r="Q55" s="41" t="str">
        <x:v>相关角色可按确认后的规则完成“管理标书附件、往来资料和内部备注”，结果、状态和操作记录可查询。</x:v>
      </x:c>
    </x:row>
    <x:row r="56" ht="68" customHeight="1">
      <x:c r="A56" s="41" t="str">
        <x:v>A-050</x:v>
      </x:c>
      <x:c r="B56" s="41" t="str">
        <x:v>标书管理</x:v>
      </x:c>
      <x:c r="C56" s="41" t="str">
        <x:v>P09</x:v>
      </x:c>
      <x:c r="D56" s="41" t="str">
        <x:v>F050</x:v>
      </x:c>
      <x:c r="E56" s="41" t="str">
        <x:v>按区域、技能、日期和重复周期安排标书相关师傅</x:v>
      </x:c>
      <x:c r="F56" s="41" t="str">
        <x:v>面向TENDER、TL，支持按区域、技能、日期和重复周期安排标书相关师傅；正式交付需结合真实数据、权限和验收规则确认。</x:v>
      </x:c>
      <x:c r="G56" s="41" t="str">
        <x:v>TENDER、TL</x:v>
      </x:c>
      <x:c r="H56" s="41" t="str">
        <x:v>进入标书师傅排程后执行</x:v>
      </x:c>
      <x:c r="I56" s="41" t="str">
        <x:v>标书师傅排程</x:v>
      </x:c>
      <x:c r="J56" s="41" t="str">
        <x:v>标书、师傅、开始/结束日期、重复周期、备注</x:v>
      </x:c>
      <x:c r="K56" s="41" t="str">
        <x:v>待确认</x:v>
      </x:c>
      <x:c r="L56" s="41" t="str">
        <x:v>待确认</x:v>
      </x:c>
      <x:c r="M56" s="41" t="str">
        <x:v>可演示</x:v>
      </x:c>
      <x:c r="N56" s="41" t="str">
        <x:v>标书师傅排程</x:v>
      </x:c>
      <x:c r="O56" s="43" t="str">
        <x:v>待确认</x:v>
      </x:c>
      <x:c r="P56" s="43" t="str"/>
      <x:c r="Q56" s="41" t="str">
        <x:v>相关角色可按确认后的规则完成“按区域、技能、日期和重复周期安排标书相关师傅”，结果、状态和操作记录可查询。</x:v>
      </x:c>
    </x:row>
    <x:row r="57" ht="68" customHeight="1">
      <x:c r="A57" s="41" t="str">
        <x:v>A-051</x:v>
      </x:c>
      <x:c r="B57" s="41" t="str">
        <x:v>备货与采购</x:v>
      </x:c>
      <x:c r="C57" s="41" t="str">
        <x:v>P07</x:v>
      </x:c>
      <x:c r="D57" s="41" t="str">
        <x:v>F051</x:v>
      </x:c>
      <x:c r="E57" s="41" t="str">
        <x:v>报价已中单时自动建立一张关联备货单；采购部在其下手工新建多张采购单，按供应商分单</x:v>
      </x:c>
      <x:c r="F57" s="41" t="str">
        <x:v>已中单报价只创建一张备货单，采购人员可在其下按供应商建立多张采购单。</x:v>
      </x:c>
      <x:c r="G57" s="41" t="str">
        <x:v>PUR、ADMIN</x:v>
      </x:c>
      <x:c r="H57" s="41" t="str">
        <x:v>进入备货单/采购单后执行</x:v>
      </x:c>
      <x:c r="I57" s="41" t="str">
        <x:v>备货单/采购单</x:v>
      </x:c>
      <x:c r="J57" s="41" t="str">
        <x:v>备货单编号、报价/CALL/客户、采购单编号、供应商、物料/数量/单位</x:v>
      </x:c>
      <x:c r="K57" s="41" t="str">
        <x:v>待确认</x:v>
      </x:c>
      <x:c r="L57" s="41" t="str">
        <x:v>待确认</x:v>
      </x:c>
      <x:c r="M57" s="41" t="str">
        <x:v>可演示</x:v>
      </x:c>
      <x:c r="N57" s="41" t="str">
        <x:v>备货单/采购单</x:v>
      </x:c>
      <x:c r="O57" s="43" t="str">
        <x:v>待确认</x:v>
      </x:c>
      <x:c r="P57" s="43" t="str"/>
      <x:c r="Q57" s="41" t="str">
        <x:v>相关角色可按确认后的规则完成“报价已中单时自动建立一张关联备货单；采购部在其下手工新建多张采购单，按供应商分单”，结果、状态和操作记录可查询。</x:v>
      </x:c>
    </x:row>
    <x:row r="58" ht="68" customHeight="1">
      <x:c r="A58" s="41" t="str">
        <x:v>A-052</x:v>
      </x:c>
      <x:c r="B58" s="41" t="str">
        <x:v>备货与采购</x:v>
      </x:c>
      <x:c r="C58" s="41" t="str">
        <x:v>P07</x:v>
      </x:c>
      <x:c r="D58" s="41" t="str">
        <x:v>F052</x:v>
      </x:c>
      <x:c r="E58" s="41" t="str">
        <x:v>跟踪待下单、已下单、已发货、到货和验收状态</x:v>
      </x:c>
      <x:c r="F58" s="41" t="str">
        <x:v>面向PUR、TL，支持跟踪待下单、已下单、已发货、到货和验收状态；正式交付需结合真实数据、权限和验收规则确认。</x:v>
      </x:c>
      <x:c r="G58" s="41" t="str">
        <x:v>PUR、TL</x:v>
      </x:c>
      <x:c r="H58" s="41" t="str">
        <x:v>进入备货单/采购单后执行</x:v>
      </x:c>
      <x:c r="I58" s="41" t="str">
        <x:v>备货单/采购单</x:v>
      </x:c>
      <x:c r="J58" s="41" t="str">
        <x:v>备货单编号、报价/CALL/客户、采购单编号、供应商、物料/数量/单位</x:v>
      </x:c>
      <x:c r="K58" s="41" t="str">
        <x:v>待确认</x:v>
      </x:c>
      <x:c r="L58" s="41" t="str">
        <x:v>待确认</x:v>
      </x:c>
      <x:c r="M58" s="41" t="str">
        <x:v>可演示</x:v>
      </x:c>
      <x:c r="N58" s="41" t="str">
        <x:v>备货单/采购单</x:v>
      </x:c>
      <x:c r="O58" s="43" t="str">
        <x:v>待确认</x:v>
      </x:c>
      <x:c r="P58" s="43" t="str"/>
      <x:c r="Q58" s="41" t="str">
        <x:v>相关角色可按确认后的规则完成“跟踪待下单、已下单、已发货、到货和验收状态”，结果、状态和操作记录可查询。</x:v>
      </x:c>
    </x:row>
    <x:row r="59" ht="68" customHeight="1">
      <x:c r="A59" s="41" t="str">
        <x:v>A-053</x:v>
      </x:c>
      <x:c r="B59" s="41" t="str">
        <x:v>备货与采购</x:v>
      </x:c>
      <x:c r="C59" s="41" t="str">
        <x:v>P07</x:v>
      </x:c>
      <x:c r="D59" s="41" t="str">
        <x:v>F053</x:v>
      </x:c>
      <x:c r="E59" s="41" t="str">
        <x:v>管理供应商和合作状态</x:v>
      </x:c>
      <x:c r="F59" s="41" t="str">
        <x:v>面向PUR、ADMIN，支持管理供应商和合作状态；正式交付需结合真实数据、权限和验收规则确认。</x:v>
      </x:c>
      <x:c r="G59" s="41" t="str">
        <x:v>PUR、ADMIN</x:v>
      </x:c>
      <x:c r="H59" s="41" t="str">
        <x:v>进入供应商档案后执行</x:v>
      </x:c>
      <x:c r="I59" s="41" t="str">
        <x:v>供应商档案</x:v>
      </x:c>
      <x:c r="J59" s="41" t="str">
        <x:v>供应商编号/名称、联系人/电话/邮箱、供应类别、合作状态、备注</x:v>
      </x:c>
      <x:c r="K59" s="41" t="str">
        <x:v>待确认</x:v>
      </x:c>
      <x:c r="L59" s="41" t="str">
        <x:v>待确认</x:v>
      </x:c>
      <x:c r="M59" s="41" t="str">
        <x:v>可演示</x:v>
      </x:c>
      <x:c r="N59" s="41" t="str">
        <x:v>供应商档案</x:v>
      </x:c>
      <x:c r="O59" s="43" t="str">
        <x:v>待确认</x:v>
      </x:c>
      <x:c r="P59" s="43" t="str"/>
      <x:c r="Q59" s="41" t="str">
        <x:v>相关角色可按确认后的规则完成“管理供应商和合作状态”，结果、状态和操作记录可查询。</x:v>
      </x:c>
    </x:row>
    <x:row r="60" ht="68" customHeight="1">
      <x:c r="A60" s="41" t="str">
        <x:v>A-054</x:v>
      </x:c>
      <x:c r="B60" s="41" t="str">
        <x:v>备货与采购</x:v>
      </x:c>
      <x:c r="C60" s="41" t="str">
        <x:v>P07</x:v>
      </x:c>
      <x:c r="D60" s="41" t="str">
        <x:v>F054</x:v>
      </x:c>
      <x:c r="E60" s="41" t="str">
        <x:v>关联报价、CALL、工单、物料和到货状态</x:v>
      </x:c>
      <x:c r="F60" s="41" t="str">
        <x:v>面向PUR、QUO、TL，支持关联报价、CALL、工单、物料和到货状态；正式交付需结合真实数据、权限和验收规则确认。</x:v>
      </x:c>
      <x:c r="G60" s="41" t="str">
        <x:v>PUR、QUO、TL</x:v>
      </x:c>
      <x:c r="H60" s="41" t="str">
        <x:v>进入备货单/采购单后执行</x:v>
      </x:c>
      <x:c r="I60" s="41" t="str">
        <x:v>备货单/采购单</x:v>
      </x:c>
      <x:c r="J60" s="41" t="str">
        <x:v>备货单编号、报价/CALL/客户、采购单编号、供应商、物料/数量/单位</x:v>
      </x:c>
      <x:c r="K60" s="41" t="str">
        <x:v>待确认</x:v>
      </x:c>
      <x:c r="L60" s="41" t="str">
        <x:v>待确认</x:v>
      </x:c>
      <x:c r="M60" s="41" t="str">
        <x:v>可演示</x:v>
      </x:c>
      <x:c r="N60" s="41" t="str">
        <x:v>备货单/采购单</x:v>
      </x:c>
      <x:c r="O60" s="43" t="str">
        <x:v>待确认</x:v>
      </x:c>
      <x:c r="P60" s="43" t="str"/>
      <x:c r="Q60" s="41" t="str">
        <x:v>相关角色可按确认后的规则完成“关联报价、CALL、工单、物料和到货状态”，结果、状态和操作记录可查询。</x:v>
      </x:c>
    </x:row>
    <x:row r="61" ht="68" customHeight="1">
      <x:c r="A61" s="41" t="str">
        <x:v>A-055</x:v>
      </x:c>
      <x:c r="B61" s="41" t="str">
        <x:v>备货与采购</x:v>
      </x:c>
      <x:c r="C61" s="41" t="str">
        <x:v>P07</x:v>
      </x:c>
      <x:c r="D61" s="41" t="str">
        <x:v>F055</x:v>
      </x:c>
      <x:c r="E61" s="41" t="str">
        <x:v>采购验收完成时可选择自动创建待分派工单</x:v>
      </x:c>
      <x:c r="F61" s="41" t="str">
        <x:v>采购验收后是否自动建立待分派CALL由客户决定。</x:v>
      </x:c>
      <x:c r="G61" s="41" t="str">
        <x:v>PUR、TL</x:v>
      </x:c>
      <x:c r="H61" s="41" t="str">
        <x:v>进入备货单/采购单后执行</x:v>
      </x:c>
      <x:c r="I61" s="41" t="str">
        <x:v>备货单/采购单</x:v>
      </x:c>
      <x:c r="J61" s="41" t="str">
        <x:v>备货单编号、报价/CALL/客户、采购单编号、供应商、物料/数量/单位</x:v>
      </x:c>
      <x:c r="K61" s="41" t="str">
        <x:v>待确认</x:v>
      </x:c>
      <x:c r="L61" s="41" t="str">
        <x:v>待确认</x:v>
      </x:c>
      <x:c r="M61" s="41" t="str">
        <x:v>流程演示</x:v>
      </x:c>
      <x:c r="N61" s="41" t="str">
        <x:v>备货单/采购单</x:v>
      </x:c>
      <x:c r="O61" s="43" t="str">
        <x:v>待确认</x:v>
      </x:c>
      <x:c r="P61" s="43" t="str"/>
      <x:c r="Q61" s="41" t="str">
        <x:v>相关角色可按确认后的规则完成“采购验收完成时可选择自动创建待分派工单”，结果、状态和操作记录可查询。</x:v>
      </x:c>
    </x:row>
    <x:row r="62" ht="68" customHeight="1">
      <x:c r="A62" s="41" t="str">
        <x:v>A-056</x:v>
      </x:c>
      <x:c r="B62" s="41" t="str">
        <x:v>备货与采购</x:v>
      </x:c>
      <x:c r="C62" s="41" t="str">
        <x:v>P07</x:v>
      </x:c>
      <x:c r="D62" s="41" t="str">
        <x:v>F056</x:v>
      </x:c>
      <x:c r="E62" s="41" t="str">
        <x:v>新建工单时使用原工单编号加后缀的规则</x:v>
      </x:c>
      <x:c r="F62" s="41" t="str">
        <x:v>面向PUR、TL，支持新建工单时使用原工单编号加后缀的规则；正式交付需结合真实数据、权限和验收规则确认。</x:v>
      </x:c>
      <x:c r="G62" s="41" t="str">
        <x:v>PUR、TL</x:v>
      </x:c>
      <x:c r="H62" s="41" t="str">
        <x:v>进入备货单/采购单后执行</x:v>
      </x:c>
      <x:c r="I62" s="41" t="str">
        <x:v>备货单/采购单</x:v>
      </x:c>
      <x:c r="J62" s="41" t="str">
        <x:v>备货单编号、报价/CALL/客户、采购单编号、供应商、物料/数量/单位</x:v>
      </x:c>
      <x:c r="K62" s="41" t="str">
        <x:v>待确认</x:v>
      </x:c>
      <x:c r="L62" s="41" t="str">
        <x:v>待确认</x:v>
      </x:c>
      <x:c r="M62" s="41" t="str">
        <x:v>可演示</x:v>
      </x:c>
      <x:c r="N62" s="41" t="str">
        <x:v>备货单/采购单</x:v>
      </x:c>
      <x:c r="O62" s="43" t="str">
        <x:v>待确认</x:v>
      </x:c>
      <x:c r="P62" s="43" t="str"/>
      <x:c r="Q62" s="41" t="str">
        <x:v>相关角色可按确认后的规则完成“新建工单时使用原工单编号加后缀的规则”，结果、状态和操作记录可查询。</x:v>
      </x:c>
    </x:row>
    <x:row r="63" ht="68" customHeight="1">
      <x:c r="A63" s="41" t="str">
        <x:v>A-057</x:v>
      </x:c>
      <x:c r="B63" s="41" t="str">
        <x:v>会计与外部接口</x:v>
      </x:c>
      <x:c r="C63" s="41" t="str">
        <x:v>P11</x:v>
      </x:c>
      <x:c r="D63" s="41" t="str">
        <x:v>F057</x:v>
      </x:c>
      <x:c r="E63" s="41" t="str">
        <x:v>查看待开票项目、筛选、批量开票和打印</x:v>
      </x:c>
      <x:c r="F63" s="41" t="str">
        <x:v>面向FIN，支持查看待开票项目、筛选、批量开票和打印；正式交付需结合真实数据、权限和验收规则确认。</x:v>
      </x:c>
      <x:c r="G63" s="41" t="str">
        <x:v>FIN</x:v>
      </x:c>
      <x:c r="H63" s="41" t="str">
        <x:v>进入待开票/发票管理后执行</x:v>
      </x:c>
      <x:c r="I63" s="41" t="str">
        <x:v>待开票/发票管理</x:v>
      </x:c>
      <x:c r="J63" s="41" t="str">
        <x:v>Job Code/客户、描述/类型、开票金额、Billing Period、服务起止日期</x:v>
      </x:c>
      <x:c r="K63" s="41" t="str">
        <x:v>待确认</x:v>
      </x:c>
      <x:c r="L63" s="41" t="str">
        <x:v>待确认</x:v>
      </x:c>
      <x:c r="M63" s="41" t="str">
        <x:v>流程演示</x:v>
      </x:c>
      <x:c r="N63" s="41" t="str">
        <x:v>待开票/发票管理</x:v>
      </x:c>
      <x:c r="O63" s="43" t="str">
        <x:v>待确认</x:v>
      </x:c>
      <x:c r="P63" s="43" t="str"/>
      <x:c r="Q63" s="41" t="str">
        <x:v>相关角色可按确认后的规则完成“查看待开票项目、筛选、批量开票和打印”，结果、状态和操作记录可查询。</x:v>
      </x:c>
    </x:row>
    <x:row r="64" ht="68" customHeight="1">
      <x:c r="A64" s="41" t="str">
        <x:v>A-058</x:v>
      </x:c>
      <x:c r="B64" s="41" t="str">
        <x:v>会计与外部接口</x:v>
      </x:c>
      <x:c r="C64" s="41" t="str">
        <x:v>P11</x:v>
      </x:c>
      <x:c r="D64" s="41" t="str">
        <x:v>F058</x:v>
      </x:c>
      <x:c r="E64" s="41" t="str">
        <x:v>管理发票金额、账期、重印和收款状态</x:v>
      </x:c>
      <x:c r="F64" s="41" t="str">
        <x:v>面向FIN，支持管理发票金额、账期、重印和收款状态；正式交付需结合真实数据、权限和验收规则确认。</x:v>
      </x:c>
      <x:c r="G64" s="41" t="str">
        <x:v>FIN</x:v>
      </x:c>
      <x:c r="H64" s="41" t="str">
        <x:v>进入待开票/发票管理后执行</x:v>
      </x:c>
      <x:c r="I64" s="41" t="str">
        <x:v>待开票/发票管理</x:v>
      </x:c>
      <x:c r="J64" s="41" t="str">
        <x:v>Job Code/客户、描述/类型、开票金额、Billing Period、服务起止日期</x:v>
      </x:c>
      <x:c r="K64" s="41" t="str">
        <x:v>待确认</x:v>
      </x:c>
      <x:c r="L64" s="41" t="str">
        <x:v>待确认</x:v>
      </x:c>
      <x:c r="M64" s="41" t="str">
        <x:v>流程演示</x:v>
      </x:c>
      <x:c r="N64" s="41" t="str">
        <x:v>待开票/发票管理</x:v>
      </x:c>
      <x:c r="O64" s="43" t="str">
        <x:v>待确认</x:v>
      </x:c>
      <x:c r="P64" s="43" t="str"/>
      <x:c r="Q64" s="41" t="str">
        <x:v>相关角色可按确认后的规则完成“管理发票金额、账期、重印和收款状态”，结果、状态和操作记录可查询。</x:v>
      </x:c>
    </x:row>
    <x:row r="65" ht="68" customHeight="1">
      <x:c r="A65" s="41" t="str">
        <x:v>A-059</x:v>
      </x:c>
      <x:c r="B65" s="41" t="str">
        <x:v>会计与外部接口</x:v>
      </x:c>
      <x:c r="C65" s="41" t="str">
        <x:v>P11</x:v>
      </x:c>
      <x:c r="D65" s="41" t="str">
        <x:v>F059</x:v>
      </x:c>
      <x:c r="E65" s="41" t="str">
        <x:v>管理收款、收据编号和收据打印</x:v>
      </x:c>
      <x:c r="F65" s="41" t="str">
        <x:v>面向FIN，支持管理收款、收据编号和收据打印；正式交付需结合真实数据、权限和验收规则确认。</x:v>
      </x:c>
      <x:c r="G65" s="41" t="str">
        <x:v>FIN</x:v>
      </x:c>
      <x:c r="H65" s="41" t="str">
        <x:v>进入收款/收据后执行</x:v>
      </x:c>
      <x:c r="I65" s="41" t="str">
        <x:v>收款/收据</x:v>
      </x:c>
      <x:c r="J65" s="41" t="str">
        <x:v>发票编号/客户、收款日期、金额、方式、收据编号</x:v>
      </x:c>
      <x:c r="K65" s="41" t="str">
        <x:v>待确认</x:v>
      </x:c>
      <x:c r="L65" s="41" t="str">
        <x:v>待确认</x:v>
      </x:c>
      <x:c r="M65" s="41" t="str">
        <x:v>流程演示</x:v>
      </x:c>
      <x:c r="N65" s="41" t="str">
        <x:v>收款/收据</x:v>
      </x:c>
      <x:c r="O65" s="43" t="str">
        <x:v>待确认</x:v>
      </x:c>
      <x:c r="P65" s="43" t="str"/>
      <x:c r="Q65" s="41" t="str">
        <x:v>相关角色可按确认后的规则完成“管理收款、收据编号和收据打印”，结果、状态和操作记录可查询。</x:v>
      </x:c>
    </x:row>
    <x:row r="66" ht="68" customHeight="1">
      <x:c r="A66" s="41" t="str">
        <x:v>A-060</x:v>
      </x:c>
      <x:c r="B66" s="41" t="str">
        <x:v>会计与外部接口</x:v>
      </x:c>
      <x:c r="C66" s="41" t="str">
        <x:v>P11</x:v>
      </x:c>
      <x:c r="D66" s="41" t="str">
        <x:v>F060</x:v>
      </x:c>
      <x:c r="E66" s="41" t="str">
        <x:v>维护会计客户、账单地址、收件人和账期</x:v>
      </x:c>
      <x:c r="F66" s="41" t="str">
        <x:v>面向FIN，支持维护会计客户、账单地址、收件人和账期；正式交付需结合真实数据、权限和验收规则确认。</x:v>
      </x:c>
      <x:c r="G66" s="41" t="str">
        <x:v>FIN</x:v>
      </x:c>
      <x:c r="H66" s="41" t="str">
        <x:v>进入会计客户/保养合约后执行</x:v>
      </x:c>
      <x:c r="I66" s="41" t="str">
        <x:v>会计客户/保养合约</x:v>
      </x:c>
      <x:c r="J66" s="41" t="str">
        <x:v>财务客户编号/名称、账单地址/收件人、付款账期、合约编号、起止日期</x:v>
      </x:c>
      <x:c r="K66" s="41" t="str">
        <x:v>待确认</x:v>
      </x:c>
      <x:c r="L66" s="41" t="str">
        <x:v>待确认</x:v>
      </x:c>
      <x:c r="M66" s="41" t="str">
        <x:v>可演示</x:v>
      </x:c>
      <x:c r="N66" s="41" t="str">
        <x:v>会计客户/保养合约</x:v>
      </x:c>
      <x:c r="O66" s="43" t="str">
        <x:v>待确认</x:v>
      </x:c>
      <x:c r="P66" s="43" t="str"/>
      <x:c r="Q66" s="41" t="str">
        <x:v>相关角色可按确认后的规则完成“维护会计客户、账单地址、收件人和账期”，结果、状态和操作记录可查询。</x:v>
      </x:c>
    </x:row>
    <x:row r="67" ht="68" customHeight="1">
      <x:c r="A67" s="41" t="str">
        <x:v>A-061</x:v>
      </x:c>
      <x:c r="B67" s="41" t="str">
        <x:v>会计与外部接口</x:v>
      </x:c>
      <x:c r="C67" s="41" t="str">
        <x:v>P11</x:v>
      </x:c>
      <x:c r="D67" s="41" t="str">
        <x:v>F061</x:v>
      </x:c>
      <x:c r="E67" s="41" t="str">
        <x:v>按保养合约日期和频率生成月结待开发票</x:v>
      </x:c>
      <x:c r="F67" s="41" t="str">
        <x:v>面向FIN，支持按保养合约日期和频率生成月结待开发票；正式交付需结合真实数据、权限和验收规则确认。</x:v>
      </x:c>
      <x:c r="G67" s="41" t="str">
        <x:v>FIN</x:v>
      </x:c>
      <x:c r="H67" s="41" t="str">
        <x:v>进入会计客户/保养合约后执行</x:v>
      </x:c>
      <x:c r="I67" s="41" t="str">
        <x:v>会计客户/保养合约</x:v>
      </x:c>
      <x:c r="J67" s="41" t="str">
        <x:v>财务客户编号/名称、账单地址/收件人、付款账期、合约编号、起止日期</x:v>
      </x:c>
      <x:c r="K67" s="41" t="str">
        <x:v>待确认</x:v>
      </x:c>
      <x:c r="L67" s="41" t="str">
        <x:v>待确认</x:v>
      </x:c>
      <x:c r="M67" s="41" t="str">
        <x:v>流程演示</x:v>
      </x:c>
      <x:c r="N67" s="41" t="str">
        <x:v>会计客户/保养合约</x:v>
      </x:c>
      <x:c r="O67" s="43" t="str">
        <x:v>待确认</x:v>
      </x:c>
      <x:c r="P67" s="43" t="str"/>
      <x:c r="Q67" s="41" t="str">
        <x:v>相关角色可按确认后的规则完成“按保养合约日期和频率生成月结待开发票”，结果、状态和操作记录可查询。</x:v>
      </x:c>
    </x:row>
    <x:row r="68" ht="68" customHeight="1">
      <x:c r="A68" s="41" t="str">
        <x:v>A-062</x:v>
      </x:c>
      <x:c r="B68" s="41" t="str">
        <x:v>会计与外部接口</x:v>
      </x:c>
      <x:c r="C68" s="41" t="str">
        <x:v>P11</x:v>
      </x:c>
      <x:c r="D68" s="41" t="str">
        <x:v>F062</x:v>
      </x:c>
      <x:c r="E68" s="41" t="str">
        <x:v>配置并模拟同步 Peachtree 客户、发票和收款</x:v>
      </x:c>
      <x:c r="F68" s="41" t="str">
        <x:v>原型仅模拟Peachtree同步，真实版本、接口方向、鉴权和验收标准待确认。</x:v>
      </x:c>
      <x:c r="G68" s="41" t="str">
        <x:v>FIN、ADMIN、IT</x:v>
      </x:c>
      <x:c r="H68" s="41" t="str">
        <x:v>进入Peachtree接口配置后执行</x:v>
      </x:c>
      <x:c r="I68" s="41" t="str">
        <x:v>Peachtree接口配置</x:v>
      </x:c>
      <x:c r="J68" s="41" t="str">
        <x:v>系统版本/地址、鉴权方式、数据对象、同步方向、最后同步时间</x:v>
      </x:c>
      <x:c r="K68" s="41" t="str">
        <x:v>待确认</x:v>
      </x:c>
      <x:c r="L68" s="41" t="str">
        <x:v>待确认</x:v>
      </x:c>
      <x:c r="M68" s="41" t="str">
        <x:v>流程演示</x:v>
      </x:c>
      <x:c r="N68" s="41" t="str">
        <x:v>Peachtree接口配置</x:v>
      </x:c>
      <x:c r="O68" s="43" t="str">
        <x:v>待确认</x:v>
      </x:c>
      <x:c r="P68" s="43" t="str"/>
      <x:c r="Q68" s="41" t="str">
        <x:v>相关角色可按确认后的规则完成“配置并模拟同步 Peachtree 客户、发票和收款”，结果、状态和操作记录可查询。</x:v>
      </x:c>
    </x:row>
    <x:row r="69" ht="68" customHeight="1">
      <x:c r="A69" s="41" t="str">
        <x:v>A-063</x:v>
      </x:c>
      <x:c r="B69" s="41" t="str">
        <x:v>统计、客户和基础设置</x:v>
      </x:c>
      <x:c r="C69" s="41" t="str">
        <x:v>P12</x:v>
      </x:c>
      <x:c r="D69" s="41" t="str">
        <x:v>F063</x:v>
      </x:c>
      <x:c r="E69" s="41" t="str">
        <x:v>按状态、类型、区域、师傅和客户统计 CALL</x:v>
      </x:c>
      <x:c r="F69" s="41" t="str">
        <x:v>面向TL、ADMIN、BOSS，支持按状态、类型、区域、师傅和客户统计 CALL；正式交付需结合真实数据、权限和验收规则确认。</x:v>
      </x:c>
      <x:c r="G69" s="41" t="str">
        <x:v>TL、ADMIN、BOSS</x:v>
      </x:c>
      <x:c r="H69" s="41" t="str">
        <x:v>进入统计报表后执行</x:v>
      </x:c>
      <x:c r="I69" s="41" t="str">
        <x:v>统计报表</x:v>
      </x:c>
      <x:c r="J69" s="41" t="str">
        <x:v>统计日期范围、状态/类型/区域/师傅/客户、CALL数量、最近7天趋势、未完成/SR待签名/资料缺失</x:v>
      </x:c>
      <x:c r="K69" s="41" t="str">
        <x:v>待确认</x:v>
      </x:c>
      <x:c r="L69" s="41" t="str">
        <x:v>待确认</x:v>
      </x:c>
      <x:c r="M69" s="41" t="str">
        <x:v>可演示</x:v>
      </x:c>
      <x:c r="N69" s="41" t="str">
        <x:v>统计报表</x:v>
      </x:c>
      <x:c r="O69" s="43" t="str">
        <x:v>待确认</x:v>
      </x:c>
      <x:c r="P69" s="43" t="str"/>
      <x:c r="Q69" s="41" t="str">
        <x:v>相关角色可按确认后的规则完成“按状态、类型、区域、师傅和客户统计 CALL”，结果、状态和操作记录可查询。</x:v>
      </x:c>
    </x:row>
    <x:row r="70" ht="68" customHeight="1">
      <x:c r="A70" s="41" t="str">
        <x:v>A-064</x:v>
      </x:c>
      <x:c r="B70" s="41" t="str">
        <x:v>统计、客户和基础设置</x:v>
      </x:c>
      <x:c r="C70" s="41" t="str">
        <x:v>P12</x:v>
      </x:c>
      <x:c r="D70" s="41" t="str">
        <x:v>F064</x:v>
      </x:c>
      <x:c r="E70" s="41" t="str">
        <x:v>查看最近 7 天趋势和报价中单统计</x:v>
      </x:c>
      <x:c r="F70" s="41" t="str">
        <x:v>面向TL、ADMIN、BOSS、QUO，支持查看最近 7 天趋势和报价中单统计；正式交付需结合真实数据、权限和验收规则确认。</x:v>
      </x:c>
      <x:c r="G70" s="41" t="str">
        <x:v>TL、ADMIN、BOSS、QUO</x:v>
      </x:c>
      <x:c r="H70" s="41" t="str">
        <x:v>进入统计报表后执行</x:v>
      </x:c>
      <x:c r="I70" s="41" t="str">
        <x:v>统计报表</x:v>
      </x:c>
      <x:c r="J70" s="41" t="str">
        <x:v>统计日期范围、状态/类型/区域/师傅/客户、CALL数量、最近7天趋势、未完成/SR待签名/资料缺失</x:v>
      </x:c>
      <x:c r="K70" s="41" t="str">
        <x:v>待确认</x:v>
      </x:c>
      <x:c r="L70" s="41" t="str">
        <x:v>待确认</x:v>
      </x:c>
      <x:c r="M70" s="41" t="str">
        <x:v>可演示</x:v>
      </x:c>
      <x:c r="N70" s="41" t="str">
        <x:v>统计报表</x:v>
      </x:c>
      <x:c r="O70" s="43" t="str">
        <x:v>待确认</x:v>
      </x:c>
      <x:c r="P70" s="43" t="str"/>
      <x:c r="Q70" s="41" t="str">
        <x:v>相关角色可按确认后的规则完成“查看最近 7 天趋势和报价中单统计”，结果、状态和操作记录可查询。</x:v>
      </x:c>
    </x:row>
    <x:row r="71" ht="68" customHeight="1">
      <x:c r="A71" s="41" t="str">
        <x:v>A-065</x:v>
      </x:c>
      <x:c r="B71" s="41" t="str">
        <x:v>统计、客户和基础设置</x:v>
      </x:c>
      <x:c r="C71" s="41" t="str">
        <x:v>P12</x:v>
      </x:c>
      <x:c r="D71" s="41" t="str">
        <x:v>F065</x:v>
      </x:c>
      <x:c r="E71" s="41" t="str">
        <x:v>查看未完成、SR 待签名和资料缺失提醒</x:v>
      </x:c>
      <x:c r="F71" s="41" t="str">
        <x:v>面向TL、ADMIN，支持查看未完成、SR 待签名和资料缺失提醒；正式交付需结合真实数据、权限和验收规则确认。</x:v>
      </x:c>
      <x:c r="G71" s="41" t="str">
        <x:v>TL、ADMIN</x:v>
      </x:c>
      <x:c r="H71" s="41" t="str">
        <x:v>进入统计报表后执行</x:v>
      </x:c>
      <x:c r="I71" s="41" t="str">
        <x:v>统计报表</x:v>
      </x:c>
      <x:c r="J71" s="41" t="str">
        <x:v>统计日期范围、状态/类型/区域/师傅/客户、CALL数量、最近7天趋势、未完成/SR待签名/资料缺失</x:v>
      </x:c>
      <x:c r="K71" s="41" t="str">
        <x:v>待确认</x:v>
      </x:c>
      <x:c r="L71" s="41" t="str">
        <x:v>待确认</x:v>
      </x:c>
      <x:c r="M71" s="41" t="str">
        <x:v>可演示</x:v>
      </x:c>
      <x:c r="N71" s="41" t="str">
        <x:v>统计报表</x:v>
      </x:c>
      <x:c r="O71" s="43" t="str">
        <x:v>待确认</x:v>
      </x:c>
      <x:c r="P71" s="43" t="str"/>
      <x:c r="Q71" s="41" t="str">
        <x:v>相关角色可按确认后的规则完成“查看未完成、SR 待签名和资料缺失提醒”，结果、状态和操作记录可查询。</x:v>
      </x:c>
    </x:row>
    <x:row r="72" ht="68" customHeight="1">
      <x:c r="A72" s="41" t="str">
        <x:v>A-066</x:v>
      </x:c>
      <x:c r="B72" s="41" t="str">
        <x:v>统计、客户和基础设置</x:v>
      </x:c>
      <x:c r="C72" s="41" t="str">
        <x:v>P12</x:v>
      </x:c>
      <x:c r="D72" s="41" t="str">
        <x:v>F066</x:v>
      </x:c>
      <x:c r="E72" s="41" t="str">
        <x:v>按角色、状态、工号、电话和邮箱管理用户</x:v>
      </x:c>
      <x:c r="F72" s="41" t="str">
        <x:v>面向ADMIN，支持按角色、状态、工号、电话和邮箱管理用户；正式交付需结合真实数据、权限和验收规则确认。</x:v>
      </x:c>
      <x:c r="G72" s="41" t="str">
        <x:v>ADMIN</x:v>
      </x:c>
      <x:c r="H72" s="41" t="str">
        <x:v>进入用户管理后执行</x:v>
      </x:c>
      <x:c r="I72" s="41" t="str">
        <x:v>用户管理</x:v>
      </x:c>
      <x:c r="J72" s="41" t="str">
        <x:v>姓名/工号、电话/邮箱、角色、所属区域/主管、技能</x:v>
      </x:c>
      <x:c r="K72" s="41" t="str">
        <x:v>待确认</x:v>
      </x:c>
      <x:c r="L72" s="41" t="str">
        <x:v>待确认</x:v>
      </x:c>
      <x:c r="M72" s="41" t="str">
        <x:v>可演示</x:v>
      </x:c>
      <x:c r="N72" s="41" t="str">
        <x:v>用户管理</x:v>
      </x:c>
      <x:c r="O72" s="43" t="str">
        <x:v>待确认</x:v>
      </x:c>
      <x:c r="P72" s="43" t="str"/>
      <x:c r="Q72" s="41" t="str">
        <x:v>相关角色可按确认后的规则完成“按角色、状态、工号、电话和邮箱管理用户”，结果、状态和操作记录可查询。</x:v>
      </x:c>
    </x:row>
    <x:row r="73" ht="68" customHeight="1">
      <x:c r="A73" s="41" t="str">
        <x:v>A-067</x:v>
      </x:c>
      <x:c r="B73" s="41" t="str">
        <x:v>统计、客户和基础设置</x:v>
      </x:c>
      <x:c r="C73" s="41" t="str">
        <x:v>P12</x:v>
      </x:c>
      <x:c r="D73" s="41" t="str">
        <x:v>F067</x:v>
      </x:c>
      <x:c r="E73" s="41" t="str">
        <x:v>管理客户、联系人、标准地点、区域和客户权限</x:v>
      </x:c>
      <x:c r="F73" s="41" t="str">
        <x:v>面向CS、CR、ADMIN，支持管理客户、联系人、标准地点、区域和客户权限；正式交付需结合真实数据、权限和验收规则确认。</x:v>
      </x:c>
      <x:c r="G73" s="41" t="str">
        <x:v>CS、CR、ADMIN</x:v>
      </x:c>
      <x:c r="H73" s="41" t="str">
        <x:v>进入客户/联系人/地点管理后执行</x:v>
      </x:c>
      <x:c r="I73" s="41" t="str">
        <x:v>客户/联系人/地点管理</x:v>
      </x:c>
      <x:c r="J73" s="41" t="str">
        <x:v>客户编号/中英文名称、客户类型/等级/状态、Peachtree ID、姓名/职位/电话/WhatsApp/邮箱、区域/中英文地址</x:v>
      </x:c>
      <x:c r="K73" s="41" t="str">
        <x:v>待确认</x:v>
      </x:c>
      <x:c r="L73" s="41" t="str">
        <x:v>待确认</x:v>
      </x:c>
      <x:c r="M73" s="41" t="str">
        <x:v>可演示</x:v>
      </x:c>
      <x:c r="N73" s="41" t="str">
        <x:v>客户/联系人/地点管理</x:v>
      </x:c>
      <x:c r="O73" s="43" t="str">
        <x:v>待确认</x:v>
      </x:c>
      <x:c r="P73" s="43" t="str"/>
      <x:c r="Q73" s="41" t="str">
        <x:v>相关角色可按确认后的规则完成“管理客户、联系人、标准地点、区域和客户权限”，结果、状态和操作记录可查询。</x:v>
      </x:c>
    </x:row>
    <x:row r="74" ht="68" customHeight="1">
      <x:c r="A74" s="41" t="str">
        <x:v>A-068</x:v>
      </x:c>
      <x:c r="B74" s="41" t="str">
        <x:v>统计、客户和基础设置</x:v>
      </x:c>
      <x:c r="C74" s="41" t="str">
        <x:v>P12</x:v>
      </x:c>
      <x:c r="D74" s="41" t="str">
        <x:v>F068</x:v>
      </x:c>
      <x:c r="E74" s="41" t="str">
        <x:v>管理工单类型、区域、CALL 代码、状态说明和通知规则</x:v>
      </x:c>
      <x:c r="F74" s="41" t="str">
        <x:v>面向ADMIN，支持管理工单类型、区域、CALL 代码、状态说明和通知规则；正式交付需结合真实数据、权限和验收规则确认。</x:v>
      </x:c>
      <x:c r="G74" s="41" t="str">
        <x:v>ADMIN</x:v>
      </x:c>
      <x:c r="H74" s="41" t="str">
        <x:v>进入业务字典管理后执行</x:v>
      </x:c>
      <x:c r="I74" s="41" t="str">
        <x:v>业务字典管理</x:v>
      </x:c>
      <x:c r="J74" s="41" t="str">
        <x:v>字典类别、代码、名称/说明、排序、启用状态</x:v>
      </x:c>
      <x:c r="K74" s="41" t="str">
        <x:v>待确认</x:v>
      </x:c>
      <x:c r="L74" s="41" t="str">
        <x:v>待确认</x:v>
      </x:c>
      <x:c r="M74" s="41" t="str">
        <x:v>可演示</x:v>
      </x:c>
      <x:c r="N74" s="41" t="str">
        <x:v>业务字典管理</x:v>
      </x:c>
      <x:c r="O74" s="43" t="str">
        <x:v>待确认</x:v>
      </x:c>
      <x:c r="P74" s="43" t="str"/>
      <x:c r="Q74" s="41" t="str">
        <x:v>相关角色可按确认后的规则完成“管理工单类型、区域、CALL 代码、状态说明和通知规则”，结果、状态和操作记录可查询。</x:v>
      </x:c>
    </x:row>
    <x:row r="75" ht="68" customHeight="1">
      <x:c r="A75" s="41" t="str">
        <x:v>A-069</x:v>
      </x:c>
      <x:c r="B75" s="41" t="str">
        <x:v>统计、客户和基础设置</x:v>
      </x:c>
      <x:c r="C75" s="41" t="str">
        <x:v>P12</x:v>
      </x:c>
      <x:c r="D75" s="41" t="str">
        <x:v>F069</x:v>
      </x:c>
      <x:c r="E75" s="41" t="str">
        <x:v>管理报价类别、标书来源、回标方式和标书状态</x:v>
      </x:c>
      <x:c r="F75" s="41" t="str">
        <x:v>面向ADMIN、QUO、TENDER，支持管理报价类别、标书来源、回标方式和标书状态；正式交付需结合真实数据、权限和验收规则确认。</x:v>
      </x:c>
      <x:c r="G75" s="41" t="str">
        <x:v>ADMIN、QUO、TENDER</x:v>
      </x:c>
      <x:c r="H75" s="41" t="str">
        <x:v>进入业务字典管理后执行</x:v>
      </x:c>
      <x:c r="I75" s="41" t="str">
        <x:v>业务字典管理</x:v>
      </x:c>
      <x:c r="J75" s="41" t="str">
        <x:v>字典类别、代码、名称/说明、排序、启用状态</x:v>
      </x:c>
      <x:c r="K75" s="41" t="str">
        <x:v>待确认</x:v>
      </x:c>
      <x:c r="L75" s="41" t="str">
        <x:v>待确认</x:v>
      </x:c>
      <x:c r="M75" s="41" t="str">
        <x:v>可演示</x:v>
      </x:c>
      <x:c r="N75" s="41" t="str">
        <x:v>业务字典管理</x:v>
      </x:c>
      <x:c r="O75" s="43" t="str">
        <x:v>待确认</x:v>
      </x:c>
      <x:c r="P75" s="43" t="str"/>
      <x:c r="Q75" s="41" t="str">
        <x:v>相关角色可按确认后的规则完成“管理报价类别、标书来源、回标方式和标书状态”，结果、状态和操作记录可查询。</x:v>
      </x:c>
    </x:row>
    <x:row r="76" ht="68" customHeight="1">
      <x:c r="A76" s="41" t="str">
        <x:v>A-070</x:v>
      </x:c>
      <x:c r="B76" s="41" t="str">
        <x:v>统计、客户和基础设置</x:v>
      </x:c>
      <x:c r="C76" s="41" t="str">
        <x:v>P12</x:v>
      </x:c>
      <x:c r="D76" s="41" t="str">
        <x:v>F070</x:v>
      </x:c>
      <x:c r="E76" s="41" t="str">
        <x:v>Excel 导入客户、工单、报价、发票和收款记录</x:v>
      </x:c>
      <x:c r="F76" s="41" t="str">
        <x:v>面向ADMIN，支持Excel 导入客户、工单、报价、发票和收款记录；正式交付需结合真实数据、权限和验收规则确认。</x:v>
      </x:c>
      <x:c r="G76" s="41" t="str">
        <x:v>ADMIN</x:v>
      </x:c>
      <x:c r="H76" s="41" t="str">
        <x:v>进入Excel导入后执行</x:v>
      </x:c>
      <x:c r="I76" s="41" t="str">
        <x:v>Excel导入</x:v>
      </x:c>
      <x:c r="J76" s="41" t="str">
        <x:v>数据类型、文件、重复处理、总数/成功/失败、错误行/原因</x:v>
      </x:c>
      <x:c r="K76" s="41" t="str">
        <x:v>待确认</x:v>
      </x:c>
      <x:c r="L76" s="41" t="str">
        <x:v>待确认</x:v>
      </x:c>
      <x:c r="M76" s="41" t="str">
        <x:v>流程演示</x:v>
      </x:c>
      <x:c r="N76" s="41" t="str">
        <x:v>Excel导入</x:v>
      </x:c>
      <x:c r="O76" s="43" t="str">
        <x:v>待确认</x:v>
      </x:c>
      <x:c r="P76" s="43" t="str"/>
      <x:c r="Q76" s="41" t="str">
        <x:v>相关角色可按确认后的规则完成“Excel 导入客户、工单、报价、发票和收款记录”，结果、状态和操作记录可查询。</x:v>
      </x:c>
    </x:row>
    <x:row r="77" ht="68" customHeight="1">
      <x:c r="A77" s="41" t="str">
        <x:v>A-071</x:v>
      </x:c>
      <x:c r="B77" s="41" t="str">
        <x:v>统计、客户和基础设置</x:v>
      </x:c>
      <x:c r="C77" s="41" t="str">
        <x:v>P12</x:v>
      </x:c>
      <x:c r="D77" s="41" t="str">
        <x:v>F071</x:v>
      </x:c>
      <x:c r="E77" s="41" t="str">
        <x:v>配置附件存储、容量、文件类型、保留期和备份</x:v>
      </x:c>
      <x:c r="F77" s="41" t="str">
        <x:v>面向ADMIN、IT，支持配置附件存储、容量、文件类型、保留期和备份；正式交付需结合真实数据、权限和验收规则确认。</x:v>
      </x:c>
      <x:c r="G77" s="41" t="str">
        <x:v>ADMIN、IT</x:v>
      </x:c>
      <x:c r="H77" s="41" t="str">
        <x:v>进入附件存储设置后执行</x:v>
      </x:c>
      <x:c r="I77" s="41" t="str">
        <x:v>附件存储设置</x:v>
      </x:c>
      <x:c r="J77" s="41" t="str">
        <x:v>存储方式/供应商、允许类型、单文件大小、总容量/已用容量、在线保留期</x:v>
      </x:c>
      <x:c r="K77" s="41" t="str">
        <x:v>待确认</x:v>
      </x:c>
      <x:c r="L77" s="41" t="str">
        <x:v>待确认</x:v>
      </x:c>
      <x:c r="M77" s="41" t="str">
        <x:v>流程演示</x:v>
      </x:c>
      <x:c r="N77" s="41" t="str">
        <x:v>附件存储设置</x:v>
      </x:c>
      <x:c r="O77" s="43" t="str">
        <x:v>待确认</x:v>
      </x:c>
      <x:c r="P77" s="43" t="str"/>
      <x:c r="Q77" s="41" t="str">
        <x:v>相关角色可按确认后的规则完成“配置附件存储、容量、文件类型、保留期和备份”，结果、状态和操作记录可查询。</x:v>
      </x:c>
    </x:row>
    <x:row r="78" ht="68" customHeight="1">
      <x:c r="A78" s="41" t="str">
        <x:v>A-072</x:v>
      </x:c>
      <x:c r="B78" s="41" t="str">
        <x:v>统计、客户和基础设置</x:v>
      </x:c>
      <x:c r="C78" s="41" t="str">
        <x:v>P12</x:v>
      </x:c>
      <x:c r="D78" s="41" t="str">
        <x:v>F072</x:v>
      </x:c>
      <x:c r="E78" s="41" t="str">
        <x:v>角色登录、切换和页面权限控制</x:v>
      </x:c>
      <x:c r="F78" s="41" t="str">
        <x:v>面向全部角色，支持角色登录、切换和页面权限控制；正式交付需结合真实数据、权限和验收规则确认。</x:v>
      </x:c>
      <x:c r="G78" s="41" t="str">
        <x:v>全部角色</x:v>
      </x:c>
      <x:c r="H78" s="41" t="str">
        <x:v>进入登录与角色切换后执行</x:v>
      </x:c>
      <x:c r="I78" s="41" t="str">
        <x:v>登录与角色切换</x:v>
      </x:c>
      <x:c r="J78" s="41" t="str">
        <x:v>账号/人员、密码、当前角色、允许页面、数据范围</x:v>
      </x:c>
      <x:c r="K78" s="41" t="str">
        <x:v>待确认</x:v>
      </x:c>
      <x:c r="L78" s="41" t="str">
        <x:v>待确认</x:v>
      </x:c>
      <x:c r="M78" s="41" t="str">
        <x:v>可演示</x:v>
      </x:c>
      <x:c r="N78" s="41" t="str">
        <x:v>登录与角色切换</x:v>
      </x:c>
      <x:c r="O78" s="43" t="str">
        <x:v>待确认</x:v>
      </x:c>
      <x:c r="P78" s="43" t="str"/>
      <x:c r="Q78" s="41" t="str">
        <x:v>相关角色可按确认后的规则完成“角色登录、切换和页面权限控制”，结果、状态和操作记录可查询。</x:v>
      </x:c>
    </x:row>
    <x:row r="79" ht="68" customHeight="1">
      <x:c r="A79" s="41" t="str">
        <x:v>A-073</x:v>
      </x:c>
      <x:c r="B79" s="41" t="str">
        <x:v>原需求补充与上线约束</x:v>
      </x:c>
      <x:c r="C79" s="41" t="str">
        <x:v>跨流程</x:v>
      </x:c>
      <x:c r="D79" s="41" t="str">
        <x:v>F073</x:v>
      </x:c>
      <x:c r="E79" s="41" t="str">
        <x:v>按普通/政府客户自动生成唯一 CALL 编号；政府前缀可配置，任务编号与 CALL 编号独立</x:v>
      </x:c>
      <x:c r="F79" s="41" t="str">
        <x:v>普通与政府CALL编号规则、业务时区、并发防重和历史迁移需统一确认。</x:v>
      </x:c>
      <x:c r="G79" s="41" t="str">
        <x:v>CS、CR、ADMIN</x:v>
      </x:c>
      <x:c r="H79" s="41" t="str">
        <x:v>进入编号规则配置后执行</x:v>
      </x:c>
      <x:c r="I79" s="41" t="str">
        <x:v>编号规则配置</x:v>
      </x:c>
      <x:c r="J79" s="41" t="str">
        <x:v>编号对象、客户类别、前缀/日期格式、流水位数、启用状态</x:v>
      </x:c>
      <x:c r="K79" s="41" t="str">
        <x:v>待确认</x:v>
      </x:c>
      <x:c r="L79" s="41" t="str">
        <x:v>待确认</x:v>
      </x:c>
      <x:c r="M79" s="41" t="str">
        <x:v>部分覆盖</x:v>
      </x:c>
      <x:c r="N79" s="41" t="str">
        <x:v>编号规则配置</x:v>
      </x:c>
      <x:c r="O79" s="43" t="str">
        <x:v>待确认</x:v>
      </x:c>
      <x:c r="P79" s="43" t="str"/>
      <x:c r="Q79" s="41" t="str">
        <x:v>相关角色可按确认后的规则完成“按普通/政府客户自动生成唯一 CALL 编号；政府前缀可配置，任务编号与 CALL 编号独立”，结果、状态和操作记录可查询。</x:v>
      </x:c>
    </x:row>
    <x:row r="80" ht="68" customHeight="1">
      <x:c r="A80" s="41" t="str">
        <x:v>A-074</x:v>
      </x:c>
      <x:c r="B80" s="41" t="str">
        <x:v>原需求补充与上线约束</x:v>
      </x:c>
      <x:c r="C80" s="41" t="str">
        <x:v>跨流程</x:v>
      </x:c>
      <x:c r="D80" s="41" t="str">
        <x:v>F074</x:v>
      </x:c>
      <x:c r="E80" s="41" t="str">
        <x:v>按客户/地点配置不可拍照豁免，取消照片强制项并保留原因或替代证明</x:v>
      </x:c>
      <x:c r="F80" s="41" t="str">
        <x:v>不可拍照规则应在现场提交校验中生效，并保留原因或替代证明。</x:v>
      </x:c>
      <x:c r="G80" s="41" t="str">
        <x:v>MASTER、CS、ADMIN</x:v>
      </x:c>
      <x:c r="H80" s="41" t="str">
        <x:v>进入不可拍照豁免后执行</x:v>
      </x:c>
      <x:c r="I80" s="41" t="str">
        <x:v>不可拍照豁免</x:v>
      </x:c>
      <x:c r="J80" s="41" t="str">
        <x:v>客户/地点、不可拍照、原因、替代证明、有效期</x:v>
      </x:c>
      <x:c r="K80" s="41" t="str">
        <x:v>待确认</x:v>
      </x:c>
      <x:c r="L80" s="41" t="str">
        <x:v>待确认</x:v>
      </x:c>
      <x:c r="M80" s="41" t="str">
        <x:v>部分覆盖</x:v>
      </x:c>
      <x:c r="N80" s="41" t="str">
        <x:v>不可拍照豁免</x:v>
      </x:c>
      <x:c r="O80" s="43" t="str">
        <x:v>待确认</x:v>
      </x:c>
      <x:c r="P80" s="43" t="str"/>
      <x:c r="Q80" s="41" t="str">
        <x:v>相关角色可按确认后的规则完成“按客户/地点配置不可拍照豁免，取消照片强制项并保留原因或替代证明”，结果、状态和操作记录可查询。</x:v>
      </x:c>
    </x:row>
    <x:row r="81" ht="68" customHeight="1">
      <x:c r="A81" s="41" t="str">
        <x:v>A-075</x:v>
      </x:c>
      <x:c r="B81" s="41" t="str">
        <x:v>原需求补充与上线约束</x:v>
      </x:c>
      <x:c r="C81" s="41" t="str">
        <x:v>跨流程</x:v>
      </x:c>
      <x:c r="D81" s="41" t="str">
        <x:v>F075</x:v>
      </x:c>
      <x:c r="E81" s="41" t="str">
        <x:v>配置未接单、未到场、处理超时提醒及负责人；采购状态停滞时通知采购部和报价组</x:v>
      </x:c>
      <x:c r="F81" s="41" t="str">
        <x:v>面向TL、CR、PUR、QUO，支持配置未接单、未到场、处理超时提醒及负责人；采购状态停滞时通知采购部和报价组；正式交付需结合真实数据、权限和验收规则确认。</x:v>
      </x:c>
      <x:c r="G81" s="41" t="str">
        <x:v>TL、CR、PUR、QUO</x:v>
      </x:c>
      <x:c r="H81" s="41" t="str">
        <x:v>进入SLA与提醒规则后执行</x:v>
      </x:c>
      <x:c r="I81" s="41" t="str">
        <x:v>SLA与提醒规则</x:v>
      </x:c>
      <x:c r="J81" s="41" t="str">
        <x:v>业务事件、阈值、接收角色/人员、通知渠道、启用状态</x:v>
      </x:c>
      <x:c r="K81" s="41" t="str">
        <x:v>待确认</x:v>
      </x:c>
      <x:c r="L81" s="41" t="str">
        <x:v>待确认</x:v>
      </x:c>
      <x:c r="M81" s="41" t="str">
        <x:v>部分覆盖</x:v>
      </x:c>
      <x:c r="N81" s="41" t="str">
        <x:v>SLA与提醒规则</x:v>
      </x:c>
      <x:c r="O81" s="43" t="str">
        <x:v>待确认</x:v>
      </x:c>
      <x:c r="P81" s="43" t="str"/>
      <x:c r="Q81" s="41" t="str">
        <x:v>相关角色可按确认后的规则完成“配置未接单、未到场、处理超时提醒及负责人；采购状态停滞时通知采购部和报价组”，结果、状态和操作记录可查询。</x:v>
      </x:c>
    </x:row>
    <x:row r="82" ht="68" customHeight="1">
      <x:c r="A82" s="41" t="str">
        <x:v>A-076</x:v>
      </x:c>
      <x:c r="B82" s="41" t="str">
        <x:v>原需求补充与上线约束</x:v>
      </x:c>
      <x:c r="C82" s="41" t="str">
        <x:v>跨流程</x:v>
      </x:c>
      <x:c r="D82" s="41" t="str">
        <x:v>F076</x:v>
      </x:c>
      <x:c r="E82" s="41" t="str">
        <x:v>工单池开放任务、师傅申请接单、主管确认</x:v>
      </x:c>
      <x:c r="F82" s="41" t="str">
        <x:v>面向MASTER、TL，支持工单池开放任务、师傅申请接单、主管确认；正式交付需结合真实数据、权限和验收规则确认。</x:v>
      </x:c>
      <x:c r="G82" s="41" t="str">
        <x:v>MASTER、TL</x:v>
      </x:c>
      <x:c r="H82" s="41" t="str">
        <x:v>进入工单池后执行</x:v>
      </x:c>
      <x:c r="I82" s="41" t="str">
        <x:v>工单池</x:v>
      </x:c>
      <x:c r="J82" s="41" t="str">
        <x:v>任务编号/区域/类型、可申请范围、申请师傅/时间、申请说明、结果/意见</x:v>
      </x:c>
      <x:c r="K82" s="41" t="str">
        <x:v>待确认</x:v>
      </x:c>
      <x:c r="L82" s="41" t="str">
        <x:v>待确认</x:v>
      </x:c>
      <x:c r="M82" s="41" t="str">
        <x:v>部分覆盖</x:v>
      </x:c>
      <x:c r="N82" s="41" t="str">
        <x:v>工单池</x:v>
      </x:c>
      <x:c r="O82" s="43" t="str">
        <x:v>待确认</x:v>
      </x:c>
      <x:c r="P82" s="43" t="str"/>
      <x:c r="Q82" s="41" t="str">
        <x:v>相关角色可按确认后的规则完成“工单池开放任务、师傅申请接单、主管确认”，结果、状态和操作记录可查询。</x:v>
      </x:c>
    </x:row>
    <x:row r="83" ht="68" customHeight="1">
      <x:c r="A83" s="41" t="str">
        <x:v>A-077</x:v>
      </x:c>
      <x:c r="B83" s="41" t="str">
        <x:v>原需求补充与上线约束</x:v>
      </x:c>
      <x:c r="C83" s="41" t="str">
        <x:v>跨流程</x:v>
      </x:c>
      <x:c r="D83" s="41" t="str">
        <x:v>F077</x:v>
      </x:c>
      <x:c r="E83" s="41" t="str">
        <x:v>简版报销关联一个或多个已完成工单，记录金额与票据附件</x:v>
      </x:c>
      <x:c r="F83" s="41" t="str">
        <x:v>当前原型只有车资记录，不等同于完整报销模块；本项按简版记录评审。</x:v>
      </x:c>
      <x:c r="G83" s="41" t="str">
        <x:v>MASTER、FIN</x:v>
      </x:c>
      <x:c r="H83" s="41" t="str">
        <x:v>进入简版报销关联后执行</x:v>
      </x:c>
      <x:c r="I83" s="41" t="str">
        <x:v>简版报销关联</x:v>
      </x:c>
      <x:c r="J83" s="41" t="str">
        <x:v>报销编号、报销人、已完成CALL、费用类型/金额、票据附件</x:v>
      </x:c>
      <x:c r="K83" s="41" t="str">
        <x:v>待确认</x:v>
      </x:c>
      <x:c r="L83" s="41" t="str">
        <x:v>待确认</x:v>
      </x:c>
      <x:c r="M83" s="41" t="str">
        <x:v>未覆盖</x:v>
      </x:c>
      <x:c r="N83" s="41" t="str">
        <x:v>简版报销关联</x:v>
      </x:c>
      <x:c r="O83" s="43" t="str">
        <x:v>待确认</x:v>
      </x:c>
      <x:c r="P83" s="43" t="str"/>
      <x:c r="Q83" s="41" t="str">
        <x:v>相关角色可按确认后的规则完成“简版报销关联一个或多个已完成工单，记录金额与票据附件”，结果、状态和操作记录可查询。</x:v>
      </x:c>
    </x:row>
    <x:row r="84" ht="68" customHeight="1">
      <x:c r="A84" s="41" t="str">
        <x:v>A-078</x:v>
      </x:c>
      <x:c r="B84" s="41" t="str">
        <x:v>原需求补充与上线约束</x:v>
      </x:c>
      <x:c r="C84" s="41" t="str">
        <x:v>跨流程</x:v>
      </x:c>
      <x:c r="D84" s="41" t="str">
        <x:v>F078</x:v>
      </x:c>
      <x:c r="E84" s="41" t="str">
        <x:v>PM/CM 业务分类与原型五类 CALL 建立对应关系，保留分类统计</x:v>
      </x:c>
      <x:c r="F84" s="41" t="str">
        <x:v>原PM/CM分类不能直接替换当前五类CALL，应通过映射兼容统计。</x:v>
      </x:c>
      <x:c r="G84" s="41" t="str">
        <x:v>CS、CR、TL</x:v>
      </x:c>
      <x:c r="H84" s="41" t="str">
        <x:v>进入PM/CM分类映射后执行</x:v>
      </x:c>
      <x:c r="I84" s="41" t="str">
        <x:v>PM/CM分类映射</x:v>
      </x:c>
      <x:c r="J84" s="41" t="str">
        <x:v>PM/CM分类、CALL类型、映射说明、启用日期、启用状态</x:v>
      </x:c>
      <x:c r="K84" s="41" t="str">
        <x:v>待确认</x:v>
      </x:c>
      <x:c r="L84" s="41" t="str">
        <x:v>待确认</x:v>
      </x:c>
      <x:c r="M84" s="41" t="str">
        <x:v>部分覆盖</x:v>
      </x:c>
      <x:c r="N84" s="41" t="str">
        <x:v>PM/CM分类映射</x:v>
      </x:c>
      <x:c r="O84" s="43" t="str">
        <x:v>待确认</x:v>
      </x:c>
      <x:c r="P84" s="43" t="str"/>
      <x:c r="Q84" s="41" t="str">
        <x:v>相关角色可按确认后的规则完成“PM/CM 业务分类与原型五类 CALL 建立对应关系，保留分类统计”，结果、状态和操作记录可查询。</x:v>
      </x:c>
    </x:row>
    <x:row r="85" ht="68" customHeight="1">
      <x:c r="A85" s="41" t="str">
        <x:v>A-079</x:v>
      </x:c>
      <x:c r="B85" s="41" t="str">
        <x:v>原需求补充与上线约束</x:v>
      </x:c>
      <x:c r="C85" s="41" t="str">
        <x:v>跨流程</x:v>
      </x:c>
      <x:c r="D85" s="41" t="str">
        <x:v>F079</x:v>
      </x:c>
      <x:c r="E85" s="41" t="str">
        <x:v>项目编号、CALL 编号、任务编号和外部 Reference 分开存储并可关联检索</x:v>
      </x:c>
      <x:c r="F85" s="41" t="str">
        <x:v>面向CS、CR、TL、FIN，支持项目编号、CALL 编号、任务编号和外部 Reference 分开存储并可关联检索；正式交付需结合真实数据、权限和验收规则确认。</x:v>
      </x:c>
      <x:c r="G85" s="41" t="str">
        <x:v>CS、CR、TL、FIN</x:v>
      </x:c>
      <x:c r="H85" s="41" t="str">
        <x:v>进入编号关联查询后执行</x:v>
      </x:c>
      <x:c r="I85" s="41" t="str">
        <x:v>编号关联查询</x:v>
      </x:c>
      <x:c r="J85" s="41" t="str">
        <x:v>项目编号、CALL编号、任务编号、外部Reference、关联类型</x:v>
      </x:c>
      <x:c r="K85" s="41" t="str">
        <x:v>待确认</x:v>
      </x:c>
      <x:c r="L85" s="41" t="str">
        <x:v>待确认</x:v>
      </x:c>
      <x:c r="M85" s="41" t="str">
        <x:v>部分覆盖</x:v>
      </x:c>
      <x:c r="N85" s="41" t="str">
        <x:v>编号关联查询</x:v>
      </x:c>
      <x:c r="O85" s="43" t="str">
        <x:v>待确认</x:v>
      </x:c>
      <x:c r="P85" s="43" t="str"/>
      <x:c r="Q85" s="41" t="str">
        <x:v>相关角色可按确认后的规则完成“项目编号、CALL 编号、任务编号和外部 Reference 分开存储并可关联检索”，结果、状态和操作记录可查询。</x:v>
      </x:c>
    </x:row>
    <x:row r="86" ht="68" customHeight="1">
      <x:c r="A86" s="41" t="str">
        <x:v>A-080</x:v>
      </x:c>
      <x:c r="B86" s="41" t="str">
        <x:v>原需求补充与上线约束</x:v>
      </x:c>
      <x:c r="C86" s="41" t="str">
        <x:v>跨流程</x:v>
      </x:c>
      <x:c r="D86" s="41" t="str">
        <x:v>F080</x:v>
      </x:c>
      <x:c r="E86" s="41" t="str">
        <x:v>完成/取消后的报告与附件归档，配置在线保留、备份和恢复规则</x:v>
      </x:c>
      <x:c r="F86" s="41" t="str">
        <x:v>归档不应等同删除；必须保留查询、备份、恢复和操作审计。</x:v>
      </x:c>
      <x:c r="G86" s="41" t="str">
        <x:v>ADMIN、IT、FIN</x:v>
      </x:c>
      <x:c r="H86" s="41" t="str">
        <x:v>进入归档与恢复规则后执行</x:v>
      </x:c>
      <x:c r="I86" s="41" t="str">
        <x:v>归档与恢复规则</x:v>
      </x:c>
      <x:c r="J86" s="41" t="str">
        <x:v>归档对象、状态/时间条件、在线/归档保留期、备份位置/周期、恢复申请/结果</x:v>
      </x:c>
      <x:c r="K86" s="41" t="str">
        <x:v>待确认</x:v>
      </x:c>
      <x:c r="L86" s="41" t="str">
        <x:v>待确认</x:v>
      </x:c>
      <x:c r="M86" s="41" t="str">
        <x:v>部分覆盖</x:v>
      </x:c>
      <x:c r="N86" s="41" t="str">
        <x:v>归档与恢复规则</x:v>
      </x:c>
      <x:c r="O86" s="43" t="str">
        <x:v>待确认</x:v>
      </x:c>
      <x:c r="P86" s="43" t="str"/>
      <x:c r="Q86" s="41" t="str">
        <x:v>相关角色可按确认后的规则完成“完成/取消后的报告与附件归档，配置在线保留、备份和恢复规则”，结果、状态和操作记录可查询。</x:v>
      </x:c>
    </x:row>
  </x:sheetData>
  <x:mergeCells>
    <x:mergeCell ref="A1:Q1"/>
    <x:mergeCell ref="A2:Q2"/>
    <x:mergeCell ref="A4:Q4"/>
  </x:mergeCells>
  <x:conditionalFormatting sqref="O7:O86">
    <x:cfRule type="containsText" dxfId="14" priority="1" operator="containsText" text="已确认"/>
    <x:cfRule type="containsText" dxfId="15" priority="2" operator="containsText" text="已批准"/>
    <x:cfRule type="containsText" dxfId="16" priority="3" operator="containsText" text="评审中"/>
    <x:cfRule type="containsText" dxfId="17" priority="4" operator="containsText" text="有条件确认"/>
    <x:cfRule type="containsText" dxfId="18" priority="5" operator="containsText" text="待确认"/>
    <x:cfRule type="containsText" dxfId="19" priority="6" operator="containsText" text="需调整"/>
    <x:cfRule type="containsText" dxfId="20" priority="7" operator="containsText" text="不纳入"/>
  </x:conditionalFormatting>
  <x:dataValidations count="1">
    <x:dataValidation type="list" sqref="O7:O86">
      <x:formula1>"待确认,已确认,有条件确认,需调整,不纳入"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d85fbca94f42f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" hidden="0" customWidth="1"/>
    <x:col min="2" max="2" width="24" hidden="0" customWidth="1"/>
    <x:col min="3" max="3" width="42" hidden="0" customWidth="1"/>
    <x:col min="4" max="4" width="32" hidden="0" customWidth="1"/>
    <x:col min="5" max="5" width="24" hidden="0" customWidth="1"/>
    <x:col min="6" max="6" width="32" hidden="0" customWidth="1"/>
    <x:col min="7" max="7" width="42" hidden="0" customWidth="1"/>
    <x:col min="8" max="8" width="34" hidden="0" customWidth="1"/>
    <x:col min="9" max="9" width="24" hidden="0" customWidth="1"/>
    <x:col min="10" max="10" width="24" hidden="0" customWidth="1"/>
    <x:col min="11" max="11" width="20" hidden="0" customWidth="1"/>
    <x:col min="12" max="12" width="24" hidden="0" customWidth="1"/>
    <x:col min="13" max="13" width="16" hidden="0" customWidth="1"/>
    <x:col min="14" max="14" width="28" hidden="0" customWidth="1"/>
    <x:col min="15" max="15" width="38" hidden="0" customWidth="1"/>
    <x:col min="16" max="16" width="36" hidden="0" customWidth="1"/>
  </x:cols>
  <x:sheetData>
    <x:row r="1" ht="28" customHeight="1">
      <x:c r="A1" s="2" t="str">
        <x:v>模块范围确认</x:v>
      </x:c>
      <x:c r="B1" s="59"/>
      <x:c r="C1" s="59"/>
      <x:c r="D1" s="59"/>
      <x:c r="E1" s="59"/>
      <x:c r="F1" s="59"/>
      <x:c r="G1" s="59"/>
      <x:c r="H1" s="59"/>
      <x:c r="I1" s="59"/>
      <x:c r="J1" s="59"/>
      <x:c r="K1" s="59"/>
      <x:c r="L1" s="59"/>
      <x:c r="M1" s="59"/>
      <x:c r="N1" s="59"/>
      <x:c r="O1" s="59"/>
      <x:c r="P1" s="59"/>
    </x:row>
    <x:row r="2" ht="24" customHeight="1">
      <x:c r="A2" s="5" t="str">
        <x:v>先确认项目包含哪些模块，再逐条确认模块下的功能、流程、表单和字段。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</x:row>
    <x:row r="3">
      <x:c r="A3" s="59"/>
      <x:c r="B3" s="59"/>
      <x:c r="C3" s="59"/>
      <x:c r="D3" s="59"/>
      <x:c r="E3" s="59"/>
      <x:c r="F3" s="59"/>
      <x:c r="G3" s="59"/>
      <x:c r="H3" s="59"/>
      <x:c r="I3" s="59"/>
      <x:c r="J3" s="59"/>
      <x:c r="K3" s="59"/>
      <x:c r="L3" s="59"/>
      <x:c r="M3" s="59"/>
      <x:c r="N3" s="59"/>
      <x:c r="O3" s="59"/>
      <x:c r="P3" s="59"/>
    </x:row>
    <x:row r="4">
      <x:c r="A4" s="25" t="str">
        <x:v>模块编号</x:v>
      </x:c>
      <x:c r="B4" s="26" t="str">
        <x:v>模块名称</x:v>
      </x:c>
      <x:c r="C4" s="26" t="str">
        <x:v>模块作用</x:v>
      </x:c>
      <x:c r="D4" s="26" t="str">
        <x:v>对应页面/表单</x:v>
      </x:c>
      <x:c r="E4" s="26" t="str">
        <x:v>主要角色</x:v>
      </x:c>
      <x:c r="F4" s="26" t="str">
        <x:v>核心输入</x:v>
      </x:c>
      <x:c r="G4" s="26" t="str">
        <x:v>核心处理</x:v>
      </x:c>
      <x:c r="H4" s="26" t="str">
        <x:v>核心输出</x:v>
      </x:c>
      <x:c r="I4" s="26" t="str">
        <x:v>上游来源</x:v>
      </x:c>
      <x:c r="J4" s="26" t="str">
        <x:v>下游去向</x:v>
      </x:c>
      <x:c r="K4" s="26" t="str">
        <x:v>原型范围</x:v>
      </x:c>
      <x:c r="L4" s="26" t="str">
        <x:v>关联主流程</x:v>
      </x:c>
      <x:c r="M4" s="26" t="str">
        <x:v>客户确认</x:v>
      </x:c>
      <x:c r="N4" s="26" t="str">
        <x:v>定稿范围</x:v>
      </x:c>
      <x:c r="O4" s="26" t="str">
        <x:v>客户意见/边界</x:v>
      </x:c>
      <x:c r="P4" s="27" t="str">
        <x:v>本轮会议重点</x:v>
      </x:c>
    </x:row>
    <x:row r="5" ht="70" customHeight="1">
      <x:c r="A5" s="40" t="str">
        <x:v>M01</x:v>
      </x:c>
      <x:c r="B5" s="40" t="str">
        <x:v>首页与通知</x:v>
      </x:c>
      <x:c r="C5" s="40" t="str">
        <x:v>提供统一工作入口，集中呈现状态、待办、异常和业务通知。</x:v>
      </x:c>
      <x:c r="D5" s="40" t="str">
        <x:v>首页看板、通知中心</x:v>
      </x:c>
      <x:c r="E5" s="40" t="str">
        <x:v>全部角色</x:v>
      </x:c>
      <x:c r="F5" s="40" t="str">
        <x:v>CALL状态、待办、异常事件、业务通知</x:v>
      </x:c>
      <x:c r="G5" s="40" t="str">
        <x:v>按角色与数据范围汇总指标和消息</x:v>
      </x:c>
      <x:c r="H5" s="40" t="str">
        <x:v>状态指标、今日待办、异常清单、通知记录</x:v>
      </x:c>
      <x:c r="I5" s="40" t="str">
        <x:v>CALL、分派、报价等业务模块</x:v>
      </x:c>
      <x:c r="J5" s="40" t="str">
        <x:v>CALL列表、详情及相关业务页面</x:v>
      </x:c>
      <x:c r="K5" s="40" t="str">
        <x:v>可演示</x:v>
      </x:c>
      <x:c r="L5" s="40" t="str">
        <x:v>P01/P02/P03/P04/P08/P11</x:v>
      </x:c>
      <x:c r="M5" s="42" t="str">
        <x:v>待确认</x:v>
      </x:c>
      <x:c r="N5" s="42" t="str"/>
      <x:c r="O5" s="42" t="str">
        <x:v>确认指标口径、数据范围和真实通知渠道</x:v>
      </x:c>
      <x:c r="P5" s="40" t="str">
        <x:v>指标口径、待办范围、通知渠道</x:v>
      </x:c>
    </x:row>
    <x:row r="6" ht="70" customHeight="1">
      <x:c r="A6" s="41" t="str">
        <x:v>M02</x:v>
      </x:c>
      <x:c r="B6" s="41" t="str">
        <x:v>CALL受理与工单管理</x:v>
      </x:c>
      <x:c r="C6" s="41" t="str">
        <x:v>承接客户来电、WhatsApp、邮件或现场诉求，形成可跟踪CALL。</x:v>
      </x:c>
      <x:c r="D6" s="41" t="str">
        <x:v>CALL受理、新建/编辑CALL、CALL列表、CALL详情</x:v>
      </x:c>
      <x:c r="E6" s="41" t="str">
        <x:v>CS、CR、TL、ADMIN及相关角色</x:v>
      </x:c>
      <x:c r="F6" s="41" t="str">
        <x:v>客户、联系人、地点、渠道、问题描述、附件</x:v>
      </x:c>
      <x:c r="G6" s="41" t="str">
        <x:v>受理判断、自动编号、建单、查询、状态操作和时间线记录</x:v>
      </x:c>
      <x:c r="H6" s="41" t="str">
        <x:v>CALL记录、任务编号关联、状态及操作日志</x:v>
      </x:c>
      <x:c r="I6" s="41" t="str">
        <x:v>客户与地点主数据</x:v>
      </x:c>
      <x:c r="J6" s="41" t="str">
        <x:v>分派中心、移动端、报告、报价</x:v>
      </x:c>
      <x:c r="K6" s="41" t="str">
        <x:v>可演示</x:v>
      </x:c>
      <x:c r="L6" s="41" t="str">
        <x:v>P01</x:v>
      </x:c>
      <x:c r="M6" s="43" t="str">
        <x:v>待确认</x:v>
      </x:c>
      <x:c r="N6" s="43" t="str"/>
      <x:c r="O6" s="43" t="str">
        <x:v>确认编号、必填项、取消/直接完成权限和状态口径</x:v>
      </x:c>
      <x:c r="P6" s="41" t="str">
        <x:v>建单字段、编号、状态、取消/完成权限</x:v>
      </x:c>
    </x:row>
    <x:row r="7" ht="70" customHeight="1">
      <x:c r="A7" s="41" t="str">
        <x:v>M03</x:v>
      </x:c>
      <x:c r="B7" s="41" t="str">
        <x:v>分派与调度</x:v>
      </x:c>
      <x:c r="C7" s="41" t="str">
        <x:v>将待分派CALL分配给合适师傅并保留完整分派轨迹。</x:v>
      </x:c>
      <x:c r="D7" s="41" t="str">
        <x:v>分派中心、分派弹窗、申请审批</x:v>
      </x:c>
      <x:c r="E7" s="41" t="str">
        <x:v>TL、CR、ADMIN、MASTER</x:v>
      </x:c>
      <x:c r="F7" s="41" t="str">
        <x:v>待分派任务、区域、师傅状态、负载和技能</x:v>
      </x:c>
      <x:c r="G7" s="41" t="str">
        <x:v>同区域可接单且最低负载推荐，人工筛选与确认分派</x:v>
      </x:c>
      <x:c r="H7" s="41" t="str">
        <x:v>分派结果、待确认任务、通知及分派日志</x:v>
      </x:c>
      <x:c r="I7" s="41" t="str">
        <x:v>CALL受理、工单池申请</x:v>
      </x:c>
      <x:c r="J7" s="41" t="str">
        <x:v>师傅移动端现场执行</x:v>
      </x:c>
      <x:c r="K7" s="41" t="str">
        <x:v>可演示</x:v>
      </x:c>
      <x:c r="L7" s="41" t="str">
        <x:v>P02</x:v>
      </x:c>
      <x:c r="M7" s="43" t="str">
        <x:v>待确认</x:v>
      </x:c>
      <x:c r="N7" s="43" t="str"/>
      <x:c r="O7" s="43" t="str">
        <x:v>确认区域权限、请假来源、负载阈值和工单池审批</x:v>
      </x:c>
      <x:c r="P7" s="41" t="str">
        <x:v>区域权限、推荐规则、改派和工单池</x:v>
      </x:c>
    </x:row>
    <x:row r="8" ht="70" customHeight="1">
      <x:c r="A8" s="41" t="str">
        <x:v>M04</x:v>
      </x:c>
      <x:c r="B8" s="41" t="str">
        <x:v>移动端现场执行</x:v>
      </x:c>
      <x:c r="C8" s="41" t="str">
        <x:v>支持师傅从接单、签到、处理到提交报告的现场闭环。</x:v>
      </x:c>
      <x:c r="D8" s="41" t="str">
        <x:v>师傅首页、CALL列表、CALL详情、现场处理、完工单</x:v>
      </x:c>
      <x:c r="E8" s="41" t="str">
        <x:v>MASTER、TL</x:v>
      </x:c>
      <x:c r="F8" s="41" t="str">
        <x:v>本人任务、现场资料、照片、材料和客户确认</x:v>
      </x:c>
      <x:c r="G8" s="41" t="str">
        <x:v>接单/拒单、签到、处理记录、照片上传、签名和提交</x:v>
      </x:c>
      <x:c r="H8" s="41" t="str">
        <x:v>处理结果、SR或完工单、报价请求、完工状态</x:v>
      </x:c>
      <x:c r="I8" s="41" t="str">
        <x:v>分派与调度</x:v>
      </x:c>
      <x:c r="J8" s="41" t="str">
        <x:v>报告、报价、统计</x:v>
      </x:c>
      <x:c r="K8" s="41" t="str">
        <x:v>可演示；部分能力需真机POC</x:v>
      </x:c>
      <x:c r="L8" s="41" t="str">
        <x:v>P03/P04</x:v>
      </x:c>
      <x:c r="M8" s="43" t="str">
        <x:v>待确认</x:v>
      </x:c>
      <x:c r="N8" s="43" t="str"/>
      <x:c r="O8" s="43" t="str">
        <x:v>确认照片、不可拍照、签名、离线及提交后的状态</x:v>
      </x:c>
      <x:c r="P8" s="41" t="str">
        <x:v>接单、签到、照片、签名、离线、提交</x:v>
      </x:c>
    </x:row>
    <x:row r="9" ht="70" customHeight="1">
      <x:c r="A9" s="41" t="str">
        <x:v>M05</x:v>
      </x:c>
      <x:c r="B9" s="41" t="str">
        <x:v>报告与文档</x:v>
      </x:c>
      <x:c r="C9" s="41" t="str">
        <x:v>集中管理服务报告和完工单，并记录客户发送过程。</x:v>
      </x:c>
      <x:c r="D9" s="41" t="str">
        <x:v>报告管理、报告详情、报告发送</x:v>
      </x:c>
      <x:c r="E9" s="41" t="str">
        <x:v>CS、CR、TL、ADMIN</x:v>
      </x:c>
      <x:c r="F9" s="41" t="str">
        <x:v>SR/完工单、关联CALL、客户及签名状态</x:v>
      </x:c>
      <x:c r="G9" s="41" t="str">
        <x:v>分类、搜索、查看、关联跳转、发送和日志记录</x:v>
      </x:c>
      <x:c r="H9" s="41" t="str">
        <x:v>报告档案、发送记录和客户交付材料</x:v>
      </x:c>
      <x:c r="I9" s="41" t="str">
        <x:v>移动端现场执行</x:v>
      </x:c>
      <x:c r="J9" s="41" t="str">
        <x:v>客户沟通、统计与归档</x:v>
      </x:c>
      <x:c r="K9" s="41" t="str">
        <x:v>页面可演示；外部发送为流程演示</x:v>
      </x:c>
      <x:c r="L9" s="41" t="str">
        <x:v>P05/P08</x:v>
      </x:c>
      <x:c r="M9" s="43" t="str">
        <x:v>待确认</x:v>
      </x:c>
      <x:c r="N9" s="43" t="str"/>
      <x:c r="O9" s="43" t="str">
        <x:v>确认报告模板、发送渠道、回执和保留期限</x:v>
      </x:c>
      <x:c r="P9" s="41" t="str">
        <x:v>报告模板、发送渠道、回执、归档</x:v>
      </x:c>
    </x:row>
    <x:row r="10" ht="70" customHeight="1">
      <x:c r="A10" s="41" t="str">
        <x:v>M06</x:v>
      </x:c>
      <x:c r="B10" s="41" t="str">
        <x:v>报价管理</x:v>
      </x:c>
      <x:c r="C10" s="41" t="str">
        <x:v>处理服务产生的报价需求，维护明细、金额、版本和中单结果。</x:v>
      </x:c>
      <x:c r="D10" s="41" t="str">
        <x:v>报价列表、报价单、报价明细、状态更新</x:v>
      </x:c>
      <x:c r="E10" s="41" t="str">
        <x:v>QUO、CR、ADMIN、BOSS</x:v>
      </x:c>
      <x:c r="F10" s="41" t="str">
        <x:v>CALL/SR、客户、物料、成本参考和报价期限</x:v>
      </x:c>
      <x:c r="G10" s="41" t="str">
        <x:v>编制报价、金额计算、发出、修订和中单/丢单维护</x:v>
      </x:c>
      <x:c r="H10" s="41" t="str">
        <x:v>报价单、修订版本、中单结果和备货触发</x:v>
      </x:c>
      <x:c r="I10" s="41" t="str">
        <x:v>CALL、服务报告</x:v>
      </x:c>
      <x:c r="J10" s="41" t="str">
        <x:v>备货采购、统计、财务</x:v>
      </x:c>
      <x:c r="K10" s="41" t="str">
        <x:v>可演示</x:v>
      </x:c>
      <x:c r="L10" s="41" t="str">
        <x:v>P06</x:v>
      </x:c>
      <x:c r="M10" s="43" t="str">
        <x:v>待确认</x:v>
      </x:c>
      <x:c r="N10" s="43" t="str"/>
      <x:c r="O10" s="43" t="str">
        <x:v>确认是否纳入一期、审批、版本和金额修改权限</x:v>
      </x:c>
      <x:c r="P10" s="41" t="str">
        <x:v>报价版本、修订、中单联动</x:v>
      </x:c>
    </x:row>
    <x:row r="11" ht="70" customHeight="1">
      <x:c r="A11" s="41" t="str">
        <x:v>M07</x:v>
      </x:c>
      <x:c r="B11" s="41" t="str">
        <x:v>标书管理</x:v>
      </x:c>
      <x:c r="C11" s="41" t="str">
        <x:v>跟踪招投标机会、截止时间、资料和中标结果。</x:v>
      </x:c>
      <x:c r="D11" s="41" t="str">
        <x:v>标书列表、标书表单、标书师傅排程</x:v>
      </x:c>
      <x:c r="E11" s="41" t="str">
        <x:v>TENDER、TL、ADMIN、BOSS</x:v>
      </x:c>
      <x:c r="F11" s="41" t="str">
        <x:v>招标文件、来源、截止日期、负责人和区域技能要求</x:v>
      </x:c>
      <x:c r="G11" s="41" t="str">
        <x:v>导入/新建、倒计时、状态维护、附件管理和可选排程</x:v>
      </x:c>
      <x:c r="H11" s="41" t="str">
        <x:v>投标记录、提醒、中标结果和排程</x:v>
      </x:c>
      <x:c r="I11" s="41" t="str">
        <x:v>客户或招标机会</x:v>
      </x:c>
      <x:c r="J11" s="41" t="str">
        <x:v>报价、师傅排程和统计</x:v>
      </x:c>
      <x:c r="K11" s="41" t="str">
        <x:v>可演示</x:v>
      </x:c>
      <x:c r="L11" s="41" t="str">
        <x:v>P09</x:v>
      </x:c>
      <x:c r="M11" s="43" t="str">
        <x:v>待确认</x:v>
      </x:c>
      <x:c r="N11" s="43" t="str"/>
      <x:c r="O11" s="43" t="str">
        <x:v>确认阶段归属、逾期提醒、排程边界和负责人</x:v>
      </x:c>
      <x:c r="P11" s="41" t="str">
        <x:v>截止提醒、附件、排程范围</x:v>
      </x:c>
    </x:row>
    <x:row r="12" ht="70" customHeight="1">
      <x:c r="A12" s="41" t="str">
        <x:v>M08</x:v>
      </x:c>
      <x:c r="B12" s="41" t="str">
        <x:v>备货与采购</x:v>
      </x:c>
      <x:c r="C12" s="41" t="str">
        <x:v>承接中单报价的备货与采购执行，跟踪到货和验收。</x:v>
      </x:c>
      <x:c r="D12" s="41" t="str">
        <x:v>备货单、采购单、供应商档案</x:v>
      </x:c>
      <x:c r="E12" s="41" t="str">
        <x:v>PUR、QUO、TL、ADMIN</x:v>
      </x:c>
      <x:c r="F12" s="41" t="str">
        <x:v>中单报价、物料明细、供应商和交付日期</x:v>
      </x:c>
      <x:c r="G12" s="41" t="str">
        <x:v>自动建立备货单，按供应商拆分采购单并更新状态</x:v>
      </x:c>
      <x:c r="H12" s="41" t="str">
        <x:v>备货/采购记录、到货验收和可选后续CALL</x:v>
      </x:c>
      <x:c r="I12" s="41" t="str">
        <x:v>报价管理</x:v>
      </x:c>
      <x:c r="J12" s="41" t="str">
        <x:v>安装CALL、财务和统计</x:v>
      </x:c>
      <x:c r="K12" s="41" t="str">
        <x:v>可演示；部分联动为流程演示</x:v>
      </x:c>
      <x:c r="L12" s="41" t="str">
        <x:v>P07</x:v>
      </x:c>
      <x:c r="M12" s="43" t="str">
        <x:v>待确认</x:v>
      </x:c>
      <x:c r="N12" s="43" t="str"/>
      <x:c r="O12" s="43" t="str">
        <x:v>确认是否替代现有采购系统、状态和自动建CALL规则</x:v>
      </x:c>
      <x:c r="P12" s="41" t="str">
        <x:v>仓库通同步字段、备货完成、采购例外</x:v>
      </x:c>
    </x:row>
    <x:row r="13" ht="70" customHeight="1">
      <x:c r="A13" s="41" t="str">
        <x:v>M09</x:v>
      </x:c>
      <x:c r="B13" s="41" t="str">
        <x:v>会计与外部接口</x:v>
      </x:c>
      <x:c r="C13" s="41" t="str">
        <x:v>管理待开票、发票、收款、收据及Peachtree同步。</x:v>
      </x:c>
      <x:c r="D13" s="41" t="str">
        <x:v>待开票、发票、收款、会计客户、保养合约、接口配置</x:v>
      </x:c>
      <x:c r="E13" s="41" t="str">
        <x:v>FIN、ADMIN、IT</x:v>
      </x:c>
      <x:c r="F13" s="41" t="str">
        <x:v>客户账单资料、合约、开票项目、付款和接口参数</x:v>
      </x:c>
      <x:c r="G13" s="41" t="str">
        <x:v>生成待开票、批量开票、收款登记、打印和同步</x:v>
      </x:c>
      <x:c r="H13" s="41" t="str">
        <x:v>发票、收据、收款状态和同步日志</x:v>
      </x:c>
      <x:c r="I13" s="41" t="str">
        <x:v>报价/服务、保养合约</x:v>
      </x:c>
      <x:c r="J13" s="41" t="str">
        <x:v>财务系统与经营统计</x:v>
      </x:c>
      <x:c r="K13" s="41" t="str">
        <x:v>主要为流程演示</x:v>
      </x:c>
      <x:c r="L13" s="41" t="str">
        <x:v>P11</x:v>
      </x:c>
      <x:c r="M13" s="43" t="str">
        <x:v>待确认</x:v>
      </x:c>
      <x:c r="N13" s="43" t="str"/>
      <x:c r="O13" s="43" t="str">
        <x:v>确认财务边界、账期、编号、接口版本和同步方向</x:v>
      </x:c>
      <x:c r="P13" s="41" t="str">
        <x:v>会计边界、接口POC、收款触发</x:v>
      </x:c>
    </x:row>
    <x:row r="14" ht="70" customHeight="1">
      <x:c r="A14" s="41" t="str">
        <x:v>M10</x:v>
      </x:c>
      <x:c r="B14" s="41" t="str">
        <x:v>统计、客户和基础设置</x:v>
      </x:c>
      <x:c r="C14" s="41" t="str">
        <x:v>维护系统主数据、权限、字典和经营统计，为业务流程提供基础。</x:v>
      </x:c>
      <x:c r="D14" s="41" t="str">
        <x:v>统计报表、用户管理、客户管理、字典、Excel导入、存储设置、登录</x:v>
      </x:c>
      <x:c r="E14" s="41" t="str">
        <x:v>ADMIN、CS、CR、TL、BOSS、IT</x:v>
      </x:c>
      <x:c r="F14" s="41" t="str">
        <x:v>用户、角色、客户、地点、字典、历史数据和系统参数</x:v>
      </x:c>
      <x:c r="G14" s="41" t="str">
        <x:v>主数据维护、权限过滤、批量导入、存储配置和多维统计</x:v>
      </x:c>
      <x:c r="H14" s="41" t="str">
        <x:v>可用主数据、权限、统计结果和配置</x:v>
      </x:c>
      <x:c r="I14" s="41" t="str">
        <x:v>所有原始资料和业务数据</x:v>
      </x:c>
      <x:c r="J14" s="41" t="str">
        <x:v>全部业务模块</x:v>
      </x:c>
      <x:c r="K14" s="41" t="str">
        <x:v>可演示；导入与存储为流程演示</x:v>
      </x:c>
      <x:c r="L14" s="41" t="str">
        <x:v>P12</x:v>
      </x:c>
      <x:c r="M14" s="43" t="str">
        <x:v>待确认</x:v>
      </x:c>
      <x:c r="N14" s="43" t="str"/>
      <x:c r="O14" s="43" t="str">
        <x:v>准备真实主数据并确认权限、导入、存储和统计口径</x:v>
      </x:c>
      <x:c r="P14" s="41" t="str">
        <x:v>主数据、字典、权限、导入</x:v>
      </x:c>
    </x:row>
    <x:row r="15" ht="70" customHeight="1">
      <x:c r="A15" s="41" t="str">
        <x:v>M11</x:v>
      </x:c>
      <x:c r="B15" s="41" t="str">
        <x:v>原需求补充与上线约束</x:v>
      </x:c>
      <x:c r="C15" s="41" t="str">
        <x:v>承接当前原型未完整覆盖的编号、豁免、提醒、工单池、报销和归档要求。</x:v>
      </x:c>
      <x:c r="D15" s="41" t="str">
        <x:v>编号规则、不可拍照豁免、SLA提醒、工单池、简版报销、分类映射、归档</x:v>
      </x:c>
      <x:c r="E15" s="41" t="str">
        <x:v>ADMIN、IT、CS、TL、MASTER、FIN</x:v>
      </x:c>
      <x:c r="F15" s="41" t="str">
        <x:v>历史需求、客户规则、SLA、分类和保留政策</x:v>
      </x:c>
      <x:c r="G15" s="41" t="str">
        <x:v>以跨模块规则补充当前页面和生产约束</x:v>
      </x:c>
      <x:c r="H15" s="41" t="str">
        <x:v>编号关系、豁免记录、提醒、报销和归档日志</x:v>
      </x:c>
      <x:c r="I15" s="41" t="str">
        <x:v>历史需求与客户确认</x:v>
      </x:c>
      <x:c r="J15" s="41" t="str">
        <x:v>CALL、移动端、财务、存储</x:v>
      </x:c>
      <x:c r="K15" s="41" t="str">
        <x:v>部分覆盖或未覆盖</x:v>
      </x:c>
      <x:c r="L15" s="41" t="str">
        <x:v>跨流程</x:v>
      </x:c>
      <x:c r="M15" s="43" t="str">
        <x:v>待确认</x:v>
      </x:c>
      <x:c r="N15" s="43" t="str"/>
      <x:c r="O15" s="43" t="str">
        <x:v>逐项确认是否进入生产范围及验收方式</x:v>
      </x:c>
      <x:c r="P15" s="41" t="str">
        <x:v>编号、SLA、工单池、异常和上线约束</x:v>
      </x:c>
    </x:row>
  </x:sheetData>
  <x:mergeCells>
    <x:mergeCell ref="A1:P1"/>
    <x:mergeCell ref="A2:P2"/>
  </x:mergeCells>
  <x:conditionalFormatting sqref="M5:M15">
    <x:cfRule type="containsText" dxfId="21" priority="1" operator="containsText" text="已确认"/>
    <x:cfRule type="containsText" dxfId="22" priority="2" operator="containsText" text="已批准"/>
    <x:cfRule type="containsText" dxfId="23" priority="3" operator="containsText" text="评审中"/>
    <x:cfRule type="containsText" dxfId="24" priority="4" operator="containsText" text="有条件确认"/>
    <x:cfRule type="containsText" dxfId="25" priority="5" operator="containsText" text="待确认"/>
    <x:cfRule type="containsText" dxfId="26" priority="6" operator="containsText" text="需调整"/>
    <x:cfRule type="containsText" dxfId="27" priority="7" operator="containsText" text="不纳入"/>
  </x:conditionalFormatting>
  <x:dataValidations count="1">
    <x:dataValidation type="list" sqref="M5:M15">
      <x:formula1>"待确认,已确认,有条件确认,需调整,不纳入"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73c0b1942a4aa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11" hidden="0" customWidth="1"/>
    <x:col min="2" max="2" width="24" hidden="0" customWidth="1"/>
    <x:col min="3" max="3" width="8" hidden="0" customWidth="1"/>
    <x:col min="4" max="4" width="18" hidden="0" customWidth="1"/>
    <x:col min="5" max="5" width="30" hidden="0" customWidth="1"/>
    <x:col min="6" max="6" width="20" hidden="0" customWidth="1"/>
    <x:col min="7" max="7" width="42" hidden="0" customWidth="1"/>
    <x:col min="8" max="8" width="28" hidden="0" customWidth="1"/>
    <x:col min="9" max="9" width="38" hidden="0" customWidth="1"/>
    <x:col min="10" max="10" width="18" hidden="0" customWidth="1"/>
    <x:col min="11" max="11" width="18" hidden="0" customWidth="1"/>
    <x:col min="12" max="12" width="34" hidden="0" customWidth="1"/>
    <x:col min="13" max="13" width="44" hidden="0" customWidth="1"/>
    <x:col min="14" max="14" width="40" hidden="0" customWidth="1"/>
    <x:col min="15" max="15" width="15" hidden="0" customWidth="1"/>
    <x:col min="16" max="16" width="20" hidden="0" customWidth="1"/>
    <x:col min="17" max="17" width="16" hidden="0" customWidth="1"/>
    <x:col min="18" max="18" width="38" hidden="0" customWidth="1"/>
    <x:col min="19" max="19" width="32" hidden="0" customWidth="1"/>
  </x:cols>
  <x:sheetData>
    <x:row r="1" ht="28" customHeight="1">
      <x:c r="A1" s="2" t="str">
        <x:v>流程逐条确认</x:v>
      </x:c>
      <x:c r="B1" s="59"/>
      <x:c r="C1" s="59"/>
      <x:c r="D1" s="59"/>
      <x:c r="E1" s="59"/>
      <x:c r="F1" s="59"/>
      <x:c r="G1" s="59"/>
      <x:c r="H1" s="59"/>
      <x:c r="I1" s="59"/>
      <x:c r="J1" s="59"/>
      <x:c r="K1" s="59"/>
      <x:c r="L1" s="59"/>
      <x:c r="M1" s="59"/>
      <x:c r="N1" s="59"/>
      <x:c r="O1" s="59"/>
      <x:c r="P1" s="59"/>
      <x:c r="Q1" s="59"/>
      <x:c r="R1" s="59"/>
      <x:c r="S1" s="59"/>
    </x:row>
    <x:row r="2" ht="24" customHeight="1">
      <x:c r="A2" s="5" t="str">
        <x:v>按步骤确认触发条件、执行角色、业务动作、状态变化、输出通知和异常处理。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</x:row>
    <x:row r="3">
      <x:c r="A3" s="59"/>
      <x:c r="B3" s="59"/>
      <x:c r="C3" s="59"/>
      <x:c r="D3" s="59"/>
      <x:c r="E3" s="59"/>
      <x:c r="F3" s="59"/>
      <x:c r="G3" s="59"/>
      <x:c r="H3" s="59"/>
      <x:c r="I3" s="59"/>
      <x:c r="J3" s="59"/>
      <x:c r="K3" s="59"/>
      <x:c r="L3" s="59"/>
      <x:c r="M3" s="59"/>
      <x:c r="N3" s="59"/>
      <x:c r="O3" s="59"/>
      <x:c r="P3" s="59"/>
      <x:c r="Q3" s="59"/>
      <x:c r="R3" s="59"/>
      <x:c r="S3" s="59"/>
    </x:row>
    <x:row r="4">
      <x:c r="A4" s="25" t="str">
        <x:v>流程编号</x:v>
      </x:c>
      <x:c r="B4" s="26" t="str">
        <x:v>流程名称</x:v>
      </x:c>
      <x:c r="C4" s="26" t="str">
        <x:v>步骤</x:v>
      </x:c>
      <x:c r="D4" s="26" t="str">
        <x:v>阶段</x:v>
      </x:c>
      <x:c r="E4" s="26" t="str">
        <x:v>触发条件</x:v>
      </x:c>
      <x:c r="F4" s="26" t="str">
        <x:v>执行角色</x:v>
      </x:c>
      <x:c r="G4" s="26" t="str">
        <x:v>业务动作</x:v>
      </x:c>
      <x:c r="H4" s="26" t="str">
        <x:v>页面/表单</x:v>
      </x:c>
      <x:c r="I4" s="26" t="str">
        <x:v>关键字段</x:v>
      </x:c>
      <x:c r="J4" s="26" t="str">
        <x:v>前置状态</x:v>
      </x:c>
      <x:c r="K4" s="26" t="str">
        <x:v>后置状态</x:v>
      </x:c>
      <x:c r="L4" s="26" t="str">
        <x:v>输出/通知</x:v>
      </x:c>
      <x:c r="M4" s="26" t="str">
        <x:v>业务规则</x:v>
      </x:c>
      <x:c r="N4" s="26" t="str">
        <x:v>异常/待确认</x:v>
      </x:c>
      <x:c r="O4" s="26" t="str">
        <x:v>建议范围</x:v>
      </x:c>
      <x:c r="P4" s="26" t="str">
        <x:v>关联需求</x:v>
      </x:c>
      <x:c r="Q4" s="26" t="str">
        <x:v>客户确认</x:v>
      </x:c>
      <x:c r="R4" s="26" t="str">
        <x:v>定稿结论</x:v>
      </x:c>
      <x:c r="S4" s="27" t="str">
        <x:v>备注</x:v>
      </x:c>
    </x:row>
    <x:row r="5" ht="66" customHeight="1">
      <x:c r="A5" s="40" t="str">
        <x:v>P01</x:v>
      </x:c>
      <x:c r="B5" s="40" t="str">
        <x:v>CALL受理与建单</x:v>
      </x:c>
      <x:c r="C5" s="40" t="n">
        <x:v>1</x:v>
      </x:c>
      <x:c r="D5" s="40" t="str">
        <x:v>接收请求</x:v>
      </x:c>
      <x:c r="E5" s="40" t="str">
        <x:v>客户来电、WhatsApp、邮件或现场沟通</x:v>
      </x:c>
      <x:c r="F5" s="40" t="str">
        <x:v>CS</x:v>
      </x:c>
      <x:c r="G5" s="40" t="str">
        <x:v>登记客户诉求、联系人和来源渠道</x:v>
      </x:c>
      <x:c r="H5" s="40" t="str">
        <x:v>CALL受理记录</x:v>
      </x:c>
      <x:c r="I5" s="40" t="str">
        <x:v>客户、联系人、渠道、内容摘要</x:v>
      </x:c>
      <x:c r="J5" s="40" t="str">
        <x:v>无</x:v>
      </x:c>
      <x:c r="K5" s="40" t="str">
        <x:v>受理中</x:v>
      </x:c>
      <x:c r="L5" s="40" t="str">
        <x:v>来电/消息记录</x:v>
      </x:c>
      <x:c r="M5" s="40" t="str">
        <x:v>人工记录，不包含自动抓取</x:v>
      </x:c>
      <x:c r="N5" s="40" t="str">
        <x:v>联系人未知时需先补客户资料</x:v>
      </x:c>
      <x:c r="O5" s="40" t="str">
        <x:v>P0</x:v>
      </x:c>
      <x:c r="P5" s="40" t="str">
        <x:v>F006、F008</x:v>
      </x:c>
      <x:c r="Q5" s="42" t="str">
        <x:v>待确认</x:v>
      </x:c>
      <x:c r="R5" s="42" t="str"/>
      <x:c r="S5" s="42" t="str"/>
    </x:row>
    <x:row r="6" ht="66" customHeight="1">
      <x:c r="A6" s="41" t="str">
        <x:v>P01</x:v>
      </x:c>
      <x:c r="B6" s="41" t="str">
        <x:v>CALL受理与建单</x:v>
      </x:c>
      <x:c r="C6" s="41" t="n">
        <x:v>2</x:v>
      </x:c>
      <x:c r="D6" s="41" t="str">
        <x:v>受理判断</x:v>
      </x:c>
      <x:c r="E6" s="41" t="str">
        <x:v>已登记客户诉求</x:v>
      </x:c>
      <x:c r="F6" s="41" t="str">
        <x:v>CS</x:v>
      </x:c>
      <x:c r="G6" s="41" t="str">
        <x:v>判断仅答疑、创建CALL或取消</x:v>
      </x:c>
      <x:c r="H6" s="41" t="str">
        <x:v>CALL受理记录</x:v>
      </x:c>
      <x:c r="I6" s="41" t="str">
        <x:v>受理判断、跟进备注</x:v>
      </x:c>
      <x:c r="J6" s="41" t="str">
        <x:v>受理中</x:v>
      </x:c>
      <x:c r="K6" s="41" t="str">
        <x:v>已答疑/进入建单/已取消</x:v>
      </x:c>
      <x:c r="L6" s="41" t="str">
        <x:v>处理结论</x:v>
      </x:c>
      <x:c r="M6" s="41" t="str">
        <x:v>仅答疑不生成CALL；取消需记录原因</x:v>
      </x:c>
      <x:c r="N6" s="41" t="str">
        <x:v>仅答疑是否需要保留独立编号待确认</x:v>
      </x:c>
      <x:c r="O6" s="41" t="str">
        <x:v>P0</x:v>
      </x:c>
      <x:c r="P6" s="41" t="str">
        <x:v>F006、F012</x:v>
      </x:c>
      <x:c r="Q6" s="43" t="str">
        <x:v>待确认</x:v>
      </x:c>
      <x:c r="R6" s="43" t="str"/>
      <x:c r="S6" s="43" t="str"/>
    </x:row>
    <x:row r="7" ht="66" customHeight="1">
      <x:c r="A7" s="41" t="str">
        <x:v>P01</x:v>
      </x:c>
      <x:c r="B7" s="41" t="str">
        <x:v>CALL受理与建单</x:v>
      </x:c>
      <x:c r="C7" s="41" t="n">
        <x:v>3</x:v>
      </x:c>
      <x:c r="D7" s="41" t="str">
        <x:v>填写CALL</x:v>
      </x:c>
      <x:c r="E7" s="41" t="str">
        <x:v>选择创建CALL</x:v>
      </x:c>
      <x:c r="F7" s="41" t="str">
        <x:v>CS、CR</x:v>
      </x:c>
      <x:c r="G7" s="41" t="str">
        <x:v>选择客户、地点、类型并填写问题和附件</x:v>
      </x:c>
      <x:c r="H7" s="41" t="str">
        <x:v>新建/编辑CALL</x:v>
      </x:c>
      <x:c r="I7" s="41" t="str">
        <x:v>CALL编号、CALL代码、类型、区域、地址、描述、附件</x:v>
      </x:c>
      <x:c r="J7" s="41" t="str">
        <x:v>草稿</x:v>
      </x:c>
      <x:c r="K7" s="41" t="str">
        <x:v>草稿</x:v>
      </x:c>
      <x:c r="L7" s="41" t="str">
        <x:v>完整CALL资料</x:v>
      </x:c>
      <x:c r="M7" s="41" t="str">
        <x:v>客户与地点可从主数据带入</x:v>
      </x:c>
      <x:c r="N7" s="41" t="str">
        <x:v>政府前缀和必填项待确认</x:v>
      </x:c>
      <x:c r="O7" s="41" t="str">
        <x:v>P0</x:v>
      </x:c>
      <x:c r="P7" s="41" t="str">
        <x:v>F007-F009、F073</x:v>
      </x:c>
      <x:c r="Q7" s="43" t="str">
        <x:v>待确认</x:v>
      </x:c>
      <x:c r="R7" s="43" t="str"/>
      <x:c r="S7" s="43" t="str"/>
    </x:row>
    <x:row r="8" ht="66" customHeight="1">
      <x:c r="A8" s="41" t="str">
        <x:v>P01</x:v>
      </x:c>
      <x:c r="B8" s="41" t="str">
        <x:v>CALL受理与建单</x:v>
      </x:c>
      <x:c r="C8" s="41" t="n">
        <x:v>4</x:v>
      </x:c>
      <x:c r="D8" s="41" t="str">
        <x:v>提交建单</x:v>
      </x:c>
      <x:c r="E8" s="41" t="str">
        <x:v>必填校验通过</x:v>
      </x:c>
      <x:c r="F8" s="41" t="str">
        <x:v>CS、CR</x:v>
      </x:c>
      <x:c r="G8" s="41" t="str">
        <x:v>提交CALL并写入操作时间线</x:v>
      </x:c>
      <x:c r="H8" s="41" t="str">
        <x:v>新建/编辑CALL</x:v>
      </x:c>
      <x:c r="I8" s="41" t="str">
        <x:v>保存方式、创建人、创建时间</x:v>
      </x:c>
      <x:c r="J8" s="41" t="str">
        <x:v>草稿</x:v>
      </x:c>
      <x:c r="K8" s="41" t="str">
        <x:v>待分派</x:v>
      </x:c>
      <x:c r="L8" s="41" t="str">
        <x:v>CALL及待分派任务</x:v>
      </x:c>
      <x:c r="M8" s="41" t="str">
        <x:v>CALL编号与任务编号独立</x:v>
      </x:c>
      <x:c r="N8" s="41" t="str">
        <x:v>业务时区与并发防重需生产验证</x:v>
      </x:c>
      <x:c r="O8" s="41" t="str">
        <x:v>P0</x:v>
      </x:c>
      <x:c r="P8" s="41" t="str">
        <x:v>F007、F013、F079</x:v>
      </x:c>
      <x:c r="Q8" s="43" t="str">
        <x:v>待确认</x:v>
      </x:c>
      <x:c r="R8" s="43" t="str"/>
      <x:c r="S8" s="43" t="str"/>
    </x:row>
    <x:row r="9" ht="66" customHeight="1">
      <x:c r="A9" s="41" t="str">
        <x:v>P01</x:v>
      </x:c>
      <x:c r="B9" s="41" t="str">
        <x:v>CALL受理与建单</x:v>
      </x:c>
      <x:c r="C9" s="41" t="n">
        <x:v>5</x:v>
      </x:c>
      <x:c r="D9" s="41" t="str">
        <x:v>直接完成/取消</x:v>
      </x:c>
      <x:c r="E9" s="41" t="str">
        <x:v>无需派工或无效、重复、客户取消</x:v>
      </x:c>
      <x:c r="F9" s="41" t="str">
        <x:v>CS、TL、ADMIN</x:v>
      </x:c>
      <x:c r="G9" s="41" t="str">
        <x:v>填写原因后直接完成或取消</x:v>
      </x:c>
      <x:c r="H9" s="41" t="str">
        <x:v>CALL详情</x:v>
      </x:c>
      <x:c r="I9" s="41" t="str">
        <x:v>完成原因/取消原因</x:v>
      </x:c>
      <x:c r="J9" s="41" t="str">
        <x:v>受理中/待分派</x:v>
      </x:c>
      <x:c r="K9" s="41" t="str">
        <x:v>已完成/已取消</x:v>
      </x:c>
      <x:c r="L9" s="41" t="str">
        <x:v>关闭记录和时间线</x:v>
      </x:c>
      <x:c r="M9" s="41" t="str">
        <x:v>按角色显示操作入口</x:v>
      </x:c>
      <x:c r="N9" s="41" t="str">
        <x:v>是否需要审批及可撤回规则待确认</x:v>
      </x:c>
      <x:c r="O9" s="41" t="str">
        <x:v>P0</x:v>
      </x:c>
      <x:c r="P9" s="41" t="str">
        <x:v>F012</x:v>
      </x:c>
      <x:c r="Q9" s="43" t="str">
        <x:v>待确认</x:v>
      </x:c>
      <x:c r="R9" s="43" t="str"/>
      <x:c r="S9" s="43" t="str"/>
    </x:row>
    <x:row r="10" ht="66" customHeight="1">
      <x:c r="A10" s="41" t="str">
        <x:v>P02</x:v>
      </x:c>
      <x:c r="B10" s="41" t="str">
        <x:v>分派、接单与工单池</x:v>
      </x:c>
      <x:c r="C10" s="41" t="n">
        <x:v>1</x:v>
      </x:c>
      <x:c r="D10" s="41" t="str">
        <x:v>查看待分派</x:v>
      </x:c>
      <x:c r="E10" s="41" t="str">
        <x:v>CALL进入待分派</x:v>
      </x:c>
      <x:c r="F10" s="41" t="str">
        <x:v>TL、区域CR、ADMIN</x:v>
      </x:c>
      <x:c r="G10" s="41" t="str">
        <x:v>查看任务、客户、区域和当前指标</x:v>
      </x:c>
      <x:c r="H10" s="41" t="str">
        <x:v>分派中心</x:v>
      </x:c>
      <x:c r="I10" s="41" t="str">
        <x:v>任务编号、CALL编号、区域、类型、状态</x:v>
      </x:c>
      <x:c r="J10" s="41" t="str">
        <x:v>待分派</x:v>
      </x:c>
      <x:c r="K10" s="41" t="str">
        <x:v>待分派</x:v>
      </x:c>
      <x:c r="L10" s="41" t="str">
        <x:v>候选任务</x:v>
      </x:c>
      <x:c r="M10" s="41" t="str">
        <x:v>权限按区域/团队过滤</x:v>
      </x:c>
      <x:c r="N10" s="41" t="str">
        <x:v>正式权限矩阵待确认</x:v>
      </x:c>
      <x:c r="O10" s="41" t="str">
        <x:v>P0</x:v>
      </x:c>
      <x:c r="P10" s="41" t="str">
        <x:v>F014、F015、F020</x:v>
      </x:c>
      <x:c r="Q10" s="43" t="str">
        <x:v>待确认</x:v>
      </x:c>
      <x:c r="R10" s="43" t="str"/>
      <x:c r="S10" s="43" t="str"/>
    </x:row>
    <x:row r="11" ht="66" customHeight="1">
      <x:c r="A11" s="41" t="str">
        <x:v>P02</x:v>
      </x:c>
      <x:c r="B11" s="41" t="str">
        <x:v>分派、接单与工单池</x:v>
      </x:c>
      <x:c r="C11" s="41" t="n">
        <x:v>2</x:v>
      </x:c>
      <x:c r="D11" s="41" t="str">
        <x:v>筛选候选师傅</x:v>
      </x:c>
      <x:c r="E11" s="41" t="str">
        <x:v>选择待分派任务</x:v>
      </x:c>
      <x:c r="F11" s="41" t="str">
        <x:v>TL、CR</x:v>
      </x:c>
      <x:c r="G11" s="41" t="str">
        <x:v>查看系统推荐并按技能人工筛选</x:v>
      </x:c>
      <x:c r="H11" s="41" t="str">
        <x:v>分派弹窗</x:v>
      </x:c>
      <x:c r="I11" s="41" t="str">
        <x:v>师傅、区域、负载、技能、工作状态</x:v>
      </x:c>
      <x:c r="J11" s="41" t="str">
        <x:v>待分派</x:v>
      </x:c>
      <x:c r="K11" s="41" t="str">
        <x:v>待分派</x:v>
      </x:c>
      <x:c r="L11" s="41" t="str">
        <x:v>候选师傅清单</x:v>
      </x:c>
      <x:c r="M11" s="41" t="str">
        <x:v>仅同区域、可接单、最低负载用于推荐；技能不自动排序</x:v>
      </x:c>
      <x:c r="N11" s="41" t="str">
        <x:v>请假来源和忙碌阈值待确认</x:v>
      </x:c>
      <x:c r="O11" s="41" t="str">
        <x:v>P0</x:v>
      </x:c>
      <x:c r="P11" s="41" t="str">
        <x:v>F016-F018</x:v>
      </x:c>
      <x:c r="Q11" s="43" t="str">
        <x:v>待确认</x:v>
      </x:c>
      <x:c r="R11" s="43" t="str"/>
      <x:c r="S11" s="43" t="str"/>
    </x:row>
    <x:row r="12" ht="66" customHeight="1">
      <x:c r="A12" s="41" t="str">
        <x:v>P02</x:v>
      </x:c>
      <x:c r="B12" s="41" t="str">
        <x:v>分派、接单与工单池</x:v>
      </x:c>
      <x:c r="C12" s="41" t="n">
        <x:v>3</x:v>
      </x:c>
      <x:c r="D12" s="41" t="str">
        <x:v>确认分派</x:v>
      </x:c>
      <x:c r="E12" s="41" t="str">
        <x:v>已选择师傅</x:v>
      </x:c>
      <x:c r="F12" s="41" t="str">
        <x:v>TL、CR</x:v>
      </x:c>
      <x:c r="G12" s="41" t="str">
        <x:v>填写派工备注并确认分派</x:v>
      </x:c>
      <x:c r="H12" s="41" t="str">
        <x:v>分派弹窗</x:v>
      </x:c>
      <x:c r="I12" s="41" t="str">
        <x:v>师傅、单据类型、派工备注</x:v>
      </x:c>
      <x:c r="J12" s="41" t="str">
        <x:v>待分派/待确认/待处理/处理中</x:v>
      </x:c>
      <x:c r="K12" s="41" t="str">
        <x:v>待确认</x:v>
      </x:c>
      <x:c r="L12" s="41" t="str">
        <x:v>分派日志及师傅通知</x:v>
      </x:c>
      <x:c r="M12" s="41" t="str">
        <x:v>系统自动判定SR或完工单；改派保留原记录</x:v>
      </x:c>
      <x:c r="N12" s="41" t="str">
        <x:v>CR能否直接分派待确认</x:v>
      </x:c>
      <x:c r="O12" s="41" t="str">
        <x:v>P0</x:v>
      </x:c>
      <x:c r="P12" s="41" t="str">
        <x:v>F019-F021</x:v>
      </x:c>
      <x:c r="Q12" s="43" t="str">
        <x:v>待确认</x:v>
      </x:c>
      <x:c r="R12" s="43" t="str"/>
      <x:c r="S12" s="43" t="str"/>
    </x:row>
    <x:row r="13" ht="66" customHeight="1">
      <x:c r="A13" s="41" t="str">
        <x:v>P02</x:v>
      </x:c>
      <x:c r="B13" s="41" t="str">
        <x:v>分派、接单与工单池</x:v>
      </x:c>
      <x:c r="C13" s="41" t="n">
        <x:v>4</x:v>
      </x:c>
      <x:c r="D13" s="41" t="str">
        <x:v>师傅接单</x:v>
      </x:c>
      <x:c r="E13" s="41" t="str">
        <x:v>收到分派通知</x:v>
      </x:c>
      <x:c r="F13" s="41" t="str">
        <x:v>MASTER</x:v>
      </x:c>
      <x:c r="G13" s="41" t="str">
        <x:v>确认收到任务</x:v>
      </x:c>
      <x:c r="H13" s="41" t="str">
        <x:v>师傅CALL详情</x:v>
      </x:c>
      <x:c r="I13" s="41" t="str">
        <x:v>CALL编号、预计到场时间</x:v>
      </x:c>
      <x:c r="J13" s="41" t="str">
        <x:v>待确认</x:v>
      </x:c>
      <x:c r="K13" s="41" t="str">
        <x:v>待处理</x:v>
      </x:c>
      <x:c r="L13" s="41" t="str">
        <x:v>接单记录</x:v>
      </x:c>
      <x:c r="M13" s="41" t="str">
        <x:v>仅本人任务可操作</x:v>
      </x:c>
      <x:c r="N13" s="41" t="str">
        <x:v>预计到场是否强制待确认</x:v>
      </x:c>
      <x:c r="O13" s="41" t="str">
        <x:v>P0</x:v>
      </x:c>
      <x:c r="P13" s="41" t="str">
        <x:v>F022、F026</x:v>
      </x:c>
      <x:c r="Q13" s="43" t="str">
        <x:v>待确认</x:v>
      </x:c>
      <x:c r="R13" s="43" t="str"/>
      <x:c r="S13" s="43" t="str"/>
    </x:row>
    <x:row r="14" ht="66" customHeight="1">
      <x:c r="A14" s="41" t="str">
        <x:v>P02</x:v>
      </x:c>
      <x:c r="B14" s="41" t="str">
        <x:v>分派、接单与工单池</x:v>
      </x:c>
      <x:c r="C14" s="41" t="n">
        <x:v>5</x:v>
      </x:c>
      <x:c r="D14" s="41" t="str">
        <x:v>师傅拒单</x:v>
      </x:c>
      <x:c r="E14" s="41" t="str">
        <x:v>无法接单</x:v>
      </x:c>
      <x:c r="F14" s="41" t="str">
        <x:v>MASTER</x:v>
      </x:c>
      <x:c r="G14" s="41" t="str">
        <x:v>选择拒单并填写原因</x:v>
      </x:c>
      <x:c r="H14" s="41" t="str">
        <x:v>师傅CALL详情</x:v>
      </x:c>
      <x:c r="I14" s="41" t="str">
        <x:v>拒单原因</x:v>
      </x:c>
      <x:c r="J14" s="41" t="str">
        <x:v>待确认</x:v>
      </x:c>
      <x:c r="K14" s="41" t="str">
        <x:v>待分派</x:v>
      </x:c>
      <x:c r="L14" s="41" t="str">
        <x:v>拒单记录及主管通知</x:v>
      </x:c>
      <x:c r="M14" s="41" t="str">
        <x:v>拒单原因必填</x:v>
      </x:c>
      <x:c r="N14" s="41" t="str">
        <x:v>拒单次数和升级策略待确认</x:v>
      </x:c>
      <x:c r="O14" s="41" t="str">
        <x:v>P0</x:v>
      </x:c>
      <x:c r="P14" s="41" t="str">
        <x:v>F022、F075</x:v>
      </x:c>
      <x:c r="Q14" s="43" t="str">
        <x:v>待确认</x:v>
      </x:c>
      <x:c r="R14" s="43" t="str"/>
      <x:c r="S14" s="43" t="str"/>
    </x:row>
    <x:row r="15" ht="66" customHeight="1">
      <x:c r="A15" s="41" t="str">
        <x:v>P02</x:v>
      </x:c>
      <x:c r="B15" s="41" t="str">
        <x:v>分派、接单与工单池</x:v>
      </x:c>
      <x:c r="C15" s="41" t="n">
        <x:v>6</x:v>
      </x:c>
      <x:c r="D15" s="41" t="str">
        <x:v>工单池申请</x:v>
      </x:c>
      <x:c r="E15" s="41" t="str">
        <x:v>任务开放到工单池</x:v>
      </x:c>
      <x:c r="F15" s="41" t="str">
        <x:v>MASTER、TL</x:v>
      </x:c>
      <x:c r="G15" s="41" t="str">
        <x:v>师傅申请接单，主管通过或拒绝</x:v>
      </x:c>
      <x:c r="H15" s="41" t="str">
        <x:v>工单池/分派申请审批</x:v>
      </x:c>
      <x:c r="I15" s="41" t="str">
        <x:v>申请师傅、时间、说明、审批意见</x:v>
      </x:c>
      <x:c r="J15" s="41" t="str">
        <x:v>待分派</x:v>
      </x:c>
      <x:c r="K15" s="41" t="str">
        <x:v>待审批→待确认/待分派</x:v>
      </x:c>
      <x:c r="L15" s="41" t="str">
        <x:v>审批记录和分派结果</x:v>
      </x:c>
      <x:c r="M15" s="41" t="str">
        <x:v>审批通过后分派给申请师傅</x:v>
      </x:c>
      <x:c r="N15" s="41" t="str">
        <x:v>是否启用工单池待确认</x:v>
      </x:c>
      <x:c r="O15" s="41" t="str">
        <x:v>P1/待评审</x:v>
      </x:c>
      <x:c r="P15" s="41" t="str">
        <x:v>F023、F076</x:v>
      </x:c>
      <x:c r="Q15" s="43" t="str">
        <x:v>待确认</x:v>
      </x:c>
      <x:c r="R15" s="43" t="str"/>
      <x:c r="S15" s="43" t="str"/>
    </x:row>
    <x:row r="16" ht="66" customHeight="1">
      <x:c r="A16" s="41" t="str">
        <x:v>P03</x:v>
      </x:c>
      <x:c r="B16" s="41" t="str">
        <x:v>移动现场处理与完工</x:v>
      </x:c>
      <x:c r="C16" s="41" t="n">
        <x:v>1</x:v>
      </x:c>
      <x:c r="D16" s="41" t="str">
        <x:v>查看任务</x:v>
      </x:c>
      <x:c r="E16" s="41" t="str">
        <x:v>师傅已接单</x:v>
      </x:c>
      <x:c r="F16" s="41" t="str">
        <x:v>MASTER</x:v>
      </x:c>
      <x:c r="G16" s="41" t="str">
        <x:v>查看客户、地点、问题和附件</x:v>
      </x:c>
      <x:c r="H16" s="41" t="str">
        <x:v>师傅首页/CALL详情</x:v>
      </x:c>
      <x:c r="I16" s="41" t="str">
        <x:v>客户、地址、问题、附件、优先级</x:v>
      </x:c>
      <x:c r="J16" s="41" t="str">
        <x:v>待处理</x:v>
      </x:c>
      <x:c r="K16" s="41" t="str">
        <x:v>待处理</x:v>
      </x:c>
      <x:c r="L16" s="41" t="str">
        <x:v>现场任务资料</x:v>
      </x:c>
      <x:c r="M16" s="41" t="str">
        <x:v>仅展示本人授权任务</x:v>
      </x:c>
      <x:c r="N16" s="41" t="str">
        <x:v>紧急和催单排序规则待确认</x:v>
      </x:c>
      <x:c r="O16" s="41" t="str">
        <x:v>P0</x:v>
      </x:c>
      <x:c r="P16" s="41" t="str">
        <x:v>F024-F026</x:v>
      </x:c>
      <x:c r="Q16" s="43" t="str">
        <x:v>待确认</x:v>
      </x:c>
      <x:c r="R16" s="43" t="str"/>
      <x:c r="S16" s="43" t="str"/>
    </x:row>
    <x:row r="17" ht="66" customHeight="1">
      <x:c r="A17" s="41" t="str">
        <x:v>P03</x:v>
      </x:c>
      <x:c r="B17" s="41" t="str">
        <x:v>移动现场处理与完工</x:v>
      </x:c>
      <x:c r="C17" s="41" t="n">
        <x:v>2</x:v>
      </x:c>
      <x:c r="D17" s="41" t="str">
        <x:v>现场签到</x:v>
      </x:c>
      <x:c r="E17" s="41" t="str">
        <x:v>到达现场</x:v>
      </x:c>
      <x:c r="F17" s="41" t="str">
        <x:v>MASTER</x:v>
      </x:c>
      <x:c r="G17" s="41" t="str">
        <x:v>点击签到并记录时间和位置说明</x:v>
      </x:c>
      <x:c r="H17" s="41" t="str">
        <x:v>现场处理</x:v>
      </x:c>
      <x:c r="I17" s="41" t="str">
        <x:v>到场时间、位置说明</x:v>
      </x:c>
      <x:c r="J17" s="41" t="str">
        <x:v>待处理</x:v>
      </x:c>
      <x:c r="K17" s="41" t="str">
        <x:v>处理中</x:v>
      </x:c>
      <x:c r="L17" s="41" t="str">
        <x:v>签到记录</x:v>
      </x:c>
      <x:c r="M17" s="41" t="str">
        <x:v>签到后才能开始处理</x:v>
      </x:c>
      <x:c r="N17" s="41" t="str">
        <x:v>真实定位与围栏需真机POC</x:v>
      </x:c>
      <x:c r="O17" s="41" t="str">
        <x:v>P0</x:v>
      </x:c>
      <x:c r="P17" s="41" t="str">
        <x:v>F026、F029</x:v>
      </x:c>
      <x:c r="Q17" s="43" t="str">
        <x:v>待确认</x:v>
      </x:c>
      <x:c r="R17" s="43" t="str"/>
      <x:c r="S17" s="43" t="str"/>
    </x:row>
    <x:row r="18" ht="66" customHeight="1">
      <x:c r="A18" s="41" t="str">
        <x:v>P03</x:v>
      </x:c>
      <x:c r="B18" s="41" t="str">
        <x:v>移动现场处理与完工</x:v>
      </x:c>
      <x:c r="C18" s="41" t="n">
        <x:v>3</x:v>
      </x:c>
      <x:c r="D18" s="41" t="str">
        <x:v>记录处理</x:v>
      </x:c>
      <x:c r="E18" s="41" t="str">
        <x:v>签到完成</x:v>
      </x:c>
      <x:c r="F18" s="41" t="str">
        <x:v>MASTER</x:v>
      </x:c>
      <x:c r="G18" s="41" t="str">
        <x:v>填写处理内容，上传Before/After照片及附件</x:v>
      </x:c>
      <x:c r="H18" s="41" t="str">
        <x:v>现场处理/服务报告</x:v>
      </x:c>
      <x:c r="I18" s="41" t="str">
        <x:v>完成工作、故障结果、照片、材料、车资</x:v>
      </x:c>
      <x:c r="J18" s="41" t="str">
        <x:v>处理中</x:v>
      </x:c>
      <x:c r="K18" s="41" t="str">
        <x:v>处理中</x:v>
      </x:c>
      <x:c r="L18" s="41" t="str">
        <x:v>现场处理记录</x:v>
      </x:c>
      <x:c r="M18" s="41" t="str">
        <x:v>照片即时保存；不可拍照客户按豁免规则处理</x:v>
      </x:c>
      <x:c r="N18" s="41" t="str">
        <x:v>照片数量、大小和保留期待确认</x:v>
      </x:c>
      <x:c r="O18" s="41" t="str">
        <x:v>P0</x:v>
      </x:c>
      <x:c r="P18" s="41" t="str">
        <x:v>F027-F030、F074</x:v>
      </x:c>
      <x:c r="Q18" s="43" t="str">
        <x:v>待确认</x:v>
      </x:c>
      <x:c r="R18" s="43" t="str"/>
      <x:c r="S18" s="43" t="str"/>
    </x:row>
    <x:row r="19" ht="66" customHeight="1">
      <x:c r="A19" s="41" t="str">
        <x:v>P03</x:v>
      </x:c>
      <x:c r="B19" s="41" t="str">
        <x:v>移动现场处理与完工</x:v>
      </x:c>
      <x:c r="C19" s="41" t="n">
        <x:v>4</x:v>
      </x:c>
      <x:c r="D19" s="41" t="str">
        <x:v>填写报告</x:v>
      </x:c>
      <x:c r="E19" s="41" t="str">
        <x:v>现场处理完成</x:v>
      </x:c>
      <x:c r="F19" s="41" t="str">
        <x:v>MASTER</x:v>
      </x:c>
      <x:c r="G19" s="41" t="str">
        <x:v>填写SR或完工单，选择是否需要报价</x:v>
      </x:c>
      <x:c r="H19" s="41" t="str">
        <x:v>服务报告/完工单</x:v>
      </x:c>
      <x:c r="I19" s="41" t="str">
        <x:v>SR编号、系统、目的、跟进、材料、报价需求</x:v>
      </x:c>
      <x:c r="J19" s="41" t="str">
        <x:v>处理中</x:v>
      </x:c>
      <x:c r="K19" s="41" t="str">
        <x:v>处理中</x:v>
      </x:c>
      <x:c r="L19" s="41" t="str">
        <x:v>待提交报告</x:v>
      </x:c>
      <x:c r="M19" s="41" t="str">
        <x:v>单据类型由系统按物料/采购/报价关联判定</x:v>
      </x:c>
      <x:c r="N19" s="41" t="str">
        <x:v>SR编号、完工单模板和OCR方案待确认</x:v>
      </x:c>
      <x:c r="O19" s="41" t="str">
        <x:v>P0/P1</x:v>
      </x:c>
      <x:c r="P19" s="41" t="str">
        <x:v>F027、F028、F030、F032</x:v>
      </x:c>
      <x:c r="Q19" s="43" t="str">
        <x:v>待确认</x:v>
      </x:c>
      <x:c r="R19" s="43" t="str"/>
      <x:c r="S19" s="43" t="str"/>
    </x:row>
    <x:row r="20" ht="66" customHeight="1">
      <x:c r="A20" s="41" t="str">
        <x:v>P03</x:v>
      </x:c>
      <x:c r="B20" s="41" t="str">
        <x:v>移动现场处理与完工</x:v>
      </x:c>
      <x:c r="C20" s="41" t="n">
        <x:v>5</x:v>
      </x:c>
      <x:c r="D20" s="41" t="str">
        <x:v>客户确认</x:v>
      </x:c>
      <x:c r="E20" s="41" t="str">
        <x:v>需要客户确认</x:v>
      </x:c>
      <x:c r="F20" s="41" t="str">
        <x:v>MASTER、客户</x:v>
      </x:c>
      <x:c r="G20" s="41" t="str">
        <x:v>记录满意度和签名，或标记客户不在场</x:v>
      </x:c>
      <x:c r="H20" s="41" t="str">
        <x:v>完工单与客户确认</x:v>
      </x:c>
      <x:c r="I20" s="41" t="str">
        <x:v>满意度、电子签名、客户不在场</x:v>
      </x:c>
      <x:c r="J20" s="41" t="str">
        <x:v>处理中</x:v>
      </x:c>
      <x:c r="K20" s="41" t="str">
        <x:v>处理中</x:v>
      </x:c>
      <x:c r="L20" s="41" t="str">
        <x:v>客户确认记录</x:v>
      </x:c>
      <x:c r="M20" s="41" t="str">
        <x:v>签名与不在场二选一</x:v>
      </x:c>
      <x:c r="N20" s="41" t="str">
        <x:v>签名正本和法律效力待确认</x:v>
      </x:c>
      <x:c r="O20" s="41" t="str">
        <x:v>P0</x:v>
      </x:c>
      <x:c r="P20" s="41" t="str">
        <x:v>F031</x:v>
      </x:c>
      <x:c r="Q20" s="43" t="str">
        <x:v>待确认</x:v>
      </x:c>
      <x:c r="R20" s="43" t="str"/>
      <x:c r="S20" s="43" t="str"/>
    </x:row>
    <x:row r="21" ht="66" customHeight="1">
      <x:c r="A21" s="41" t="str">
        <x:v>P03</x:v>
      </x:c>
      <x:c r="B21" s="41" t="str">
        <x:v>移动现场处理与完工</x:v>
      </x:c>
      <x:c r="C21" s="41" t="n">
        <x:v>6</x:v>
      </x:c>
      <x:c r="D21" s="41" t="str">
        <x:v>提交完工</x:v>
      </x:c>
      <x:c r="E21" s="41" t="str">
        <x:v>必填项通过</x:v>
      </x:c>
      <x:c r="F21" s="41" t="str">
        <x:v>MASTER</x:v>
      </x:c>
      <x:c r="G21" s="41" t="str">
        <x:v>提交服务报告或完工单并完成CALL</x:v>
      </x:c>
      <x:c r="H21" s="41" t="str">
        <x:v>现场处理/完工单</x:v>
      </x:c>
      <x:c r="I21" s="41" t="str">
        <x:v>提交备注、照片、签名、报价需求</x:v>
      </x:c>
      <x:c r="J21" s="41" t="str">
        <x:v>处理中</x:v>
      </x:c>
      <x:c r="K21" s="41" t="str">
        <x:v>已完成</x:v>
      </x:c>
      <x:c r="L21" s="41" t="str">
        <x:v>报告、通知及可选报价请求</x:v>
      </x:c>
      <x:c r="M21" s="41" t="str">
        <x:v>当前原型提交后直接已完成并写入时间线</x:v>
      </x:c>
      <x:c r="N21" s="41" t="str">
        <x:v>是否增加主管完工确认节点待客户确认</x:v>
      </x:c>
      <x:c r="O21" s="41" t="str">
        <x:v>P0</x:v>
      </x:c>
      <x:c r="P21" s="41" t="str">
        <x:v>F033、F043</x:v>
      </x:c>
      <x:c r="Q21" s="43" t="str">
        <x:v>待确认</x:v>
      </x:c>
      <x:c r="R21" s="43" t="str"/>
      <x:c r="S21" s="43" t="str"/>
    </x:row>
    <x:row r="22" ht="66" customHeight="1">
      <x:c r="A22" s="41" t="str">
        <x:v>P04</x:v>
      </x:c>
      <x:c r="B22" s="41" t="str">
        <x:v>报告归档与发送</x:v>
      </x:c>
      <x:c r="C22" s="41" t="n">
        <x:v>1</x:v>
      </x:c>
      <x:c r="D22" s="41" t="str">
        <x:v>形成报告</x:v>
      </x:c>
      <x:c r="E22" s="41" t="str">
        <x:v>CALL完工提交</x:v>
      </x:c>
      <x:c r="F22" s="41" t="str">
        <x:v>系统</x:v>
      </x:c>
      <x:c r="G22" s="41" t="str">
        <x:v>按单据类型形成SR或完工单记录</x:v>
      </x:c>
      <x:c r="H22" s="41" t="str">
        <x:v>报告管理</x:v>
      </x:c>
      <x:c r="I22" s="41" t="str">
        <x:v>报告编号、类型、关联CALL、签名状态</x:v>
      </x:c>
      <x:c r="J22" s="41" t="str">
        <x:v>处理中</x:v>
      </x:c>
      <x:c r="K22" s="41" t="str">
        <x:v>已完成</x:v>
      </x:c>
      <x:c r="L22" s="41" t="str">
        <x:v>报告档案</x:v>
      </x:c>
      <x:c r="M22" s="41" t="str">
        <x:v>报告与CALL一一关联或按规则关联</x:v>
      </x:c>
      <x:c r="N22" s="41" t="str">
        <x:v>正式编号和模板待确认</x:v>
      </x:c>
      <x:c r="O22" s="41" t="str">
        <x:v>P0</x:v>
      </x:c>
      <x:c r="P22" s="41" t="str">
        <x:v>F035、F037</x:v>
      </x:c>
      <x:c r="Q22" s="43" t="str">
        <x:v>待确认</x:v>
      </x:c>
      <x:c r="R22" s="43" t="str"/>
      <x:c r="S22" s="43" t="str"/>
    </x:row>
    <x:row r="23" ht="66" customHeight="1">
      <x:c r="A23" s="41" t="str">
        <x:v>P04</x:v>
      </x:c>
      <x:c r="B23" s="41" t="str">
        <x:v>报告归档与发送</x:v>
      </x:c>
      <x:c r="C23" s="41" t="n">
        <x:v>2</x:v>
      </x:c>
      <x:c r="D23" s="41" t="str">
        <x:v>查询查看</x:v>
      </x:c>
      <x:c r="E23" s="41" t="str">
        <x:v>报告已生成</x:v>
      </x:c>
      <x:c r="F23" s="41" t="str">
        <x:v>CS、CR、TL、ADMIN</x:v>
      </x:c>
      <x:c r="G23" s="41" t="str">
        <x:v>按编号、客户、区域、状态和内容筛选并查看</x:v>
      </x:c>
      <x:c r="H23" s="41" t="str">
        <x:v>报告管理/详情</x:v>
      </x:c>
      <x:c r="I23" s="41" t="str">
        <x:v>报告类型、状态、客户、区域、内容</x:v>
      </x:c>
      <x:c r="J23" s="41" t="str">
        <x:v>已完成</x:v>
      </x:c>
      <x:c r="K23" s="41" t="str">
        <x:v>已完成</x:v>
      </x:c>
      <x:c r="L23" s="41" t="str">
        <x:v>报告详情</x:v>
      </x:c>
      <x:c r="M23" s="41" t="str">
        <x:v>按角色与数据范围控制访问</x:v>
      </x:c>
      <x:c r="N23" s="41" t="str">
        <x:v>客户是否可直接访问待确认</x:v>
      </x:c>
      <x:c r="O23" s="41" t="str">
        <x:v>P0</x:v>
      </x:c>
      <x:c r="P23" s="41" t="str">
        <x:v>F036、F037</x:v>
      </x:c>
      <x:c r="Q23" s="43" t="str">
        <x:v>待确认</x:v>
      </x:c>
      <x:c r="R23" s="43" t="str"/>
      <x:c r="S23" s="43" t="str"/>
    </x:row>
    <x:row r="24" ht="66" customHeight="1">
      <x:c r="A24" s="41" t="str">
        <x:v>P04</x:v>
      </x:c>
      <x:c r="B24" s="41" t="str">
        <x:v>报告归档与发送</x:v>
      </x:c>
      <x:c r="C24" s="41" t="n">
        <x:v>3</x:v>
      </x:c>
      <x:c r="D24" s="41" t="str">
        <x:v>发送客户</x:v>
      </x:c>
      <x:c r="E24" s="41" t="str">
        <x:v>报告可发送</x:v>
      </x:c>
      <x:c r="F24" s="41" t="str">
        <x:v>CS、CR</x:v>
      </x:c>
      <x:c r="G24" s="41" t="str">
        <x:v>选择渠道和收件人发送报告</x:v>
      </x:c>
      <x:c r="H24" s="41" t="str">
        <x:v>报告发送</x:v>
      </x:c>
      <x:c r="I24" s="41" t="str">
        <x:v>渠道、收件人、报告附件</x:v>
      </x:c>
      <x:c r="J24" s="41" t="str">
        <x:v>已完成</x:v>
      </x:c>
      <x:c r="K24" s="41" t="str">
        <x:v>已完成</x:v>
      </x:c>
      <x:c r="L24" s="41" t="str">
        <x:v>发送动作和客户副本</x:v>
      </x:c>
      <x:c r="M24" s="41" t="str">
        <x:v>原型仅模拟Email/WhatsApp发送</x:v>
      </x:c>
      <x:c r="N24" s="41" t="str">
        <x:v>真实模板、鉴权和失败重试需POC</x:v>
      </x:c>
      <x:c r="O24" s="41" t="str">
        <x:v>P1</x:v>
      </x:c>
      <x:c r="P24" s="41" t="str">
        <x:v>F038</x:v>
      </x:c>
      <x:c r="Q24" s="43" t="str">
        <x:v>待确认</x:v>
      </x:c>
      <x:c r="R24" s="43" t="str"/>
      <x:c r="S24" s="43" t="str"/>
    </x:row>
    <x:row r="25" ht="66" customHeight="1">
      <x:c r="A25" s="41" t="str">
        <x:v>P04</x:v>
      </x:c>
      <x:c r="B25" s="41" t="str">
        <x:v>报告归档与发送</x:v>
      </x:c>
      <x:c r="C25" s="41" t="n">
        <x:v>4</x:v>
      </x:c>
      <x:c r="D25" s="41" t="str">
        <x:v>记录归档</x:v>
      </x:c>
      <x:c r="E25" s="41" t="str">
        <x:v>发送完成或达到归档条件</x:v>
      </x:c>
      <x:c r="F25" s="41" t="str">
        <x:v>系统、ADMIN</x:v>
      </x:c>
      <x:c r="G25" s="41" t="str">
        <x:v>记录发送结果并按保留规则归档</x:v>
      </x:c>
      <x:c r="H25" s="41" t="str">
        <x:v>发送日志/归档规则</x:v>
      </x:c>
      <x:c r="I25" s="41" t="str">
        <x:v>发送时间、结果、保留期、备份位置</x:v>
      </x:c>
      <x:c r="J25" s="41" t="str">
        <x:v>已完成</x:v>
      </x:c>
      <x:c r="K25" s="41" t="str">
        <x:v>已归档（待确认）</x:v>
      </x:c>
      <x:c r="L25" s="41" t="str">
        <x:v>发送日志及归档记录</x:v>
      </x:c>
      <x:c r="M25" s="41" t="str">
        <x:v>归档不等同删除，必须支持恢复审计</x:v>
      </x:c>
      <x:c r="N25" s="41" t="str">
        <x:v>是否新增已归档主状态待确认</x:v>
      </x:c>
      <x:c r="O25" s="41" t="str">
        <x:v>P1/待评审</x:v>
      </x:c>
      <x:c r="P25" s="41" t="str">
        <x:v>F039、F080</x:v>
      </x:c>
      <x:c r="Q25" s="43" t="str">
        <x:v>待确认</x:v>
      </x:c>
      <x:c r="R25" s="43" t="str"/>
      <x:c r="S25" s="43" t="str"/>
    </x:row>
    <x:row r="26" ht="66" customHeight="1">
      <x:c r="A26" s="41" t="str">
        <x:v>P05</x:v>
      </x:c>
      <x:c r="B26" s="41" t="str">
        <x:v>报价、中单与采购</x:v>
      </x:c>
      <x:c r="C26" s="41" t="n">
        <x:v>1</x:v>
      </x:c>
      <x:c r="D26" s="41" t="str">
        <x:v>触发报价</x:v>
      </x:c>
      <x:c r="E26" s="41" t="str">
        <x:v>服务报告选择需要报价或人工新建</x:v>
      </x:c>
      <x:c r="F26" s="41" t="str">
        <x:v>MASTER、QUO、CR</x:v>
      </x:c>
      <x:c r="G26" s="41" t="str">
        <x:v>生成或登记报价需求并关联CALL/SR/客户</x:v>
      </x:c>
      <x:c r="H26" s="41" t="str">
        <x:v>报价单</x:v>
      </x:c>
      <x:c r="I26" s="41" t="str">
        <x:v>来源、CALL、SR、客户、报价说明</x:v>
      </x:c>
      <x:c r="J26" s="41" t="str">
        <x:v>无报价</x:v>
      </x:c>
      <x:c r="K26" s="41" t="str">
        <x:v>待报价</x:v>
      </x:c>
      <x:c r="L26" s="41" t="str">
        <x:v>报价需求</x:v>
      </x:c>
      <x:c r="M26" s="41" t="str">
        <x:v>同一来源避免重复创建</x:v>
      </x:c>
      <x:c r="N26" s="41" t="str">
        <x:v>自动触发条件待确认</x:v>
      </x:c>
      <x:c r="O26" s="41" t="str">
        <x:v>P1/P2</x:v>
      </x:c>
      <x:c r="P26" s="41" t="str">
        <x:v>F040、F043</x:v>
      </x:c>
      <x:c r="Q26" s="43" t="str">
        <x:v>待确认</x:v>
      </x:c>
      <x:c r="R26" s="43" t="str"/>
      <x:c r="S26" s="43" t="str"/>
    </x:row>
    <x:row r="27" ht="66" customHeight="1">
      <x:c r="A27" s="41" t="str">
        <x:v>P05</x:v>
      </x:c>
      <x:c r="B27" s="41" t="str">
        <x:v>报价、中单与采购</x:v>
      </x:c>
      <x:c r="C27" s="41" t="n">
        <x:v>2</x:v>
      </x:c>
      <x:c r="D27" s="41" t="str">
        <x:v>编制报价</x:v>
      </x:c>
      <x:c r="E27" s="41" t="str">
        <x:v>报价需求进入待报价</x:v>
      </x:c>
      <x:c r="F27" s="41" t="str">
        <x:v>QUO</x:v>
      </x:c>
      <x:c r="G27" s="41" t="str">
        <x:v>维护类别、物料、数量、金额、税率和期限</x:v>
      </x:c>
      <x:c r="H27" s="41" t="str">
        <x:v>报价单/明细</x:v>
      </x:c>
      <x:c r="I27" s="41" t="str">
        <x:v>物料、数量、单价、税率、负责人、有效期</x:v>
      </x:c>
      <x:c r="J27" s="41" t="str">
        <x:v>待报价</x:v>
      </x:c>
      <x:c r="K27" s="41" t="str">
        <x:v>报价中</x:v>
      </x:c>
      <x:c r="L27" s="41" t="str">
        <x:v>报价草稿</x:v>
      </x:c>
      <x:c r="M27" s="41" t="str">
        <x:v>历史成本和供应商仅作参考，不锁库存</x:v>
      </x:c>
      <x:c r="N27" s="41" t="str">
        <x:v>金额审批和成本来源待确认</x:v>
      </x:c>
      <x:c r="O27" s="41" t="str">
        <x:v>P1/P2</x:v>
      </x:c>
      <x:c r="P27" s="41" t="str">
        <x:v>F041、F042</x:v>
      </x:c>
      <x:c r="Q27" s="43" t="str">
        <x:v>待确认</x:v>
      </x:c>
      <x:c r="R27" s="43" t="str"/>
      <x:c r="S27" s="43" t="str"/>
    </x:row>
    <x:row r="28" ht="66" customHeight="1">
      <x:c r="A28" s="41" t="str">
        <x:v>P05</x:v>
      </x:c>
      <x:c r="B28" s="41" t="str">
        <x:v>报价、中单与采购</x:v>
      </x:c>
      <x:c r="C28" s="41" t="n">
        <x:v>3</x:v>
      </x:c>
      <x:c r="D28" s="41" t="str">
        <x:v>发出与修订</x:v>
      </x:c>
      <x:c r="E28" s="41" t="str">
        <x:v>报价草稿完成</x:v>
      </x:c>
      <x:c r="F28" s="41" t="str">
        <x:v>QUO</x:v>
      </x:c>
      <x:c r="G28" s="41" t="str">
        <x:v>发出报价；客户要求修改时建立新版本</x:v>
      </x:c>
      <x:c r="H28" s="41" t="str">
        <x:v>报价单</x:v>
      </x:c>
      <x:c r="I28" s="41" t="str">
        <x:v>状态、版本、修订说明、附件</x:v>
      </x:c>
      <x:c r="J28" s="41" t="str">
        <x:v>报价中</x:v>
      </x:c>
      <x:c r="K28" s="41" t="str">
        <x:v>报价中</x:v>
      </x:c>
      <x:c r="L28" s="41" t="str">
        <x:v>客户报价及修订历史</x:v>
      </x:c>
      <x:c r="M28" s="41" t="str">
        <x:v>保留R1/R2等版本记录</x:v>
      </x:c>
      <x:c r="N28" s="41" t="str">
        <x:v>发送渠道和电子签名待确认</x:v>
      </x:c>
      <x:c r="O28" s="41" t="str">
        <x:v>P1/P2</x:v>
      </x:c>
      <x:c r="P28" s="41" t="str">
        <x:v>F044、F045</x:v>
      </x:c>
      <x:c r="Q28" s="43" t="str">
        <x:v>待确认</x:v>
      </x:c>
      <x:c r="R28" s="43" t="str"/>
      <x:c r="S28" s="43" t="str"/>
    </x:row>
    <x:row r="29" ht="66" customHeight="1">
      <x:c r="A29" s="41" t="str">
        <x:v>P05</x:v>
      </x:c>
      <x:c r="B29" s="41" t="str">
        <x:v>报价、中单与采购</x:v>
      </x:c>
      <x:c r="C29" s="41" t="n">
        <x:v>4</x:v>
      </x:c>
      <x:c r="D29" s="41" t="str">
        <x:v>记录结果</x:v>
      </x:c>
      <x:c r="E29" s="41" t="str">
        <x:v>客户回复报价</x:v>
      </x:c>
      <x:c r="F29" s="41" t="str">
        <x:v>QUO、BOSS</x:v>
      </x:c>
      <x:c r="G29" s="41" t="str">
        <x:v>标记已中单或丢单并记录原因</x:v>
      </x:c>
      <x:c r="H29" s="41" t="str">
        <x:v>报价状态更新</x:v>
      </x:c>
      <x:c r="I29" s="41" t="str">
        <x:v>中单状态、最终金额、丢单原因</x:v>
      </x:c>
      <x:c r="J29" s="41" t="str">
        <x:v>报价中</x:v>
      </x:c>
      <x:c r="K29" s="41" t="str">
        <x:v>已中单/丢单</x:v>
      </x:c>
      <x:c r="L29" s="41" t="str">
        <x:v>报价结果</x:v>
      </x:c>
      <x:c r="M29" s="41" t="str">
        <x:v>状态变化写入业务记录</x:v>
      </x:c>
      <x:c r="N29" s="41" t="str">
        <x:v>中单证明和修改权限待确认</x:v>
      </x:c>
      <x:c r="O29" s="41" t="str">
        <x:v>P1/P2</x:v>
      </x:c>
      <x:c r="P29" s="41" t="str">
        <x:v>F044</x:v>
      </x:c>
      <x:c r="Q29" s="43" t="str">
        <x:v>待确认</x:v>
      </x:c>
      <x:c r="R29" s="43" t="str"/>
      <x:c r="S29" s="43" t="str"/>
    </x:row>
    <x:row r="30" ht="66" customHeight="1">
      <x:c r="A30" s="41" t="str">
        <x:v>P05</x:v>
      </x:c>
      <x:c r="B30" s="41" t="str">
        <x:v>报价、中单与采购</x:v>
      </x:c>
      <x:c r="C30" s="41" t="n">
        <x:v>5</x:v>
      </x:c>
      <x:c r="D30" s="41" t="str">
        <x:v>生成备货单</x:v>
      </x:c>
      <x:c r="E30" s="41" t="str">
        <x:v>报价变为已中单</x:v>
      </x:c>
      <x:c r="F30" s="41" t="str">
        <x:v>系统、PUR</x:v>
      </x:c>
      <x:c r="G30" s="41" t="str">
        <x:v>自动创建一张关联备货单</x:v>
      </x:c>
      <x:c r="H30" s="41" t="str">
        <x:v>备货单</x:v>
      </x:c>
      <x:c r="I30" s="41" t="str">
        <x:v>备货单编号、报价、CALL、物料</x:v>
      </x:c>
      <x:c r="J30" s="41" t="str">
        <x:v>已中单</x:v>
      </x:c>
      <x:c r="K30" s="41" t="str">
        <x:v>待下单</x:v>
      </x:c>
      <x:c r="L30" s="41" t="str">
        <x:v>备货任务</x:v>
      </x:c>
      <x:c r="M30" s="41" t="str">
        <x:v>同一报价重复触发不得重复建单</x:v>
      </x:c>
      <x:c r="N30" s="41" t="str">
        <x:v>自动化是否进入一期待确认</x:v>
      </x:c>
      <x:c r="O30" s="41" t="str">
        <x:v>P1/P2</x:v>
      </x:c>
      <x:c r="P30" s="41" t="str">
        <x:v>F051、F054</x:v>
      </x:c>
      <x:c r="Q30" s="43" t="str">
        <x:v>待确认</x:v>
      </x:c>
      <x:c r="R30" s="43" t="str"/>
      <x:c r="S30" s="43" t="str"/>
    </x:row>
    <x:row r="31" ht="66" customHeight="1">
      <x:c r="A31" s="41" t="str">
        <x:v>P05</x:v>
      </x:c>
      <x:c r="B31" s="41" t="str">
        <x:v>报价、中单与采购</x:v>
      </x:c>
      <x:c r="C31" s="41" t="n">
        <x:v>6</x:v>
      </x:c>
      <x:c r="D31" s="41" t="str">
        <x:v>建立采购单</x:v>
      </x:c>
      <x:c r="E31" s="41" t="str">
        <x:v>备货单需要采购</x:v>
      </x:c>
      <x:c r="F31" s="41" t="str">
        <x:v>PUR</x:v>
      </x:c>
      <x:c r="G31" s="41" t="str">
        <x:v>按供应商手工建立一张或多张采购单</x:v>
      </x:c>
      <x:c r="H31" s="41" t="str">
        <x:v>采购单</x:v>
      </x:c>
      <x:c r="I31" s="41" t="str">
        <x:v>供应商、物料、数量、预计到货</x:v>
      </x:c>
      <x:c r="J31" s="41" t="str">
        <x:v>待下单</x:v>
      </x:c>
      <x:c r="K31" s="41" t="str">
        <x:v>已下单</x:v>
      </x:c>
      <x:c r="L31" s="41" t="str">
        <x:v>采购单</x:v>
      </x:c>
      <x:c r="M31" s="41" t="str">
        <x:v>一张备货单可关联多张采购单</x:v>
      </x:c>
      <x:c r="N31" s="41" t="str">
        <x:v>审批及现有采购系统边界待确认</x:v>
      </x:c>
      <x:c r="O31" s="41" t="str">
        <x:v>P1/P2</x:v>
      </x:c>
      <x:c r="P31" s="41" t="str">
        <x:v>F051、F053</x:v>
      </x:c>
      <x:c r="Q31" s="43" t="str">
        <x:v>待确认</x:v>
      </x:c>
      <x:c r="R31" s="43" t="str"/>
      <x:c r="S31" s="43" t="str"/>
    </x:row>
    <x:row r="32" ht="66" customHeight="1">
      <x:c r="A32" s="41" t="str">
        <x:v>P05</x:v>
      </x:c>
      <x:c r="B32" s="41" t="str">
        <x:v>报价、中单与采购</x:v>
      </x:c>
      <x:c r="C32" s="41" t="n">
        <x:v>7</x:v>
      </x:c>
      <x:c r="D32" s="41" t="str">
        <x:v>跟踪到货</x:v>
      </x:c>
      <x:c r="E32" s="41" t="str">
        <x:v>供应商发货</x:v>
      </x:c>
      <x:c r="F32" s="41" t="str">
        <x:v>PUR</x:v>
      </x:c>
      <x:c r="G32" s="41" t="str">
        <x:v>更新已发货、到货和验收状态</x:v>
      </x:c>
      <x:c r="H32" s="41" t="str">
        <x:v>采购单</x:v>
      </x:c>
      <x:c r="I32" s="41" t="str">
        <x:v>状态、预计/实际到货、验收结果</x:v>
      </x:c>
      <x:c r="J32" s="41" t="str">
        <x:v>已下单</x:v>
      </x:c>
      <x:c r="K32" s="41" t="str">
        <x:v>已发货→到货→验收</x:v>
      </x:c>
      <x:c r="L32" s="41" t="str">
        <x:v>到货通知和验收记录</x:v>
      </x:c>
      <x:c r="M32" s="41" t="str">
        <x:v>停滞超过阈值触发提醒</x:v>
      </x:c>
      <x:c r="N32" s="41" t="str">
        <x:v>阈值和通知对象待确认</x:v>
      </x:c>
      <x:c r="O32" s="41" t="str">
        <x:v>P1/P2</x:v>
      </x:c>
      <x:c r="P32" s="41" t="str">
        <x:v>F052、F075</x:v>
      </x:c>
      <x:c r="Q32" s="43" t="str">
        <x:v>待确认</x:v>
      </x:c>
      <x:c r="R32" s="43" t="str"/>
      <x:c r="S32" s="43" t="str"/>
    </x:row>
    <x:row r="33" ht="66" customHeight="1">
      <x:c r="A33" s="41" t="str">
        <x:v>P05</x:v>
      </x:c>
      <x:c r="B33" s="41" t="str">
        <x:v>报价、中单与采购</x:v>
      </x:c>
      <x:c r="C33" s="41" t="n">
        <x:v>8</x:v>
      </x:c>
      <x:c r="D33" s="41" t="str">
        <x:v>创建后续CALL</x:v>
      </x:c>
      <x:c r="E33" s="41" t="str">
        <x:v>采购验收完成且需要安装</x:v>
      </x:c>
      <x:c r="F33" s="41" t="str">
        <x:v>PUR、TL</x:v>
      </x:c>
      <x:c r="G33" s="41" t="str">
        <x:v>选择是否建立待分派安装CALL</x:v>
      </x:c>
      <x:c r="H33" s="41" t="str">
        <x:v>采购单/新建CALL</x:v>
      </x:c>
      <x:c r="I33" s="41" t="str">
        <x:v>原CALL、后缀编号、安装内容</x:v>
      </x:c>
      <x:c r="J33" s="41" t="str">
        <x:v>验收</x:v>
      </x:c>
      <x:c r="K33" s="41" t="str">
        <x:v>待分派</x:v>
      </x:c>
      <x:c r="L33" s="41" t="str">
        <x:v>安装CALL</x:v>
      </x:c>
      <x:c r="M33" s="41" t="str">
        <x:v>仅在客户确认启用后执行</x:v>
      </x:c>
      <x:c r="N33" s="41" t="str">
        <x:v>编号后缀和责任人待确认</x:v>
      </x:c>
      <x:c r="O33" s="41" t="str">
        <x:v>P2</x:v>
      </x:c>
      <x:c r="P33" s="41" t="str">
        <x:v>F055、F056</x:v>
      </x:c>
      <x:c r="Q33" s="43" t="str">
        <x:v>待确认</x:v>
      </x:c>
      <x:c r="R33" s="43" t="str"/>
      <x:c r="S33" s="43" t="str"/>
    </x:row>
    <x:row r="34" ht="66" customHeight="1">
      <x:c r="A34" s="41" t="str">
        <x:v>P06</x:v>
      </x:c>
      <x:c r="B34" s="41" t="str">
        <x:v>标书管理</x:v>
      </x:c>
      <x:c r="C34" s="41" t="n">
        <x:v>1</x:v>
      </x:c>
      <x:c r="D34" s="41" t="str">
        <x:v>登记标书</x:v>
      </x:c>
      <x:c r="E34" s="41" t="str">
        <x:v>收到招标文件或主动建立机会</x:v>
      </x:c>
      <x:c r="F34" s="41" t="str">
        <x:v>TENDER</x:v>
      </x:c>
      <x:c r="G34" s="41" t="str">
        <x:v>新建或导入标书及附件</x:v>
      </x:c>
      <x:c r="H34" s="41" t="str">
        <x:v>标书表单</x:v>
      </x:c>
      <x:c r="I34" s="41" t="str">
        <x:v>来源、名称、文件、负责人</x:v>
      </x:c>
      <x:c r="J34" s="41" t="str">
        <x:v>无</x:v>
      </x:c>
      <x:c r="K34" s="41" t="str">
        <x:v>待投标</x:v>
      </x:c>
      <x:c r="L34" s="41" t="str">
        <x:v>标书记录</x:v>
      </x:c>
      <x:c r="M34" s="41" t="str">
        <x:v>导入失败保留错误原因</x:v>
      </x:c>
      <x:c r="N34" s="41" t="str">
        <x:v>来源与导入模板待确认</x:v>
      </x:c>
      <x:c r="O34" s="41" t="str">
        <x:v>P1/P2</x:v>
      </x:c>
      <x:c r="P34" s="41" t="str">
        <x:v>F046、F047</x:v>
      </x:c>
      <x:c r="Q34" s="43" t="str">
        <x:v>待确认</x:v>
      </x:c>
      <x:c r="R34" s="43" t="str"/>
      <x:c r="S34" s="43" t="str"/>
    </x:row>
    <x:row r="35" ht="66" customHeight="1">
      <x:c r="A35" s="41" t="str">
        <x:v>P06</x:v>
      </x:c>
      <x:c r="B35" s="41" t="str">
        <x:v>标书管理</x:v>
      </x:c>
      <x:c r="C35" s="41" t="n">
        <x:v>2</x:v>
      </x:c>
      <x:c r="D35" s="41" t="str">
        <x:v>投标准备</x:v>
      </x:c>
      <x:c r="E35" s="41" t="str">
        <x:v>标书进入待投标</x:v>
      </x:c>
      <x:c r="F35" s="41" t="str">
        <x:v>TENDER</x:v>
      </x:c>
      <x:c r="G35" s="41" t="str">
        <x:v>维护回标方式、截止时间、资料和内部备注</x:v>
      </x:c>
      <x:c r="H35" s="41" t="str">
        <x:v>标书详情</x:v>
      </x:c>
      <x:c r="I35" s="41" t="str">
        <x:v>回标方式、截止日期、附件、备注</x:v>
      </x:c>
      <x:c r="J35" s="41" t="str">
        <x:v>待投标</x:v>
      </x:c>
      <x:c r="K35" s="41" t="str">
        <x:v>待投标</x:v>
      </x:c>
      <x:c r="L35" s="41" t="str">
        <x:v>准备记录和倒计时</x:v>
      </x:c>
      <x:c r="M35" s="41" t="str">
        <x:v>到期前按规则提醒</x:v>
      </x:c>
      <x:c r="N35" s="41" t="str">
        <x:v>提醒频率和升级对象待确认</x:v>
      </x:c>
      <x:c r="O35" s="41" t="str">
        <x:v>P1/P2</x:v>
      </x:c>
      <x:c r="P35" s="41" t="str">
        <x:v>F047-F049</x:v>
      </x:c>
      <x:c r="Q35" s="43" t="str">
        <x:v>待确认</x:v>
      </x:c>
      <x:c r="R35" s="43" t="str"/>
      <x:c r="S35" s="43" t="str"/>
    </x:row>
    <x:row r="36" ht="66" customHeight="1">
      <x:c r="A36" s="41" t="str">
        <x:v>P06</x:v>
      </x:c>
      <x:c r="B36" s="41" t="str">
        <x:v>标书管理</x:v>
      </x:c>
      <x:c r="C36" s="41" t="n">
        <x:v>3</x:v>
      </x:c>
      <x:c r="D36" s="41" t="str">
        <x:v>师傅排程</x:v>
      </x:c>
      <x:c r="E36" s="41" t="str">
        <x:v>投标需要现场或技术人员</x:v>
      </x:c>
      <x:c r="F36" s="41" t="str">
        <x:v>TENDER、TL</x:v>
      </x:c>
      <x:c r="G36" s="41" t="str">
        <x:v>按区域、技能和日期安排师傅</x:v>
      </x:c>
      <x:c r="H36" s="41" t="str">
        <x:v>标书师傅排程</x:v>
      </x:c>
      <x:c r="I36" s="41" t="str">
        <x:v>师傅、区域、技能、日期、重复周期</x:v>
      </x:c>
      <x:c r="J36" s="41" t="str">
        <x:v>待投标</x:v>
      </x:c>
      <x:c r="K36" s="41" t="str">
        <x:v>待投标</x:v>
      </x:c>
      <x:c r="L36" s="41" t="str">
        <x:v>标书排程</x:v>
      </x:c>
      <x:c r="M36" s="41" t="str">
        <x:v>技能用于人工筛选</x:v>
      </x:c>
      <x:c r="N36" s="41" t="str">
        <x:v>是否保留排程功能待确认</x:v>
      </x:c>
      <x:c r="O36" s="41" t="str">
        <x:v>P2</x:v>
      </x:c>
      <x:c r="P36" s="41" t="str">
        <x:v>F050</x:v>
      </x:c>
      <x:c r="Q36" s="43" t="str">
        <x:v>待确认</x:v>
      </x:c>
      <x:c r="R36" s="43" t="str"/>
      <x:c r="S36" s="43" t="str"/>
    </x:row>
    <x:row r="37" ht="66" customHeight="1">
      <x:c r="A37" s="41" t="str">
        <x:v>P06</x:v>
      </x:c>
      <x:c r="B37" s="41" t="str">
        <x:v>标书管理</x:v>
      </x:c>
      <x:c r="C37" s="41" t="n">
        <x:v>4</x:v>
      </x:c>
      <x:c r="D37" s="41" t="str">
        <x:v>记录结果</x:v>
      </x:c>
      <x:c r="E37" s="41" t="str">
        <x:v>截止或收到评标结果</x:v>
      </x:c>
      <x:c r="F37" s="41" t="str">
        <x:v>TENDER、BOSS</x:v>
      </x:c>
      <x:c r="G37" s="41" t="str">
        <x:v>维护已中标、未中标或不投标</x:v>
      </x:c>
      <x:c r="H37" s="41" t="str">
        <x:v>标书详情</x:v>
      </x:c>
      <x:c r="I37" s="41" t="str">
        <x:v>投标状态、中标结果、原因</x:v>
      </x:c>
      <x:c r="J37" s="41" t="str">
        <x:v>待投标</x:v>
      </x:c>
      <x:c r="K37" s="41" t="str">
        <x:v>已中标/未中标/不投标</x:v>
      </x:c>
      <x:c r="L37" s="41" t="str">
        <x:v>结果与统计</x:v>
      </x:c>
      <x:c r="M37" s="41" t="str">
        <x:v>状态变更写入记录</x:v>
      </x:c>
      <x:c r="N37" s="41" t="str">
        <x:v>中标后是否自动转报价待确认</x:v>
      </x:c>
      <x:c r="O37" s="41" t="str">
        <x:v>P1/P2</x:v>
      </x:c>
      <x:c r="P37" s="41" t="str">
        <x:v>F048、F049</x:v>
      </x:c>
      <x:c r="Q37" s="43" t="str">
        <x:v>待确认</x:v>
      </x:c>
      <x:c r="R37" s="43" t="str"/>
      <x:c r="S37" s="43" t="str"/>
    </x:row>
    <x:row r="38" ht="66" customHeight="1">
      <x:c r="A38" s="41" t="str">
        <x:v>P07</x:v>
      </x:c>
      <x:c r="B38" s="41" t="str">
        <x:v>开票、收款与接口</x:v>
      </x:c>
      <x:c r="C38" s="41" t="n">
        <x:v>1</x:v>
      </x:c>
      <x:c r="D38" s="41" t="str">
        <x:v>生成待开票</x:v>
      </x:c>
      <x:c r="E38" s="41" t="str">
        <x:v>合约到期或业务达到开票条件</x:v>
      </x:c>
      <x:c r="F38" s="41" t="str">
        <x:v>系统、FIN</x:v>
      </x:c>
      <x:c r="G38" s="41" t="str">
        <x:v>按合约日期和频率生成待开票记录</x:v>
      </x:c>
      <x:c r="H38" s="41" t="str">
        <x:v>保养合约/待开票</x:v>
      </x:c>
      <x:c r="I38" s="41" t="str">
        <x:v>合约、期间、客户、金额</x:v>
      </x:c>
      <x:c r="J38" s="41" t="str">
        <x:v>未开票</x:v>
      </x:c>
      <x:c r="K38" s="41" t="str">
        <x:v>待开票</x:v>
      </x:c>
      <x:c r="L38" s="41" t="str">
        <x:v>待开票项目</x:v>
      </x:c>
      <x:c r="M38" s="41" t="str">
        <x:v>周期规则必须避免重复生成</x:v>
      </x:c>
      <x:c r="N38" s="41" t="str">
        <x:v>跨期和调整规则待确认</x:v>
      </x:c>
      <x:c r="O38" s="41" t="str">
        <x:v>P2</x:v>
      </x:c>
      <x:c r="P38" s="41" t="str">
        <x:v>F057、F061</x:v>
      </x:c>
      <x:c r="Q38" s="43" t="str">
        <x:v>待确认</x:v>
      </x:c>
      <x:c r="R38" s="43" t="str"/>
      <x:c r="S38" s="43" t="str"/>
    </x:row>
    <x:row r="39" ht="66" customHeight="1">
      <x:c r="A39" s="41" t="str">
        <x:v>P07</x:v>
      </x:c>
      <x:c r="B39" s="41" t="str">
        <x:v>开票、收款与接口</x:v>
      </x:c>
      <x:c r="C39" s="41" t="n">
        <x:v>2</x:v>
      </x:c>
      <x:c r="D39" s="41" t="str">
        <x:v>开具发票</x:v>
      </x:c>
      <x:c r="E39" s="41" t="str">
        <x:v>待开票记录通过审核</x:v>
      </x:c>
      <x:c r="F39" s="41" t="str">
        <x:v>FIN</x:v>
      </x:c>
      <x:c r="G39" s="41" t="str">
        <x:v>筛选、全选并批量开票和打印</x:v>
      </x:c>
      <x:c r="H39" s="41" t="str">
        <x:v>待开票/发票管理</x:v>
      </x:c>
      <x:c r="I39" s="41" t="str">
        <x:v>Job Code、描述、金额、账期、附件</x:v>
      </x:c>
      <x:c r="J39" s="41" t="str">
        <x:v>待开票</x:v>
      </x:c>
      <x:c r="K39" s="41" t="str">
        <x:v>已开票</x:v>
      </x:c>
      <x:c r="L39" s="41" t="str">
        <x:v>发票及打印记录</x:v>
      </x:c>
      <x:c r="M39" s="41" t="str">
        <x:v>金额变更需按权限控制</x:v>
      </x:c>
      <x:c r="N39" s="41" t="str">
        <x:v>审批和重印规则待确认</x:v>
      </x:c>
      <x:c r="O39" s="41" t="str">
        <x:v>P2</x:v>
      </x:c>
      <x:c r="P39" s="41" t="str">
        <x:v>F057、F058</x:v>
      </x:c>
      <x:c r="Q39" s="43" t="str">
        <x:v>待确认</x:v>
      </x:c>
      <x:c r="R39" s="43" t="str"/>
      <x:c r="S39" s="43" t="str"/>
    </x:row>
    <x:row r="40" ht="66" customHeight="1">
      <x:c r="A40" s="41" t="str">
        <x:v>P07</x:v>
      </x:c>
      <x:c r="B40" s="41" t="str">
        <x:v>开票、收款与接口</x:v>
      </x:c>
      <x:c r="C40" s="41" t="n">
        <x:v>3</x:v>
      </x:c>
      <x:c r="D40" s="41" t="str">
        <x:v>登记收款</x:v>
      </x:c>
      <x:c r="E40" s="41" t="str">
        <x:v>客户付款到账</x:v>
      </x:c>
      <x:c r="F40" s="41" t="str">
        <x:v>FIN</x:v>
      </x:c>
      <x:c r="G40" s="41" t="str">
        <x:v>关联发票，录入金额、日期和方式</x:v>
      </x:c>
      <x:c r="H40" s="41" t="str">
        <x:v>收款/收据</x:v>
      </x:c>
      <x:c r="I40" s="41" t="str">
        <x:v>发票、收款日期、金额、方式</x:v>
      </x:c>
      <x:c r="J40" s="41" t="str">
        <x:v>已开票</x:v>
      </x:c>
      <x:c r="K40" s="41" t="str">
        <x:v>已收款</x:v>
      </x:c>
      <x:c r="L40" s="41" t="str">
        <x:v>收款记录</x:v>
      </x:c>
      <x:c r="M40" s="41" t="str">
        <x:v>不得超过未收金额；异常需说明</x:v>
      </x:c>
      <x:c r="N40" s="41" t="str">
        <x:v>冲销和部分收款规则待确认</x:v>
      </x:c>
      <x:c r="O40" s="41" t="str">
        <x:v>P2</x:v>
      </x:c>
      <x:c r="P40" s="41" t="str">
        <x:v>F058、F059</x:v>
      </x:c>
      <x:c r="Q40" s="43" t="str">
        <x:v>待确认</x:v>
      </x:c>
      <x:c r="R40" s="43" t="str"/>
      <x:c r="S40" s="43" t="str"/>
    </x:row>
    <x:row r="41" ht="66" customHeight="1">
      <x:c r="A41" s="41" t="str">
        <x:v>P07</x:v>
      </x:c>
      <x:c r="B41" s="41" t="str">
        <x:v>开票、收款与接口</x:v>
      </x:c>
      <x:c r="C41" s="41" t="n">
        <x:v>4</x:v>
      </x:c>
      <x:c r="D41" s="41" t="str">
        <x:v>生成收据</x:v>
      </x:c>
      <x:c r="E41" s="41" t="str">
        <x:v>收款保存成功</x:v>
      </x:c>
      <x:c r="F41" s="41" t="str">
        <x:v>系统、FIN</x:v>
      </x:c>
      <x:c r="G41" s="41" t="str">
        <x:v>生成收据编号并打印或重印</x:v>
      </x:c>
      <x:c r="H41" s="41" t="str">
        <x:v>收款/收据</x:v>
      </x:c>
      <x:c r="I41" s="41" t="str">
        <x:v>收据编号、打印状态</x:v>
      </x:c>
      <x:c r="J41" s="41" t="str">
        <x:v>已收款</x:v>
      </x:c>
      <x:c r="K41" s="41" t="str">
        <x:v>已收款</x:v>
      </x:c>
      <x:c r="L41" s="41" t="str">
        <x:v>收据及打印日志</x:v>
      </x:c>
      <x:c r="M41" s="41" t="str">
        <x:v>收据编号唯一</x:v>
      </x:c>
      <x:c r="N41" s="41" t="str">
        <x:v>编号格式和重印权限待确认</x:v>
      </x:c>
      <x:c r="O41" s="41" t="str">
        <x:v>P2</x:v>
      </x:c>
      <x:c r="P41" s="41" t="str">
        <x:v>F059</x:v>
      </x:c>
      <x:c r="Q41" s="43" t="str">
        <x:v>待确认</x:v>
      </x:c>
      <x:c r="R41" s="43" t="str"/>
      <x:c r="S41" s="43" t="str"/>
    </x:row>
    <x:row r="42" ht="66" customHeight="1">
      <x:c r="A42" s="41" t="str">
        <x:v>P07</x:v>
      </x:c>
      <x:c r="B42" s="41" t="str">
        <x:v>开票、收款与接口</x:v>
      </x:c>
      <x:c r="C42" s="41" t="n">
        <x:v>5</x:v>
      </x:c>
      <x:c r="D42" s="41" t="str">
        <x:v>同步Peachtree</x:v>
      </x:c>
      <x:c r="E42" s="41" t="str">
        <x:v>客户、发票或收款数据需要交换</x:v>
      </x:c>
      <x:c r="F42" s="41" t="str">
        <x:v>FIN、ADMIN、IT</x:v>
      </x:c>
      <x:c r="G42" s="41" t="str">
        <x:v>按配置执行同步并记录结果</x:v>
      </x:c>
      <x:c r="H42" s="41" t="str">
        <x:v>Peachtree接口配置</x:v>
      </x:c>
      <x:c r="I42" s="41" t="str">
        <x:v>对象、方向、时间、结果、错误日志</x:v>
      </x:c>
      <x:c r="J42" s="41" t="str">
        <x:v>待同步</x:v>
      </x:c>
      <x:c r="K42" s="41" t="str">
        <x:v>成功/失败</x:v>
      </x:c>
      <x:c r="L42" s="41" t="str">
        <x:v>同步日志</x:v>
      </x:c>
      <x:c r="M42" s="41" t="str">
        <x:v>原型仅模拟，不代表真实接口可用</x:v>
      </x:c>
      <x:c r="N42" s="41" t="str">
        <x:v>系统版本、鉴权、方向和重试需POC</x:v>
      </x:c>
      <x:c r="O42" s="41" t="str">
        <x:v>P2</x:v>
      </x:c>
      <x:c r="P42" s="41" t="str">
        <x:v>F062</x:v>
      </x:c>
      <x:c r="Q42" s="43" t="str">
        <x:v>待确认</x:v>
      </x:c>
      <x:c r="R42" s="43" t="str"/>
      <x:c r="S42" s="43" t="str"/>
    </x:row>
    <x:row r="43" ht="66" customHeight="1">
      <x:c r="A43" s="41" t="str">
        <x:v>P08</x:v>
      </x:c>
      <x:c r="B43" s="41" t="str">
        <x:v>主数据、权限与导入</x:v>
      </x:c>
      <x:c r="C43" s="41" t="n">
        <x:v>1</x:v>
      </x:c>
      <x:c r="D43" s="41" t="str">
        <x:v>维护用户权限</x:v>
      </x:c>
      <x:c r="E43" s="41" t="str">
        <x:v>人员入职、调岗或离职</x:v>
      </x:c>
      <x:c r="F43" s="41" t="str">
        <x:v>ADMIN</x:v>
      </x:c>
      <x:c r="G43" s="41" t="str">
        <x:v>维护用户、角色、区域、主管、技能和状态</x:v>
      </x:c>
      <x:c r="H43" s="41" t="str">
        <x:v>用户管理</x:v>
      </x:c>
      <x:c r="I43" s="41" t="str">
        <x:v>姓名、工号、角色、区域、主管、技能、状态</x:v>
      </x:c>
      <x:c r="J43" s="41" t="str">
        <x:v>无</x:v>
      </x:c>
      <x:c r="K43" s="41" t="str">
        <x:v>启用/禁用/离职</x:v>
      </x:c>
      <x:c r="L43" s="41" t="str">
        <x:v>账号及权限数据</x:v>
      </x:c>
      <x:c r="M43" s="41" t="str">
        <x:v>离职保留历史关联</x:v>
      </x:c>
      <x:c r="N43" s="41" t="str">
        <x:v>是否同步钉钉通讯录待确认</x:v>
      </x:c>
      <x:c r="O43" s="41" t="str">
        <x:v>P0</x:v>
      </x:c>
      <x:c r="P43" s="41" t="str">
        <x:v>F066、F072</x:v>
      </x:c>
      <x:c r="Q43" s="43" t="str">
        <x:v>待确认</x:v>
      </x:c>
      <x:c r="R43" s="43" t="str"/>
      <x:c r="S43" s="43" t="str"/>
    </x:row>
    <x:row r="44" ht="66" customHeight="1">
      <x:c r="A44" s="41" t="str">
        <x:v>P08</x:v>
      </x:c>
      <x:c r="B44" s="41" t="str">
        <x:v>主数据、权限与导入</x:v>
      </x:c>
      <x:c r="C44" s="41" t="n">
        <x:v>2</x:v>
      </x:c>
      <x:c r="D44" s="41" t="str">
        <x:v>维护客户地点</x:v>
      </x:c>
      <x:c r="E44" s="41" t="str">
        <x:v>新增或变更客户服务资料</x:v>
      </x:c>
      <x:c r="F44" s="41" t="str">
        <x:v>CS、CR、ADMIN</x:v>
      </x:c>
      <x:c r="G44" s="41" t="str">
        <x:v>维护客户、联系人、地点、合约和不可拍照规则</x:v>
      </x:c>
      <x:c r="H44" s="41" t="str">
        <x:v>客户管理</x:v>
      </x:c>
      <x:c r="I44" s="41" t="str">
        <x:v>客户编号、联系人、地址、区域、TL、豁免</x:v>
      </x:c>
      <x:c r="J44" s="41" t="str">
        <x:v>无</x:v>
      </x:c>
      <x:c r="K44" s="41" t="str">
        <x:v>启用/禁用</x:v>
      </x:c>
      <x:c r="L44" s="41" t="str">
        <x:v>客户与地点主数据</x:v>
      </x:c>
      <x:c r="M44" s="41" t="str">
        <x:v>地点决定区域与默认负责人</x:v>
      </x:c>
      <x:c r="N44" s="41" t="str">
        <x:v>客户主键和Peachtree ID待确认</x:v>
      </x:c>
      <x:c r="O44" s="41" t="str">
        <x:v>P0</x:v>
      </x:c>
      <x:c r="P44" s="41" t="str">
        <x:v>F067、F074</x:v>
      </x:c>
      <x:c r="Q44" s="43" t="str">
        <x:v>待确认</x:v>
      </x:c>
      <x:c r="R44" s="43" t="str"/>
      <x:c r="S44" s="43" t="str"/>
    </x:row>
    <x:row r="45" ht="66" customHeight="1">
      <x:c r="A45" s="41" t="str">
        <x:v>P08</x:v>
      </x:c>
      <x:c r="B45" s="41" t="str">
        <x:v>主数据、权限与导入</x:v>
      </x:c>
      <x:c r="C45" s="41" t="n">
        <x:v>3</x:v>
      </x:c>
      <x:c r="D45" s="41" t="str">
        <x:v>维护业务字典</x:v>
      </x:c>
      <x:c r="E45" s="41" t="str">
        <x:v>业务分类或规则调整</x:v>
      </x:c>
      <x:c r="F45" s="41" t="str">
        <x:v>ADMIN</x:v>
      </x:c>
      <x:c r="G45" s="41" t="str">
        <x:v>新增、排序、停用CALL类型、区域、状态及扩展字典</x:v>
      </x:c>
      <x:c r="H45" s="41" t="str">
        <x:v>业务字典管理</x:v>
      </x:c>
      <x:c r="I45" s="41" t="str">
        <x:v>类别、代码、名称、说明、状态</x:v>
      </x:c>
      <x:c r="J45" s="41" t="str">
        <x:v>无</x:v>
      </x:c>
      <x:c r="K45" s="41" t="str">
        <x:v>启用/停用</x:v>
      </x:c>
      <x:c r="L45" s="41" t="str">
        <x:v>可用字典项</x:v>
      </x:c>
      <x:c r="M45" s="41" t="str">
        <x:v>停用项不影响历史数据显示</x:v>
      </x:c>
      <x:c r="N45" s="41" t="str">
        <x:v>状态和分类映射待确认</x:v>
      </x:c>
      <x:c r="O45" s="41" t="str">
        <x:v>P0</x:v>
      </x:c>
      <x:c r="P45" s="41" t="str">
        <x:v>F068、F069、F078</x:v>
      </x:c>
      <x:c r="Q45" s="43" t="str">
        <x:v>待确认</x:v>
      </x:c>
      <x:c r="R45" s="43" t="str"/>
      <x:c r="S45" s="43" t="str"/>
    </x:row>
    <x:row r="46" ht="66" customHeight="1">
      <x:c r="A46" s="41" t="str">
        <x:v>P08</x:v>
      </x:c>
      <x:c r="B46" s="41" t="str">
        <x:v>主数据、权限与导入</x:v>
      </x:c>
      <x:c r="C46" s="41" t="n">
        <x:v>4</x:v>
      </x:c>
      <x:c r="D46" s="41" t="str">
        <x:v>批量导入</x:v>
      </x:c>
      <x:c r="E46" s="41" t="str">
        <x:v>首批上线或历史数据迁移</x:v>
      </x:c>
      <x:c r="F46" s="41" t="str">
        <x:v>ADMIN</x:v>
      </x:c>
      <x:c r="G46" s="41" t="str">
        <x:v>上传Excel，校验、预览并确认导入</x:v>
      </x:c>
      <x:c r="H46" s="41" t="str">
        <x:v>Excel导入</x:v>
      </x:c>
      <x:c r="I46" s="41" t="str">
        <x:v>数据类型、文件、重复处理、错误明细</x:v>
      </x:c>
      <x:c r="J46" s="41" t="str">
        <x:v>待导入</x:v>
      </x:c>
      <x:c r="K46" s="41" t="str">
        <x:v>成功/失败</x:v>
      </x:c>
      <x:c r="L46" s="41" t="str">
        <x:v>导入结果和错误清单</x:v>
      </x:c>
      <x:c r="M46" s="41" t="str">
        <x:v>错误数据不得静默写入</x:v>
      </x:c>
      <x:c r="N46" s="41" t="str">
        <x:v>模板、重复键和迁移范围待确认</x:v>
      </x:c>
      <x:c r="O46" s="41" t="str">
        <x:v>P1/P2</x:v>
      </x:c>
      <x:c r="P46" s="41" t="str">
        <x:v>F070</x:v>
      </x:c>
      <x:c r="Q46" s="43" t="str">
        <x:v>待确认</x:v>
      </x:c>
      <x:c r="R46" s="43" t="str"/>
      <x:c r="S46" s="43" t="str"/>
    </x:row>
    <x:row r="47" ht="66" customHeight="1">
      <x:c r="A47" s="41" t="str">
        <x:v>P08</x:v>
      </x:c>
      <x:c r="B47" s="41" t="str">
        <x:v>主数据、权限与导入</x:v>
      </x:c>
      <x:c r="C47" s="41" t="n">
        <x:v>5</x:v>
      </x:c>
      <x:c r="D47" s="41" t="str">
        <x:v>配置存储归档</x:v>
      </x:c>
      <x:c r="E47" s="41" t="str">
        <x:v>上线准备或容量策略调整</x:v>
      </x:c>
      <x:c r="F47" s="41" t="str">
        <x:v>ADMIN、IT</x:v>
      </x:c>
      <x:c r="G47" s="41" t="str">
        <x:v>配置文件类型、大小、保留期、备份和恢复</x:v>
      </x:c>
      <x:c r="H47" s="41" t="str">
        <x:v>附件存储/归档规则</x:v>
      </x:c>
      <x:c r="I47" s="41" t="str">
        <x:v>存储方式、容量、保留期、备份、清理</x:v>
      </x:c>
      <x:c r="J47" s="41" t="str">
        <x:v>无</x:v>
      </x:c>
      <x:c r="K47" s="41" t="str">
        <x:v>生效</x:v>
      </x:c>
      <x:c r="L47" s="41" t="str">
        <x:v>存储与归档策略</x:v>
      </x:c>
      <x:c r="M47" s="41" t="str">
        <x:v>归档不得破坏业务关联和审计</x:v>
      </x:c>
      <x:c r="N47" s="41" t="str">
        <x:v>供应商、容量和恢复演练待确认</x:v>
      </x:c>
      <x:c r="O47" s="41" t="str">
        <x:v>P1/待评审</x:v>
      </x:c>
      <x:c r="P47" s="41" t="str">
        <x:v>F071、F080</x:v>
      </x:c>
      <x:c r="Q47" s="43" t="str">
        <x:v>待确认</x:v>
      </x:c>
      <x:c r="R47" s="43" t="str"/>
      <x:c r="S47" s="43" t="str"/>
    </x:row>
    <x:row r="48" ht="66" customHeight="1">
      <x:c r="A48" s="41" t="str">
        <x:v>P09</x:v>
      </x:c>
      <x:c r="B48" s="41" t="str">
        <x:v>异常提醒与闭环</x:v>
      </x:c>
      <x:c r="C48" s="41" t="n">
        <x:v>1</x:v>
      </x:c>
      <x:c r="D48" s="41" t="str">
        <x:v>配置规则</x:v>
      </x:c>
      <x:c r="E48" s="41" t="str">
        <x:v>客户确认SLA和提醒对象</x:v>
      </x:c>
      <x:c r="F48" s="41" t="str">
        <x:v>ADMIN、TL</x:v>
      </x:c>
      <x:c r="G48" s="41" t="str">
        <x:v>配置未接单、未到场、处理超时和采购停滞阈值</x:v>
      </x:c>
      <x:c r="H48" s="41" t="str">
        <x:v>SLA与提醒规则</x:v>
      </x:c>
      <x:c r="I48" s="41" t="str">
        <x:v>事件、阈值、接收人、渠道</x:v>
      </x:c>
      <x:c r="J48" s="41" t="str">
        <x:v>无</x:v>
      </x:c>
      <x:c r="K48" s="41" t="str">
        <x:v>启用</x:v>
      </x:c>
      <x:c r="L48" s="41" t="str">
        <x:v>提醒规则</x:v>
      </x:c>
      <x:c r="M48" s="41" t="str">
        <x:v>每类事件独立配置</x:v>
      </x:c>
      <x:c r="N48" s="41" t="str">
        <x:v>SLA、升级级别和工作时间待确认</x:v>
      </x:c>
      <x:c r="O48" s="41" t="str">
        <x:v>P0/P1</x:v>
      </x:c>
      <x:c r="P48" s="41" t="str">
        <x:v>F075</x:v>
      </x:c>
      <x:c r="Q48" s="43" t="str">
        <x:v>待确认</x:v>
      </x:c>
      <x:c r="R48" s="43" t="str"/>
      <x:c r="S48" s="43" t="str"/>
    </x:row>
    <x:row r="49" ht="66" customHeight="1">
      <x:c r="A49" s="41" t="str">
        <x:v>P09</x:v>
      </x:c>
      <x:c r="B49" s="41" t="str">
        <x:v>异常提醒与闭环</x:v>
      </x:c>
      <x:c r="C49" s="41" t="n">
        <x:v>2</x:v>
      </x:c>
      <x:c r="D49" s="41" t="str">
        <x:v>触发异常</x:v>
      </x:c>
      <x:c r="E49" s="41" t="str">
        <x:v>业务记录超过阈值</x:v>
      </x:c>
      <x:c r="F49" s="41" t="str">
        <x:v>系统</x:v>
      </x:c>
      <x:c r="G49" s="41" t="str">
        <x:v>计算异常并生成系统通知</x:v>
      </x:c>
      <x:c r="H49" s="41" t="str">
        <x:v>首页看板/通知中心</x:v>
      </x:c>
      <x:c r="I49" s="41" t="str">
        <x:v>关联编号、异常类型、持续时间</x:v>
      </x:c>
      <x:c r="J49" s="41" t="str">
        <x:v>业务进行中</x:v>
      </x:c>
      <x:c r="K49" s="41" t="str">
        <x:v>异常待处理</x:v>
      </x:c>
      <x:c r="L49" s="41" t="str">
        <x:v>异常记录和通知</x:v>
      </x:c>
      <x:c r="M49" s="41" t="str">
        <x:v>原型主要展示系统内提醒</x:v>
      </x:c>
      <x:c r="N49" s="41" t="str">
        <x:v>实时任务和调度频率需POC</x:v>
      </x:c>
      <x:c r="O49" s="41" t="str">
        <x:v>P0/P1</x:v>
      </x:c>
      <x:c r="P49" s="41" t="str">
        <x:v>F003、F005、F065</x:v>
      </x:c>
      <x:c r="Q49" s="43" t="str">
        <x:v>待确认</x:v>
      </x:c>
      <x:c r="R49" s="43" t="str"/>
      <x:c r="S49" s="43" t="str"/>
    </x:row>
    <x:row r="50" ht="66" customHeight="1">
      <x:c r="A50" s="41" t="str">
        <x:v>P09</x:v>
      </x:c>
      <x:c r="B50" s="41" t="str">
        <x:v>异常提醒与闭环</x:v>
      </x:c>
      <x:c r="C50" s="41" t="n">
        <x:v>3</x:v>
      </x:c>
      <x:c r="D50" s="41" t="str">
        <x:v>处理异常</x:v>
      </x:c>
      <x:c r="E50" s="41" t="str">
        <x:v>负责人收到提醒</x:v>
      </x:c>
      <x:c r="F50" s="41" t="str">
        <x:v>CS、TL、CR、PUR、QUO</x:v>
      </x:c>
      <x:c r="G50" s="41" t="str">
        <x:v>进入关联业务，催单、改派、补资料或更新状态</x:v>
      </x:c>
      <x:c r="H50" s="41" t="str">
        <x:v>CALL详情/分派/采购</x:v>
      </x:c>
      <x:c r="I50" s="41" t="str">
        <x:v>处理动作、备注、责任人</x:v>
      </x:c>
      <x:c r="J50" s="41" t="str">
        <x:v>异常待处理</x:v>
      </x:c>
      <x:c r="K50" s="41" t="str">
        <x:v>处理中/已解除</x:v>
      </x:c>
      <x:c r="L50" s="41" t="str">
        <x:v>处理记录</x:v>
      </x:c>
      <x:c r="M50" s="41" t="str">
        <x:v>每次处理写入时间线</x:v>
      </x:c>
      <x:c r="N50" s="41" t="str">
        <x:v>升级到何种角色待确认</x:v>
      </x:c>
      <x:c r="O50" s="41" t="str">
        <x:v>P0/P1</x:v>
      </x:c>
      <x:c r="P50" s="41" t="str">
        <x:v>F011、F012、F019、F075</x:v>
      </x:c>
      <x:c r="Q50" s="43" t="str">
        <x:v>待确认</x:v>
      </x:c>
      <x:c r="R50" s="43" t="str"/>
      <x:c r="S50" s="43" t="str"/>
    </x:row>
    <x:row r="51" ht="66" customHeight="1">
      <x:c r="A51" s="41" t="str">
        <x:v>P09</x:v>
      </x:c>
      <x:c r="B51" s="41" t="str">
        <x:v>异常提醒与闭环</x:v>
      </x:c>
      <x:c r="C51" s="41" t="n">
        <x:v>4</x:v>
      </x:c>
      <x:c r="D51" s="41" t="str">
        <x:v>关闭异常</x:v>
      </x:c>
      <x:c r="E51" s="41" t="str">
        <x:v>业务恢复正常或主管确认</x:v>
      </x:c>
      <x:c r="F51" s="41" t="str">
        <x:v>系统、负责人</x:v>
      </x:c>
      <x:c r="G51" s="41" t="str">
        <x:v>记录解除原因并关闭提醒</x:v>
      </x:c>
      <x:c r="H51" s="41" t="str">
        <x:v>通知/异常记录</x:v>
      </x:c>
      <x:c r="I51" s="41" t="str">
        <x:v>解除时间、原因、操作人</x:v>
      </x:c>
      <x:c r="J51" s="41" t="str">
        <x:v>异常待处理</x:v>
      </x:c>
      <x:c r="K51" s="41" t="str">
        <x:v>已解除</x:v>
      </x:c>
      <x:c r="L51" s="41" t="str">
        <x:v>闭环日志</x:v>
      </x:c>
      <x:c r="M51" s="41" t="str">
        <x:v>业务状态变化可自动解除相应提醒</x:v>
      </x:c>
      <x:c r="N51" s="41" t="str">
        <x:v>误报和人工关闭权限待确认</x:v>
      </x:c>
      <x:c r="O51" s="41" t="str">
        <x:v>P0/P1</x:v>
      </x:c>
      <x:c r="P51" s="41" t="str">
        <x:v>F004、F065、F075</x:v>
      </x:c>
      <x:c r="Q51" s="43" t="str">
        <x:v>待确认</x:v>
      </x:c>
      <x:c r="R51" s="43" t="str"/>
      <x:c r="S51" s="43" t="str"/>
    </x:row>
  </x:sheetData>
  <x:mergeCells>
    <x:mergeCell ref="A1:S1"/>
    <x:mergeCell ref="A2:S2"/>
  </x:mergeCells>
  <x:conditionalFormatting sqref="Q5:Q51">
    <x:cfRule type="containsText" dxfId="28" priority="1" operator="containsText" text="已确认"/>
    <x:cfRule type="containsText" dxfId="29" priority="2" operator="containsText" text="已批准"/>
    <x:cfRule type="containsText" dxfId="30" priority="3" operator="containsText" text="评审中"/>
    <x:cfRule type="containsText" dxfId="31" priority="4" operator="containsText" text="有条件确认"/>
    <x:cfRule type="containsText" dxfId="32" priority="5" operator="containsText" text="待确认"/>
    <x:cfRule type="containsText" dxfId="33" priority="6" operator="containsText" text="需调整"/>
    <x:cfRule type="containsText" dxfId="34" priority="7" operator="containsText" text="不纳入"/>
  </x:conditionalFormatting>
  <x:dataValidations count="1">
    <x:dataValidation type="list" sqref="Q5:Q51">
      <x:formula1>"待确认,已确认,有条件确认,需调整,不纳入"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aad18a5c994ee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2" hidden="0" customWidth="1"/>
    <x:col min="2" max="2" width="24" hidden="0" customWidth="1"/>
    <x:col min="3" max="3" width="30" hidden="0" customWidth="1"/>
    <x:col min="4" max="4" width="46" hidden="0" customWidth="1"/>
    <x:col min="5" max="5" width="24" hidden="0" customWidth="1"/>
    <x:col min="6" max="6" width="34" hidden="0" customWidth="1"/>
    <x:col min="7" max="7" width="10" hidden="0" customWidth="1"/>
    <x:col min="8" max="8" width="30" hidden="0" customWidth="1"/>
    <x:col min="9" max="9" width="22" hidden="0" customWidth="1"/>
    <x:col min="10" max="10" width="22" hidden="0" customWidth="1"/>
    <x:col min="11" max="11" width="16" hidden="0" customWidth="1"/>
    <x:col min="12" max="12" width="40" hidden="0" customWidth="1"/>
    <x:col min="13" max="13" width="36" hidden="0" customWidth="1"/>
  </x:cols>
  <x:sheetData>
    <x:row r="1" ht="28" customHeight="1">
      <x:c r="A1" s="2" t="str">
        <x:v>表单清单</x:v>
      </x:c>
      <x:c r="B1" s="59"/>
      <x:c r="C1" s="59"/>
      <x:c r="D1" s="59"/>
      <x:c r="E1" s="59"/>
      <x:c r="F1" s="59"/>
      <x:c r="G1" s="59"/>
      <x:c r="H1" s="59"/>
      <x:c r="I1" s="59"/>
      <x:c r="J1" s="59"/>
      <x:c r="K1" s="59"/>
      <x:c r="L1" s="59"/>
      <x:c r="M1" s="59"/>
    </x:row>
    <x:row r="2" ht="24" customHeight="1">
      <x:c r="A2" s="5" t="str">
        <x:v>先确认每张表单/页面的用途和边界，再到“字段逐项确认”逐个确认字段。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</x:row>
    <x:row r="3">
      <x:c r="A3" s="59"/>
      <x:c r="B3" s="59"/>
      <x:c r="C3" s="59"/>
      <x:c r="D3" s="59"/>
      <x:c r="E3" s="59"/>
      <x:c r="F3" s="59"/>
      <x:c r="G3" s="59"/>
      <x:c r="H3" s="59"/>
      <x:c r="I3" s="59"/>
      <x:c r="J3" s="59"/>
      <x:c r="K3" s="59"/>
      <x:c r="L3" s="59"/>
      <x:c r="M3" s="59"/>
    </x:row>
    <x:row r="4">
      <x:c r="A4" s="25" t="str">
        <x:v>表单编号</x:v>
      </x:c>
      <x:c r="B4" s="26" t="str">
        <x:v>模块</x:v>
      </x:c>
      <x:c r="C4" s="26" t="str">
        <x:v>表单/页面</x:v>
      </x:c>
      <x:c r="D4" s="26" t="str">
        <x:v>用途</x:v>
      </x:c>
      <x:c r="E4" s="26" t="str">
        <x:v>使用角色</x:v>
      </x:c>
      <x:c r="F4" s="26" t="str">
        <x:v>入口/使用场景</x:v>
      </x:c>
      <x:c r="G4" s="26" t="str">
        <x:v>字段数</x:v>
      </x:c>
      <x:c r="H4" s="26" t="str">
        <x:v>关联功能</x:v>
      </x:c>
      <x:c r="I4" s="26" t="str">
        <x:v>关联流程</x:v>
      </x:c>
      <x:c r="J4" s="26" t="str">
        <x:v>当前原型状态</x:v>
      </x:c>
      <x:c r="K4" s="26" t="str">
        <x:v>客户确认</x:v>
      </x:c>
      <x:c r="L4" s="26" t="str">
        <x:v>定稿用途/范围</x:v>
      </x:c>
      <x:c r="M4" s="27" t="str">
        <x:v>客户意见</x:v>
      </x:c>
    </x:row>
    <x:row r="5" ht="58" customHeight="1">
      <x:c r="A5" s="40" t="str">
        <x:v>FM01</x:v>
      </x:c>
      <x:c r="B5" s="40" t="str">
        <x:v>首页与通知</x:v>
      </x:c>
      <x:c r="C5" s="40" t="str">
        <x:v>首页看板</x:v>
      </x:c>
      <x:c r="D5" s="40" t="str">
        <x:v>按角色展示状态指标、今日待办、异常事项和最近动态。</x:v>
      </x:c>
      <x:c r="E5" s="40" t="str">
        <x:v>全部角色</x:v>
      </x:c>
      <x:c r="F5" s="40" t="str">
        <x:v>首页看板、通知中心</x:v>
      </x:c>
      <x:c r="G5" s="40" t="n">
        <x:v>5</x:v>
      </x:c>
      <x:c r="H5" s="40" t="str">
        <x:v>F001、F002、F003、F004</x:v>
      </x:c>
      <x:c r="I5" s="40" t="str">
        <x:v>P01/P02/P03/P04/P08/P11</x:v>
      </x:c>
      <x:c r="J5" s="40" t="str">
        <x:v>当前原型或已有需求已定义</x:v>
      </x:c>
      <x:c r="K5" s="42" t="str">
        <x:v>待确认</x:v>
      </x:c>
      <x:c r="L5" s="42" t="str"/>
      <x:c r="M5" s="42" t="str"/>
    </x:row>
    <x:row r="6" ht="58" customHeight="1">
      <x:c r="A6" s="41" t="str">
        <x:v>FM02</x:v>
      </x:c>
      <x:c r="B6" s="41" t="str">
        <x:v>首页与通知</x:v>
      </x:c>
      <x:c r="C6" s="41" t="str">
        <x:v>通知中心</x:v>
      </x:c>
      <x:c r="D6" s="41" t="str">
        <x:v>展示派单、拒单、完成、报价等业务通知。</x:v>
      </x:c>
      <x:c r="E6" s="41" t="str">
        <x:v>全部角色</x:v>
      </x:c>
      <x:c r="F6" s="41" t="str">
        <x:v>首页看板、通知中心</x:v>
      </x:c>
      <x:c r="G6" s="41" t="n">
        <x:v>5</x:v>
      </x:c>
      <x:c r="H6" s="41" t="str">
        <x:v>F005</x:v>
      </x:c>
      <x:c r="I6" s="41" t="str">
        <x:v>P01/P02/P03/P04/P08/P11</x:v>
      </x:c>
      <x:c r="J6" s="41" t="str">
        <x:v>当前原型或已有需求已定义</x:v>
      </x:c>
      <x:c r="K6" s="43" t="str">
        <x:v>待确认</x:v>
      </x:c>
      <x:c r="L6" s="43" t="str"/>
      <x:c r="M6" s="43" t="str"/>
    </x:row>
    <x:row r="7" ht="58" customHeight="1">
      <x:c r="A7" s="41" t="str">
        <x:v>FM03</x:v>
      </x:c>
      <x:c r="B7" s="41" t="str">
        <x:v>CALL受理与工单管理</x:v>
      </x:c>
      <x:c r="C7" s="41" t="str">
        <x:v>CALL受理记录</x:v>
      </x:c>
      <x:c r="D7" s="41" t="str">
        <x:v>记录客户来电或消息，并判断仅答疑、建单或其他处理。</x:v>
      </x:c>
      <x:c r="E7" s="41" t="str">
        <x:v>CS、CR、TL、ADMIN及相关角色</x:v>
      </x:c>
      <x:c r="F7" s="41" t="str">
        <x:v>CALL受理、新建/编辑CALL、CALL列表、CALL详情</x:v>
      </x:c>
      <x:c r="G7" s="41" t="n">
        <x:v>6</x:v>
      </x:c>
      <x:c r="H7" s="41" t="str">
        <x:v>F006</x:v>
      </x:c>
      <x:c r="I7" s="41" t="str">
        <x:v>P01</x:v>
      </x:c>
      <x:c r="J7" s="41" t="str">
        <x:v>当前原型或已有需求已定义</x:v>
      </x:c>
      <x:c r="K7" s="43" t="str">
        <x:v>待确认</x:v>
      </x:c>
      <x:c r="L7" s="43" t="str"/>
      <x:c r="M7" s="43" t="str"/>
    </x:row>
    <x:row r="8" ht="58" customHeight="1">
      <x:c r="A8" s="41" t="str">
        <x:v>FM04</x:v>
      </x:c>
      <x:c r="B8" s="41" t="str">
        <x:v>CALL受理与工单管理</x:v>
      </x:c>
      <x:c r="C8" s="41" t="str">
        <x:v>新建/编辑CALL</x:v>
      </x:c>
      <x:c r="D8" s="41" t="str">
        <x:v>创建、编辑和暂存CALL，记录客户、地点、分类及问题信息。</x:v>
      </x:c>
      <x:c r="E8" s="41" t="str">
        <x:v>CS、CR、TL、ADMIN及相关角色</x:v>
      </x:c>
      <x:c r="F8" s="41" t="str">
        <x:v>CALL受理、新建/编辑CALL、CALL列表、CALL详情</x:v>
      </x:c>
      <x:c r="G8" s="41" t="n">
        <x:v>12</x:v>
      </x:c>
      <x:c r="H8" s="41" t="str">
        <x:v>F007、F008、F009</x:v>
      </x:c>
      <x:c r="I8" s="41" t="str">
        <x:v>P01</x:v>
      </x:c>
      <x:c r="J8" s="41" t="str">
        <x:v>当前原型或已有需求已定义</x:v>
      </x:c>
      <x:c r="K8" s="43" t="str">
        <x:v>待确认</x:v>
      </x:c>
      <x:c r="L8" s="43" t="str"/>
      <x:c r="M8" s="43" t="str"/>
    </x:row>
    <x:row r="9" ht="58" customHeight="1">
      <x:c r="A9" s="41" t="str">
        <x:v>FM05</x:v>
      </x:c>
      <x:c r="B9" s="41" t="str">
        <x:v>CALL受理与工单管理</x:v>
      </x:c>
      <x:c r="C9" s="41" t="str">
        <x:v>CALL列表与筛选</x:v>
      </x:c>
      <x:c r="D9" s="41" t="str">
        <x:v>按多个业务维度查询CALL并进入详情。</x:v>
      </x:c>
      <x:c r="E9" s="41" t="str">
        <x:v>CS、CR、TL、ADMIN及相关角色</x:v>
      </x:c>
      <x:c r="F9" s="41" t="str">
        <x:v>CALL受理、新建/编辑CALL、CALL列表、CALL详情</x:v>
      </x:c>
      <x:c r="G9" s="41" t="n">
        <x:v>8</x:v>
      </x:c>
      <x:c r="H9" s="41" t="str">
        <x:v>F010</x:v>
      </x:c>
      <x:c r="I9" s="41" t="str">
        <x:v>P01</x:v>
      </x:c>
      <x:c r="J9" s="41" t="str">
        <x:v>当前原型或已有需求已定义</x:v>
      </x:c>
      <x:c r="K9" s="43" t="str">
        <x:v>待确认</x:v>
      </x:c>
      <x:c r="L9" s="43" t="str"/>
      <x:c r="M9" s="43" t="str"/>
    </x:row>
    <x:row r="10" ht="58" customHeight="1">
      <x:c r="A10" s="41" t="str">
        <x:v>FM06</x:v>
      </x:c>
      <x:c r="B10" s="41" t="str">
        <x:v>CALL受理与工单管理</x:v>
      </x:c>
      <x:c r="C10" s="41" t="str">
        <x:v>CALL详情与操作</x:v>
      </x:c>
      <x:c r="D10" s="41" t="str">
        <x:v>展示CALL完整资料、处理记录、催单记录和状态时间线。</x:v>
      </x:c>
      <x:c r="E10" s="41" t="str">
        <x:v>CS、CR、TL、ADMIN及相关角色</x:v>
      </x:c>
      <x:c r="F10" s="41" t="str">
        <x:v>CALL受理、新建/编辑CALL、CALL列表、CALL详情</x:v>
      </x:c>
      <x:c r="G10" s="41" t="n">
        <x:v>9</x:v>
      </x:c>
      <x:c r="H10" s="41" t="str">
        <x:v>F011、F012</x:v>
      </x:c>
      <x:c r="I10" s="41" t="str">
        <x:v>P01</x:v>
      </x:c>
      <x:c r="J10" s="41" t="str">
        <x:v>当前原型或已有需求已定义</x:v>
      </x:c>
      <x:c r="K10" s="43" t="str">
        <x:v>待确认</x:v>
      </x:c>
      <x:c r="L10" s="43" t="str"/>
      <x:c r="M10" s="43" t="str"/>
    </x:row>
    <x:row r="11" ht="58" customHeight="1">
      <x:c r="A11" s="41" t="str">
        <x:v>FM07</x:v>
      </x:c>
      <x:c r="B11" s="41" t="str">
        <x:v>分派与调度</x:v>
      </x:c>
      <x:c r="C11" s="41" t="str">
        <x:v>分派中心/分派弹窗</x:v>
      </x:c>
      <x:c r="D11" s="41" t="str">
        <x:v>查看待分派任务，筛选候选师傅并完成首次分派或改派。</x:v>
      </x:c>
      <x:c r="E11" s="41" t="str">
        <x:v>TL、CR、ADMIN、MASTER</x:v>
      </x:c>
      <x:c r="F11" s="41" t="str">
        <x:v>分派中心、分派弹窗、申请审批</x:v>
      </x:c>
      <x:c r="G11" s="41" t="n">
        <x:v>10</x:v>
      </x:c>
      <x:c r="H11" s="41" t="str">
        <x:v>F014、F015、F016、F017、F018、F019、F020、F021</x:v>
      </x:c>
      <x:c r="I11" s="41" t="str">
        <x:v>P02</x:v>
      </x:c>
      <x:c r="J11" s="41" t="str">
        <x:v>当前原型或已有需求已定义</x:v>
      </x:c>
      <x:c r="K11" s="43" t="str">
        <x:v>待确认</x:v>
      </x:c>
      <x:c r="L11" s="43" t="str"/>
      <x:c r="M11" s="43" t="str"/>
    </x:row>
    <x:row r="12" ht="58" customHeight="1">
      <x:c r="A12" s="41" t="str">
        <x:v>FM08</x:v>
      </x:c>
      <x:c r="B12" s="41" t="str">
        <x:v>分派与调度</x:v>
      </x:c>
      <x:c r="C12" s="41" t="str">
        <x:v>分派申请审批</x:v>
      </x:c>
      <x:c r="D12" s="41" t="str">
        <x:v>主管查看师傅接单申请并决定通过或不通过。</x:v>
      </x:c>
      <x:c r="E12" s="41" t="str">
        <x:v>TL、CR、ADMIN、MASTER</x:v>
      </x:c>
      <x:c r="F12" s="41" t="str">
        <x:v>分派中心、分派弹窗、申请审批</x:v>
      </x:c>
      <x:c r="G12" s="41" t="n">
        <x:v>5</x:v>
      </x:c>
      <x:c r="H12" s="41" t="str">
        <x:v>F023</x:v>
      </x:c>
      <x:c r="I12" s="41" t="str">
        <x:v>P02</x:v>
      </x:c>
      <x:c r="J12" s="41" t="str">
        <x:v>当前原型或已有需求已定义</x:v>
      </x:c>
      <x:c r="K12" s="43" t="str">
        <x:v>待确认</x:v>
      </x:c>
      <x:c r="L12" s="43" t="str"/>
      <x:c r="M12" s="43" t="str"/>
    </x:row>
    <x:row r="13" ht="58" customHeight="1">
      <x:c r="A13" s="41" t="str">
        <x:v>FM09</x:v>
      </x:c>
      <x:c r="B13" s="41" t="str">
        <x:v>移动端现场执行</x:v>
      </x:c>
      <x:c r="C13" s="41" t="str">
        <x:v>师傅首页/CALL列表/详情</x:v>
      </x:c>
      <x:c r="D13" s="41" t="str">
        <x:v>师傅移动端查看本人任务、优先事项及CALL详情。</x:v>
      </x:c>
      <x:c r="E13" s="41" t="str">
        <x:v>MASTER、TL</x:v>
      </x:c>
      <x:c r="F13" s="41" t="str">
        <x:v>师傅首页、CALL列表、CALL详情、现场处理、完工单</x:v>
      </x:c>
      <x:c r="G13" s="41" t="n">
        <x:v>6</x:v>
      </x:c>
      <x:c r="H13" s="41" t="str">
        <x:v>F024、F025、F026</x:v>
      </x:c>
      <x:c r="I13" s="41" t="str">
        <x:v>P03/P04</x:v>
      </x:c>
      <x:c r="J13" s="41" t="str">
        <x:v>当前原型或已有需求已定义</x:v>
      </x:c>
      <x:c r="K13" s="43" t="str">
        <x:v>待确认</x:v>
      </x:c>
      <x:c r="L13" s="43" t="str"/>
      <x:c r="M13" s="43" t="str"/>
    </x:row>
    <x:row r="14" ht="58" customHeight="1">
      <x:c r="A14" s="41" t="str">
        <x:v>FM10</x:v>
      </x:c>
      <x:c r="B14" s="41" t="str">
        <x:v>移动端现场执行</x:v>
      </x:c>
      <x:c r="C14" s="41" t="str">
        <x:v>现场处理/服务报告</x:v>
      </x:c>
      <x:c r="D14" s="41" t="str">
        <x:v>记录签到、处理过程、照片及服务报告内容。</x:v>
      </x:c>
      <x:c r="E14" s="41" t="str">
        <x:v>MASTER、TL</x:v>
      </x:c>
      <x:c r="F14" s="41" t="str">
        <x:v>师傅首页、CALL列表、CALL详情、现场处理、完工单</x:v>
      </x:c>
      <x:c r="G14" s="41" t="n">
        <x:v>12</x:v>
      </x:c>
      <x:c r="H14" s="41" t="str">
        <x:v>F027、F028、F029、F030</x:v>
      </x:c>
      <x:c r="I14" s="41" t="str">
        <x:v>P03/P04</x:v>
      </x:c>
      <x:c r="J14" s="41" t="str">
        <x:v>当前原型或已有需求已定义</x:v>
      </x:c>
      <x:c r="K14" s="43" t="str">
        <x:v>待确认</x:v>
      </x:c>
      <x:c r="L14" s="43" t="str"/>
      <x:c r="M14" s="43" t="str"/>
    </x:row>
    <x:row r="15" ht="58" customHeight="1">
      <x:c r="A15" s="41" t="str">
        <x:v>FM11</x:v>
      </x:c>
      <x:c r="B15" s="41" t="str">
        <x:v>移动端现场执行</x:v>
      </x:c>
      <x:c r="C15" s="41" t="str">
        <x:v>完工单与客户确认</x:v>
      </x:c>
      <x:c r="D15" s="41" t="str">
        <x:v>填写完工单、客户确认和提交结果。</x:v>
      </x:c>
      <x:c r="E15" s="41" t="str">
        <x:v>MASTER、TL</x:v>
      </x:c>
      <x:c r="F15" s="41" t="str">
        <x:v>师傅首页、CALL列表、CALL详情、现场处理、完工单</x:v>
      </x:c>
      <x:c r="G15" s="41" t="n">
        <x:v>8</x:v>
      </x:c>
      <x:c r="H15" s="41" t="str">
        <x:v>F031、F032、F033、F034</x:v>
      </x:c>
      <x:c r="I15" s="41" t="str">
        <x:v>P03/P04</x:v>
      </x:c>
      <x:c r="J15" s="41" t="str">
        <x:v>当前原型或已有需求已定义</x:v>
      </x:c>
      <x:c r="K15" s="43" t="str">
        <x:v>待确认</x:v>
      </x:c>
      <x:c r="L15" s="43" t="str"/>
      <x:c r="M15" s="43" t="str"/>
    </x:row>
    <x:row r="16" ht="58" customHeight="1">
      <x:c r="A16" s="41" t="str">
        <x:v>FM12</x:v>
      </x:c>
      <x:c r="B16" s="41" t="str">
        <x:v>报告与文档</x:v>
      </x:c>
      <x:c r="C16" s="41" t="str">
        <x:v>报告管理/发送</x:v>
      </x:c>
      <x:c r="D16" s="41" t="str">
        <x:v>集中查询SR和完工单，查看详情并记录发送。</x:v>
      </x:c>
      <x:c r="E16" s="41" t="str">
        <x:v>CS、CR、TL、ADMIN</x:v>
      </x:c>
      <x:c r="F16" s="41" t="str">
        <x:v>报告管理、报告详情、报告发送</x:v>
      </x:c>
      <x:c r="G16" s="41" t="n">
        <x:v>8</x:v>
      </x:c>
      <x:c r="H16" s="41" t="str">
        <x:v>F035、F036、F037、F038、F039</x:v>
      </x:c>
      <x:c r="I16" s="41" t="str">
        <x:v>P05/P08</x:v>
      </x:c>
      <x:c r="J16" s="41" t="str">
        <x:v>当前原型或已有需求已定义</x:v>
      </x:c>
      <x:c r="K16" s="43" t="str">
        <x:v>待确认</x:v>
      </x:c>
      <x:c r="L16" s="43" t="str"/>
      <x:c r="M16" s="43" t="str"/>
    </x:row>
    <x:row r="17" ht="58" customHeight="1">
      <x:c r="A17" s="41" t="str">
        <x:v>FM13</x:v>
      </x:c>
      <x:c r="B17" s="41" t="str">
        <x:v>报价管理</x:v>
      </x:c>
      <x:c r="C17" s="41" t="str">
        <x:v>报价单/报价明细</x:v>
      </x:c>
      <x:c r="D17" s="41" t="str">
        <x:v>创建、编辑和跟踪报价，维护物料、金额、版本及关联业务。</x:v>
      </x:c>
      <x:c r="E17" s="41" t="str">
        <x:v>QUO、CR、ADMIN、BOSS</x:v>
      </x:c>
      <x:c r="F17" s="41" t="str">
        <x:v>报价列表、报价单、报价明细、状态更新</x:v>
      </x:c>
      <x:c r="G17" s="41" t="n">
        <x:v>11</x:v>
      </x:c>
      <x:c r="H17" s="41" t="str">
        <x:v>F040、F041、F042、F043、F044、F045</x:v>
      </x:c>
      <x:c r="I17" s="41" t="str">
        <x:v>P06</x:v>
      </x:c>
      <x:c r="J17" s="41" t="str">
        <x:v>当前原型或已有需求已定义</x:v>
      </x:c>
      <x:c r="K17" s="43" t="str">
        <x:v>待确认</x:v>
      </x:c>
      <x:c r="L17" s="43" t="str"/>
      <x:c r="M17" s="43" t="str"/>
    </x:row>
    <x:row r="18" ht="58" customHeight="1">
      <x:c r="A18" s="41" t="str">
        <x:v>FM14</x:v>
      </x:c>
      <x:c r="B18" s="41" t="str">
        <x:v>标书管理</x:v>
      </x:c>
      <x:c r="C18" s="41" t="str">
        <x:v>标书表单</x:v>
      </x:c>
      <x:c r="D18" s="41" t="str">
        <x:v>登记标书来源、截止日期、回标方式、负责人和附件。</x:v>
      </x:c>
      <x:c r="E18" s="41" t="str">
        <x:v>TENDER、TL、ADMIN、BOSS</x:v>
      </x:c>
      <x:c r="F18" s="41" t="str">
        <x:v>标书列表、标书表单、标书师傅排程</x:v>
      </x:c>
      <x:c r="G18" s="41" t="n">
        <x:v>8</x:v>
      </x:c>
      <x:c r="H18" s="41" t="str">
        <x:v>F046、F047、F048、F049</x:v>
      </x:c>
      <x:c r="I18" s="41" t="str">
        <x:v>P09</x:v>
      </x:c>
      <x:c r="J18" s="41" t="str">
        <x:v>当前原型或已有需求已定义</x:v>
      </x:c>
      <x:c r="K18" s="43" t="str">
        <x:v>待确认</x:v>
      </x:c>
      <x:c r="L18" s="43" t="str"/>
      <x:c r="M18" s="43" t="str"/>
    </x:row>
    <x:row r="19" ht="58" customHeight="1">
      <x:c r="A19" s="41" t="str">
        <x:v>FM15</x:v>
      </x:c>
      <x:c r="B19" s="41" t="str">
        <x:v>标书管理</x:v>
      </x:c>
      <x:c r="C19" s="41" t="str">
        <x:v>标书师傅排程</x:v>
      </x:c>
      <x:c r="D19" s="41" t="str">
        <x:v>按区域、技能和日期安排标书相关师傅。</x:v>
      </x:c>
      <x:c r="E19" s="41" t="str">
        <x:v>TENDER、TL、ADMIN、BOSS</x:v>
      </x:c>
      <x:c r="F19" s="41" t="str">
        <x:v>标书列表、标书表单、标书师傅排程</x:v>
      </x:c>
      <x:c r="G19" s="41" t="n">
        <x:v>5</x:v>
      </x:c>
      <x:c r="H19" s="41" t="str">
        <x:v>F050</x:v>
      </x:c>
      <x:c r="I19" s="41" t="str">
        <x:v>P09</x:v>
      </x:c>
      <x:c r="J19" s="41" t="str">
        <x:v>当前原型或已有需求已定义</x:v>
      </x:c>
      <x:c r="K19" s="43" t="str">
        <x:v>待确认</x:v>
      </x:c>
      <x:c r="L19" s="43" t="str"/>
      <x:c r="M19" s="43" t="str"/>
    </x:row>
    <x:row r="20" ht="58" customHeight="1">
      <x:c r="A20" s="41" t="str">
        <x:v>FM16</x:v>
      </x:c>
      <x:c r="B20" s="41" t="str">
        <x:v>备货与采购</x:v>
      </x:c>
      <x:c r="C20" s="41" t="str">
        <x:v>备货单/采购单</x:v>
      </x:c>
      <x:c r="D20" s="41" t="str">
        <x:v>由中单报价建立备货单，并在其下按供应商创建采购单。</x:v>
      </x:c>
      <x:c r="E20" s="41" t="str">
        <x:v>PUR、QUO、TL、ADMIN</x:v>
      </x:c>
      <x:c r="F20" s="41" t="str">
        <x:v>备货单、采购单、供应商档案</x:v>
      </x:c>
      <x:c r="G20" s="41" t="n">
        <x:v>8</x:v>
      </x:c>
      <x:c r="H20" s="41" t="str">
        <x:v>F051、F052、F054、F055、F056</x:v>
      </x:c>
      <x:c r="I20" s="41" t="str">
        <x:v>P07</x:v>
      </x:c>
      <x:c r="J20" s="41" t="str">
        <x:v>当前原型或已有需求已定义</x:v>
      </x:c>
      <x:c r="K20" s="43" t="str">
        <x:v>待确认</x:v>
      </x:c>
      <x:c r="L20" s="43" t="str"/>
      <x:c r="M20" s="43" t="str"/>
    </x:row>
    <x:row r="21" ht="58" customHeight="1">
      <x:c r="A21" s="41" t="str">
        <x:v>FM17</x:v>
      </x:c>
      <x:c r="B21" s="41" t="str">
        <x:v>备货与采购</x:v>
      </x:c>
      <x:c r="C21" s="41" t="str">
        <x:v>供应商档案</x:v>
      </x:c>
      <x:c r="D21" s="41" t="str">
        <x:v>维护采购供应商及合作状态。</x:v>
      </x:c>
      <x:c r="E21" s="41" t="str">
        <x:v>PUR、QUO、TL、ADMIN</x:v>
      </x:c>
      <x:c r="F21" s="41" t="str">
        <x:v>备货单、采购单、供应商档案</x:v>
      </x:c>
      <x:c r="G21" s="41" t="n">
        <x:v>5</x:v>
      </x:c>
      <x:c r="H21" s="41" t="str">
        <x:v>F053</x:v>
      </x:c>
      <x:c r="I21" s="41" t="str">
        <x:v>P07</x:v>
      </x:c>
      <x:c r="J21" s="41" t="str">
        <x:v>当前原型或已有需求已定义</x:v>
      </x:c>
      <x:c r="K21" s="43" t="str">
        <x:v>待确认</x:v>
      </x:c>
      <x:c r="L21" s="43" t="str"/>
      <x:c r="M21" s="43" t="str"/>
    </x:row>
    <x:row r="22" ht="58" customHeight="1">
      <x:c r="A22" s="41" t="str">
        <x:v>FM18</x:v>
      </x:c>
      <x:c r="B22" s="41" t="str">
        <x:v>会计与外部接口</x:v>
      </x:c>
      <x:c r="C22" s="41" t="str">
        <x:v>待开票/发票管理</x:v>
      </x:c>
      <x:c r="D22" s="41" t="str">
        <x:v>管理待开票项目、发票金额、账期、打印与收款状态。</x:v>
      </x:c>
      <x:c r="E22" s="41" t="str">
        <x:v>FIN、ADMIN、IT</x:v>
      </x:c>
      <x:c r="F22" s="41" t="str">
        <x:v>待开票、发票、收款、会计客户、保养合约、接口配置</x:v>
      </x:c>
      <x:c r="G22" s="41" t="n">
        <x:v>8</x:v>
      </x:c>
      <x:c r="H22" s="41" t="str">
        <x:v>F057、F058</x:v>
      </x:c>
      <x:c r="I22" s="41" t="str">
        <x:v>P11</x:v>
      </x:c>
      <x:c r="J22" s="41" t="str">
        <x:v>当前原型或已有需求已定义</x:v>
      </x:c>
      <x:c r="K22" s="43" t="str">
        <x:v>待确认</x:v>
      </x:c>
      <x:c r="L22" s="43" t="str"/>
      <x:c r="M22" s="43" t="str"/>
    </x:row>
    <x:row r="23" ht="58" customHeight="1">
      <x:c r="A23" s="41" t="str">
        <x:v>FM19</x:v>
      </x:c>
      <x:c r="B23" s="41" t="str">
        <x:v>会计与外部接口</x:v>
      </x:c>
      <x:c r="C23" s="41" t="str">
        <x:v>收款/收据</x:v>
      </x:c>
      <x:c r="D23" s="41" t="str">
        <x:v>登记收款并生成收据编号和打印收据。</x:v>
      </x:c>
      <x:c r="E23" s="41" t="str">
        <x:v>FIN、ADMIN、IT</x:v>
      </x:c>
      <x:c r="F23" s="41" t="str">
        <x:v>待开票、发票、收款、会计客户、保养合约、接口配置</x:v>
      </x:c>
      <x:c r="G23" s="41" t="n">
        <x:v>7</x:v>
      </x:c>
      <x:c r="H23" s="41" t="str">
        <x:v>F059</x:v>
      </x:c>
      <x:c r="I23" s="41" t="str">
        <x:v>P11</x:v>
      </x:c>
      <x:c r="J23" s="41" t="str">
        <x:v>当前原型或已有需求已定义</x:v>
      </x:c>
      <x:c r="K23" s="43" t="str">
        <x:v>待确认</x:v>
      </x:c>
      <x:c r="L23" s="43" t="str"/>
      <x:c r="M23" s="43" t="str"/>
    </x:row>
    <x:row r="24" ht="58" customHeight="1">
      <x:c r="A24" s="41" t="str">
        <x:v>FM20</x:v>
      </x:c>
      <x:c r="B24" s="41" t="str">
        <x:v>会计与外部接口</x:v>
      </x:c>
      <x:c r="C24" s="41" t="str">
        <x:v>会计客户/保养合约</x:v>
      </x:c>
      <x:c r="D24" s="41" t="str">
        <x:v>维护财务客户资料和保养合约开单规则。</x:v>
      </x:c>
      <x:c r="E24" s="41" t="str">
        <x:v>FIN、ADMIN、IT</x:v>
      </x:c>
      <x:c r="F24" s="41" t="str">
        <x:v>待开票、发票、收款、会计客户、保养合约、接口配置</x:v>
      </x:c>
      <x:c r="G24" s="41" t="n">
        <x:v>7</x:v>
      </x:c>
      <x:c r="H24" s="41" t="str">
        <x:v>F060、F061</x:v>
      </x:c>
      <x:c r="I24" s="41" t="str">
        <x:v>P11</x:v>
      </x:c>
      <x:c r="J24" s="41" t="str">
        <x:v>当前原型或已有需求已定义</x:v>
      </x:c>
      <x:c r="K24" s="43" t="str">
        <x:v>待确认</x:v>
      </x:c>
      <x:c r="L24" s="43" t="str"/>
      <x:c r="M24" s="43" t="str"/>
    </x:row>
    <x:row r="25" ht="58" customHeight="1">
      <x:c r="A25" s="41" t="str">
        <x:v>FM21</x:v>
      </x:c>
      <x:c r="B25" s="41" t="str">
        <x:v>会计与外部接口</x:v>
      </x:c>
      <x:c r="C25" s="41" t="str">
        <x:v>Peachtree接口配置</x:v>
      </x:c>
      <x:c r="D25" s="41" t="str">
        <x:v>配置客户、发票和收款数据的同步方向与结果。</x:v>
      </x:c>
      <x:c r="E25" s="41" t="str">
        <x:v>FIN、ADMIN、IT</x:v>
      </x:c>
      <x:c r="F25" s="41" t="str">
        <x:v>待开票、发票、收款、会计客户、保养合约、接口配置</x:v>
      </x:c>
      <x:c r="G25" s="41" t="n">
        <x:v>6</x:v>
      </x:c>
      <x:c r="H25" s="41" t="str">
        <x:v>F062</x:v>
      </x:c>
      <x:c r="I25" s="41" t="str">
        <x:v>P11</x:v>
      </x:c>
      <x:c r="J25" s="41" t="str">
        <x:v>当前原型或已有需求已定义</x:v>
      </x:c>
      <x:c r="K25" s="43" t="str">
        <x:v>待确认</x:v>
      </x:c>
      <x:c r="L25" s="43" t="str"/>
      <x:c r="M25" s="43" t="str"/>
    </x:row>
    <x:row r="26" ht="58" customHeight="1">
      <x:c r="A26" s="41" t="str">
        <x:v>FM22</x:v>
      </x:c>
      <x:c r="B26" s="41" t="str">
        <x:v>统计、客户和基础设置</x:v>
      </x:c>
      <x:c r="C26" s="41" t="str">
        <x:v>用户管理</x:v>
      </x:c>
      <x:c r="D26" s="41" t="str">
        <x:v>维护用户、角色、区域、状态及账号信息。</x:v>
      </x:c>
      <x:c r="E26" s="41" t="str">
        <x:v>ADMIN、CS、CR、TL、BOSS、IT</x:v>
      </x:c>
      <x:c r="F26" s="41" t="str">
        <x:v>统计报表、用户管理、客户管理、字典、Excel导入、存储设置、登录</x:v>
      </x:c>
      <x:c r="G26" s="41" t="n">
        <x:v>7</x:v>
      </x:c>
      <x:c r="H26" s="41" t="str">
        <x:v>F066</x:v>
      </x:c>
      <x:c r="I26" s="41" t="str">
        <x:v>P12</x:v>
      </x:c>
      <x:c r="J26" s="41" t="str">
        <x:v>当前原型或已有需求已定义</x:v>
      </x:c>
      <x:c r="K26" s="43" t="str">
        <x:v>待确认</x:v>
      </x:c>
      <x:c r="L26" s="43" t="str"/>
      <x:c r="M26" s="43" t="str"/>
    </x:row>
    <x:row r="27" ht="58" customHeight="1">
      <x:c r="A27" s="41" t="str">
        <x:v>FM23</x:v>
      </x:c>
      <x:c r="B27" s="41" t="str">
        <x:v>统计、客户和基础设置</x:v>
      </x:c>
      <x:c r="C27" s="41" t="str">
        <x:v>客户/联系人/地点管理</x:v>
      </x:c>
      <x:c r="D27" s="41" t="str">
        <x:v>维护政府及私人客户、联系人、标准地点、区域和客户规则。</x:v>
      </x:c>
      <x:c r="E27" s="41" t="str">
        <x:v>ADMIN、CS、CR、TL、BOSS、IT</x:v>
      </x:c>
      <x:c r="F27" s="41" t="str">
        <x:v>统计报表、用户管理、客户管理、字典、Excel导入、存储设置、登录</x:v>
      </x:c>
      <x:c r="G27" s="41" t="n">
        <x:v>8</x:v>
      </x:c>
      <x:c r="H27" s="41" t="str">
        <x:v>F067</x:v>
      </x:c>
      <x:c r="I27" s="41" t="str">
        <x:v>P12</x:v>
      </x:c>
      <x:c r="J27" s="41" t="str">
        <x:v>当前原型或已有需求已定义</x:v>
      </x:c>
      <x:c r="K27" s="43" t="str">
        <x:v>待确认</x:v>
      </x:c>
      <x:c r="L27" s="43" t="str"/>
      <x:c r="M27" s="43" t="str"/>
    </x:row>
    <x:row r="28" ht="58" customHeight="1">
      <x:c r="A28" s="41" t="str">
        <x:v>FM24</x:v>
      </x:c>
      <x:c r="B28" s="41" t="str">
        <x:v>统计、客户和基础设置</x:v>
      </x:c>
      <x:c r="C28" s="41" t="str">
        <x:v>业务字典管理</x:v>
      </x:c>
      <x:c r="D28" s="41" t="str">
        <x:v>维护CALL类型、区域、状态说明、代码和扩展模块字典。</x:v>
      </x:c>
      <x:c r="E28" s="41" t="str">
        <x:v>ADMIN、CS、CR、TL、BOSS、IT</x:v>
      </x:c>
      <x:c r="F28" s="41" t="str">
        <x:v>统计报表、用户管理、客户管理、字典、Excel导入、存储设置、登录</x:v>
      </x:c>
      <x:c r="G28" s="41" t="n">
        <x:v>6</x:v>
      </x:c>
      <x:c r="H28" s="41" t="str">
        <x:v>F068、F069</x:v>
      </x:c>
      <x:c r="I28" s="41" t="str">
        <x:v>P12</x:v>
      </x:c>
      <x:c r="J28" s="41" t="str">
        <x:v>当前原型或已有需求已定义</x:v>
      </x:c>
      <x:c r="K28" s="43" t="str">
        <x:v>待确认</x:v>
      </x:c>
      <x:c r="L28" s="43" t="str"/>
      <x:c r="M28" s="43" t="str"/>
    </x:row>
    <x:row r="29" ht="58" customHeight="1">
      <x:c r="A29" s="41" t="str">
        <x:v>FM25</x:v>
      </x:c>
      <x:c r="B29" s="41" t="str">
        <x:v>统计、客户和基础设置</x:v>
      </x:c>
      <x:c r="C29" s="41" t="str">
        <x:v>Excel导入</x:v>
      </x:c>
      <x:c r="D29" s="41" t="str">
        <x:v>批量导入客户、CALL、报价、发票和收款记录。</x:v>
      </x:c>
      <x:c r="E29" s="41" t="str">
        <x:v>ADMIN、CS、CR、TL、BOSS、IT</x:v>
      </x:c>
      <x:c r="F29" s="41" t="str">
        <x:v>统计报表、用户管理、客户管理、字典、Excel导入、存储设置、登录</x:v>
      </x:c>
      <x:c r="G29" s="41" t="n">
        <x:v>5</x:v>
      </x:c>
      <x:c r="H29" s="41" t="str">
        <x:v>F070</x:v>
      </x:c>
      <x:c r="I29" s="41" t="str">
        <x:v>P12</x:v>
      </x:c>
      <x:c r="J29" s="41" t="str">
        <x:v>当前原型或已有需求已定义</x:v>
      </x:c>
      <x:c r="K29" s="43" t="str">
        <x:v>待确认</x:v>
      </x:c>
      <x:c r="L29" s="43" t="str"/>
      <x:c r="M29" s="43" t="str"/>
    </x:row>
    <x:row r="30" ht="58" customHeight="1">
      <x:c r="A30" s="41" t="str">
        <x:v>FM26</x:v>
      </x:c>
      <x:c r="B30" s="41" t="str">
        <x:v>统计、客户和基础设置</x:v>
      </x:c>
      <x:c r="C30" s="41" t="str">
        <x:v>附件存储设置</x:v>
      </x:c>
      <x:c r="D30" s="41" t="str">
        <x:v>配置附件类型、大小、容量、保留期、备份和清理。</x:v>
      </x:c>
      <x:c r="E30" s="41" t="str">
        <x:v>ADMIN、CS、CR、TL、BOSS、IT</x:v>
      </x:c>
      <x:c r="F30" s="41" t="str">
        <x:v>统计报表、用户管理、客户管理、字典、Excel导入、存储设置、登录</x:v>
      </x:c>
      <x:c r="G30" s="41" t="n">
        <x:v>7</x:v>
      </x:c>
      <x:c r="H30" s="41" t="str">
        <x:v>F071</x:v>
      </x:c>
      <x:c r="I30" s="41" t="str">
        <x:v>P12</x:v>
      </x:c>
      <x:c r="J30" s="41" t="str">
        <x:v>当前原型或已有需求已定义</x:v>
      </x:c>
      <x:c r="K30" s="43" t="str">
        <x:v>待确认</x:v>
      </x:c>
      <x:c r="L30" s="43" t="str"/>
      <x:c r="M30" s="43" t="str"/>
    </x:row>
    <x:row r="31" ht="58" customHeight="1">
      <x:c r="A31" s="41" t="str">
        <x:v>FM27</x:v>
      </x:c>
      <x:c r="B31" s="41" t="str">
        <x:v>统计、客户和基础设置</x:v>
      </x:c>
      <x:c r="C31" s="41" t="str">
        <x:v>统计报表</x:v>
      </x:c>
      <x:c r="D31" s="41" t="str">
        <x:v>按状态、类型、区域、师傅和客户汇总CALL及提醒。</x:v>
      </x:c>
      <x:c r="E31" s="41" t="str">
        <x:v>ADMIN、CS、CR、TL、BOSS、IT</x:v>
      </x:c>
      <x:c r="F31" s="41" t="str">
        <x:v>统计报表、用户管理、客户管理、字典、Excel导入、存储设置、登录</x:v>
      </x:c>
      <x:c r="G31" s="41" t="n">
        <x:v>6</x:v>
      </x:c>
      <x:c r="H31" s="41" t="str">
        <x:v>F063、F064、F065</x:v>
      </x:c>
      <x:c r="I31" s="41" t="str">
        <x:v>P12</x:v>
      </x:c>
      <x:c r="J31" s="41" t="str">
        <x:v>当前原型或已有需求已定义</x:v>
      </x:c>
      <x:c r="K31" s="43" t="str">
        <x:v>待确认</x:v>
      </x:c>
      <x:c r="L31" s="43" t="str"/>
      <x:c r="M31" s="43" t="str"/>
    </x:row>
    <x:row r="32" ht="58" customHeight="1">
      <x:c r="A32" s="41" t="str">
        <x:v>FM28</x:v>
      </x:c>
      <x:c r="B32" s="41" t="str">
        <x:v>统计、客户和基础设置</x:v>
      </x:c>
      <x:c r="C32" s="41" t="str">
        <x:v>登录与角色切换</x:v>
      </x:c>
      <x:c r="D32" s="41" t="str">
        <x:v>按用户身份进入允许的PC或移动工作台。</x:v>
      </x:c>
      <x:c r="E32" s="41" t="str">
        <x:v>ADMIN、CS、CR、TL、BOSS、IT</x:v>
      </x:c>
      <x:c r="F32" s="41" t="str">
        <x:v>统计报表、用户管理、客户管理、字典、Excel导入、存储设置、登录</x:v>
      </x:c>
      <x:c r="G32" s="41" t="n">
        <x:v>5</x:v>
      </x:c>
      <x:c r="H32" s="41" t="str">
        <x:v>F072</x:v>
      </x:c>
      <x:c r="I32" s="41" t="str">
        <x:v>P12</x:v>
      </x:c>
      <x:c r="J32" s="41" t="str">
        <x:v>当前原型或已有需求已定义</x:v>
      </x:c>
      <x:c r="K32" s="43" t="str">
        <x:v>待确认</x:v>
      </x:c>
      <x:c r="L32" s="43" t="str"/>
      <x:c r="M32" s="43" t="str"/>
    </x:row>
    <x:row r="33" ht="58" customHeight="1">
      <x:c r="A33" s="41" t="str">
        <x:v>FM29</x:v>
      </x:c>
      <x:c r="B33" s="41" t="str">
        <x:v>原需求补充与上线约束</x:v>
      </x:c>
      <x:c r="C33" s="41" t="str">
        <x:v>编号规则配置</x:v>
      </x:c>
      <x:c r="D33" s="41" t="str">
        <x:v>分别配置CALL、任务、项目和外部Reference编号。</x:v>
      </x:c>
      <x:c r="E33" s="41" t="str">
        <x:v>ADMIN、IT、CS、TL、MASTER、FIN</x:v>
      </x:c>
      <x:c r="F33" s="41" t="str">
        <x:v>编号规则、不可拍照豁免、SLA提醒、工单池、简版报销、分类映射、归档</x:v>
      </x:c>
      <x:c r="G33" s="41" t="n">
        <x:v>5</x:v>
      </x:c>
      <x:c r="H33" s="41" t="str">
        <x:v>F073</x:v>
      </x:c>
      <x:c r="I33" s="41" t="str">
        <x:v>跨流程</x:v>
      </x:c>
      <x:c r="J33" s="41" t="str">
        <x:v>当前原型或已有需求已定义</x:v>
      </x:c>
      <x:c r="K33" s="43" t="str">
        <x:v>待确认</x:v>
      </x:c>
      <x:c r="L33" s="43" t="str"/>
      <x:c r="M33" s="43" t="str"/>
    </x:row>
    <x:row r="34" ht="58" customHeight="1">
      <x:c r="A34" s="41" t="str">
        <x:v>FM30</x:v>
      </x:c>
      <x:c r="B34" s="41" t="str">
        <x:v>原需求补充与上线约束</x:v>
      </x:c>
      <x:c r="C34" s="41" t="str">
        <x:v>不可拍照豁免</x:v>
      </x:c>
      <x:c r="D34" s="41" t="str">
        <x:v>按客户或地点配置照片豁免及替代证明。</x:v>
      </x:c>
      <x:c r="E34" s="41" t="str">
        <x:v>ADMIN、IT、CS、TL、MASTER、FIN</x:v>
      </x:c>
      <x:c r="F34" s="41" t="str">
        <x:v>编号规则、不可拍照豁免、SLA提醒、工单池、简版报销、分类映射、归档</x:v>
      </x:c>
      <x:c r="G34" s="41" t="n">
        <x:v>5</x:v>
      </x:c>
      <x:c r="H34" s="41" t="str">
        <x:v>F074</x:v>
      </x:c>
      <x:c r="I34" s="41" t="str">
        <x:v>跨流程</x:v>
      </x:c>
      <x:c r="J34" s="41" t="str">
        <x:v>当前原型或已有需求已定义</x:v>
      </x:c>
      <x:c r="K34" s="43" t="str">
        <x:v>待确认</x:v>
      </x:c>
      <x:c r="L34" s="43" t="str"/>
      <x:c r="M34" s="43" t="str"/>
    </x:row>
    <x:row r="35" ht="58" customHeight="1">
      <x:c r="A35" s="41" t="str">
        <x:v>FM31</x:v>
      </x:c>
      <x:c r="B35" s="41" t="str">
        <x:v>原需求补充与上线约束</x:v>
      </x:c>
      <x:c r="C35" s="41" t="str">
        <x:v>SLA与提醒规则</x:v>
      </x:c>
      <x:c r="D35" s="41" t="str">
        <x:v>配置未接单、未到场、处理超时及采购停滞提醒。</x:v>
      </x:c>
      <x:c r="E35" s="41" t="str">
        <x:v>ADMIN、IT、CS、TL、MASTER、FIN</x:v>
      </x:c>
      <x:c r="F35" s="41" t="str">
        <x:v>编号规则、不可拍照豁免、SLA提醒、工单池、简版报销、分类映射、归档</x:v>
      </x:c>
      <x:c r="G35" s="41" t="n">
        <x:v>5</x:v>
      </x:c>
      <x:c r="H35" s="41" t="str">
        <x:v>F075</x:v>
      </x:c>
      <x:c r="I35" s="41" t="str">
        <x:v>跨流程</x:v>
      </x:c>
      <x:c r="J35" s="41" t="str">
        <x:v>当前原型或已有需求已定义</x:v>
      </x:c>
      <x:c r="K35" s="43" t="str">
        <x:v>待确认</x:v>
      </x:c>
      <x:c r="L35" s="43" t="str"/>
      <x:c r="M35" s="43" t="str"/>
    </x:row>
    <x:row r="36" ht="58" customHeight="1">
      <x:c r="A36" s="41" t="str">
        <x:v>FM32</x:v>
      </x:c>
      <x:c r="B36" s="41" t="str">
        <x:v>原需求补充与上线约束</x:v>
      </x:c>
      <x:c r="C36" s="41" t="str">
        <x:v>工单池</x:v>
      </x:c>
      <x:c r="D36" s="41" t="str">
        <x:v>向符合范围的师傅开放任务申请，由主管确认。</x:v>
      </x:c>
      <x:c r="E36" s="41" t="str">
        <x:v>ADMIN、IT、CS、TL、MASTER、FIN</x:v>
      </x:c>
      <x:c r="F36" s="41" t="str">
        <x:v>编号规则、不可拍照豁免、SLA提醒、工单池、简版报销、分类映射、归档</x:v>
      </x:c>
      <x:c r="G36" s="41" t="n">
        <x:v>5</x:v>
      </x:c>
      <x:c r="H36" s="41" t="str">
        <x:v>F076</x:v>
      </x:c>
      <x:c r="I36" s="41" t="str">
        <x:v>跨流程</x:v>
      </x:c>
      <x:c r="J36" s="41" t="str">
        <x:v>当前原型或已有需求已定义</x:v>
      </x:c>
      <x:c r="K36" s="43" t="str">
        <x:v>待确认</x:v>
      </x:c>
      <x:c r="L36" s="43" t="str"/>
      <x:c r="M36" s="43" t="str"/>
    </x:row>
    <x:row r="37" ht="58" customHeight="1">
      <x:c r="A37" s="41" t="str">
        <x:v>FM33</x:v>
      </x:c>
      <x:c r="B37" s="41" t="str">
        <x:v>原需求补充与上线约束</x:v>
      </x:c>
      <x:c r="C37" s="41" t="str">
        <x:v>简版报销关联</x:v>
      </x:c>
      <x:c r="D37" s="41" t="str">
        <x:v>关联一个或多个已完成CALL，记录金额及票据。</x:v>
      </x:c>
      <x:c r="E37" s="41" t="str">
        <x:v>ADMIN、IT、CS、TL、MASTER、FIN</x:v>
      </x:c>
      <x:c r="F37" s="41" t="str">
        <x:v>编号规则、不可拍照豁免、SLA提醒、工单池、简版报销、分类映射、归档</x:v>
      </x:c>
      <x:c r="G37" s="41" t="n">
        <x:v>6</x:v>
      </x:c>
      <x:c r="H37" s="41" t="str">
        <x:v>F077</x:v>
      </x:c>
      <x:c r="I37" s="41" t="str">
        <x:v>跨流程</x:v>
      </x:c>
      <x:c r="J37" s="41" t="str">
        <x:v>当前原型或已有需求已定义</x:v>
      </x:c>
      <x:c r="K37" s="43" t="str">
        <x:v>待确认</x:v>
      </x:c>
      <x:c r="L37" s="43" t="str"/>
      <x:c r="M37" s="43" t="str"/>
    </x:row>
    <x:row r="38" ht="58" customHeight="1">
      <x:c r="A38" s="41" t="str">
        <x:v>FM34</x:v>
      </x:c>
      <x:c r="B38" s="41" t="str">
        <x:v>原需求补充与上线约束</x:v>
      </x:c>
      <x:c r="C38" s="41" t="str">
        <x:v>PM/CM分类映射</x:v>
      </x:c>
      <x:c r="D38" s="41" t="str">
        <x:v>将原业务分类与当前五类CALL建立可维护对应关系。</x:v>
      </x:c>
      <x:c r="E38" s="41" t="str">
        <x:v>ADMIN、IT、CS、TL、MASTER、FIN</x:v>
      </x:c>
      <x:c r="F38" s="41" t="str">
        <x:v>编号规则、不可拍照豁免、SLA提醒、工单池、简版报销、分类映射、归档</x:v>
      </x:c>
      <x:c r="G38" s="41" t="n">
        <x:v>5</x:v>
      </x:c>
      <x:c r="H38" s="41" t="str">
        <x:v>F078</x:v>
      </x:c>
      <x:c r="I38" s="41" t="str">
        <x:v>跨流程</x:v>
      </x:c>
      <x:c r="J38" s="41" t="str">
        <x:v>当前原型或已有需求已定义</x:v>
      </x:c>
      <x:c r="K38" s="43" t="str">
        <x:v>待确认</x:v>
      </x:c>
      <x:c r="L38" s="43" t="str"/>
      <x:c r="M38" s="43" t="str"/>
    </x:row>
    <x:row r="39" ht="58" customHeight="1">
      <x:c r="A39" s="41" t="str">
        <x:v>FM35</x:v>
      </x:c>
      <x:c r="B39" s="41" t="str">
        <x:v>原需求补充与上线约束</x:v>
      </x:c>
      <x:c r="C39" s="41" t="str">
        <x:v>编号关联查询</x:v>
      </x:c>
      <x:c r="D39" s="41" t="str">
        <x:v>分开存储并关联项目、CALL、任务及外部Reference。</x:v>
      </x:c>
      <x:c r="E39" s="41" t="str">
        <x:v>ADMIN、IT、CS、TL、MASTER、FIN</x:v>
      </x:c>
      <x:c r="F39" s="41" t="str">
        <x:v>编号规则、不可拍照豁免、SLA提醒、工单池、简版报销、分类映射、归档</x:v>
      </x:c>
      <x:c r="G39" s="41" t="n">
        <x:v>5</x:v>
      </x:c>
      <x:c r="H39" s="41" t="str">
        <x:v>F079</x:v>
      </x:c>
      <x:c r="I39" s="41" t="str">
        <x:v>跨流程</x:v>
      </x:c>
      <x:c r="J39" s="41" t="str">
        <x:v>当前原型或已有需求已定义</x:v>
      </x:c>
      <x:c r="K39" s="43" t="str">
        <x:v>待确认</x:v>
      </x:c>
      <x:c r="L39" s="43" t="str"/>
      <x:c r="M39" s="43" t="str"/>
    </x:row>
    <x:row r="40" ht="58" customHeight="1">
      <x:c r="A40" s="41" t="str">
        <x:v>FM36</x:v>
      </x:c>
      <x:c r="B40" s="41" t="str">
        <x:v>原需求补充与上线约束</x:v>
      </x:c>
      <x:c r="C40" s="41" t="str">
        <x:v>归档与恢复规则</x:v>
      </x:c>
      <x:c r="D40" s="41" t="str">
        <x:v>配置完成或取消记录、报告及附件的在线保留和备份恢复。</x:v>
      </x:c>
      <x:c r="E40" s="41" t="str">
        <x:v>ADMIN、IT、CS、TL、MASTER、FIN</x:v>
      </x:c>
      <x:c r="F40" s="41" t="str">
        <x:v>编号规则、不可拍照豁免、SLA提醒、工单池、简版报销、分类映射、归档</x:v>
      </x:c>
      <x:c r="G40" s="41" t="n">
        <x:v>5</x:v>
      </x:c>
      <x:c r="H40" s="41" t="str">
        <x:v>F080</x:v>
      </x:c>
      <x:c r="I40" s="41" t="str">
        <x:v>跨流程</x:v>
      </x:c>
      <x:c r="J40" s="41" t="str">
        <x:v>当前原型或已有需求已定义</x:v>
      </x:c>
      <x:c r="K40" s="43" t="str">
        <x:v>待确认</x:v>
      </x:c>
      <x:c r="L40" s="43" t="str"/>
      <x:c r="M40" s="43" t="str"/>
    </x:row>
  </x:sheetData>
  <x:mergeCells>
    <x:mergeCell ref="A1:M1"/>
    <x:mergeCell ref="A2:M2"/>
  </x:mergeCells>
  <x:conditionalFormatting sqref="K5:K40">
    <x:cfRule type="containsText" dxfId="35" priority="1" operator="containsText" text="已确认"/>
    <x:cfRule type="containsText" dxfId="36" priority="2" operator="containsText" text="已批准"/>
    <x:cfRule type="containsText" dxfId="37" priority="3" operator="containsText" text="评审中"/>
    <x:cfRule type="containsText" dxfId="38" priority="4" operator="containsText" text="有条件确认"/>
    <x:cfRule type="containsText" dxfId="39" priority="5" operator="containsText" text="待确认"/>
    <x:cfRule type="containsText" dxfId="40" priority="6" operator="containsText" text="需调整"/>
    <x:cfRule type="containsText" dxfId="41" priority="7" operator="containsText" text="不纳入"/>
  </x:conditionalFormatting>
  <x:dataValidations count="1">
    <x:dataValidation type="list" sqref="K5:K40">
      <x:formula1>"待确认,已确认,有条件确认,需调整,不纳入"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27b9465b2154c3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5" ySplit="4" topLeftCell="F5" activePane="bottomRight" state="frozen"/>
    </x:sheetView>
  </x:sheetViews>
  <x:sheetFormatPr defaultRowHeight="15"/>
  <x:cols>
    <x:col min="1" max="1" width="14" hidden="0" customWidth="1"/>
    <x:col min="2" max="2" width="24" hidden="0" customWidth="1"/>
    <x:col min="3" max="3" width="30" hidden="0" customWidth="1"/>
    <x:col min="4" max="4" width="16" hidden="0" customWidth="1"/>
    <x:col min="5" max="5" width="24" hidden="0" customWidth="1"/>
    <x:col min="6" max="6" width="16" hidden="0" customWidth="1"/>
    <x:col min="7" max="7" width="16" hidden="0" customWidth="1"/>
    <x:col min="8" max="8" width="44" hidden="0" customWidth="1"/>
    <x:col min="9" max="9" width="20" hidden="0" customWidth="1"/>
    <x:col min="10" max="10" width="16" hidden="0" customWidth="1"/>
    <x:col min="11" max="11" width="24" hidden="0" customWidth="1"/>
    <x:col min="12" max="12" width="16" hidden="0" customWidth="1"/>
    <x:col min="13" max="13" width="16" hidden="0" customWidth="1"/>
    <x:col min="14" max="14" width="44" hidden="0" customWidth="1"/>
    <x:col min="15" max="15" width="34" hidden="0" customWidth="1"/>
    <x:col min="16" max="16" width="30" hidden="0" customWidth="1"/>
  </x:cols>
  <x:sheetData>
    <x:row r="1" ht="28" customHeight="1">
      <x:c r="A1" s="2" t="str">
        <x:v>字段逐项确认</x:v>
      </x:c>
      <x:c r="B1" s="59"/>
      <x:c r="C1" s="59"/>
      <x:c r="D1" s="59"/>
      <x:c r="E1" s="59"/>
      <x:c r="F1" s="59"/>
      <x:c r="G1" s="59"/>
      <x:c r="H1" s="59"/>
      <x:c r="I1" s="59"/>
      <x:c r="J1" s="59"/>
      <x:c r="K1" s="59"/>
      <x:c r="L1" s="59"/>
      <x:c r="M1" s="59"/>
      <x:c r="N1" s="59"/>
      <x:c r="O1" s="59"/>
      <x:c r="P1" s="59"/>
    </x:row>
    <x:row r="2" ht="24" customHeight="1">
      <x:c r="A2" s="5" t="str">
        <x:v>逐字段确认名称、类型、必填、选项、校验和业务说明；黄色列为客户定稿区。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</x:row>
    <x:row r="3">
      <x:c r="A3" s="59"/>
      <x:c r="B3" s="59"/>
      <x:c r="C3" s="59"/>
      <x:c r="D3" s="59"/>
      <x:c r="E3" s="59"/>
      <x:c r="F3" s="59"/>
      <x:c r="G3" s="59"/>
      <x:c r="H3" s="59"/>
      <x:c r="I3" s="59"/>
      <x:c r="J3" s="59"/>
      <x:c r="K3" s="59"/>
      <x:c r="L3" s="59"/>
      <x:c r="M3" s="59"/>
      <x:c r="N3" s="59"/>
      <x:c r="O3" s="59"/>
      <x:c r="P3" s="59"/>
    </x:row>
    <x:row r="4">
      <x:c r="A4" s="25" t="str">
        <x:v>字段编号</x:v>
      </x:c>
      <x:c r="B4" s="26" t="str">
        <x:v>模块</x:v>
      </x:c>
      <x:c r="C4" s="26" t="str">
        <x:v>表单/页面</x:v>
      </x:c>
      <x:c r="D4" s="26" t="str">
        <x:v>字段组</x:v>
      </x:c>
      <x:c r="E4" s="26" t="str">
        <x:v>当前字段名称</x:v>
      </x:c>
      <x:c r="F4" s="26" t="str">
        <x:v>当前类型</x:v>
      </x:c>
      <x:c r="G4" s="26" t="str">
        <x:v>当前必填规则</x:v>
      </x:c>
      <x:c r="H4" s="26" t="str">
        <x:v>字段说明/校验</x:v>
      </x:c>
      <x:c r="I4" s="26" t="str">
        <x:v>原型状态</x:v>
      </x:c>
      <x:c r="J4" s="26" t="str">
        <x:v>客户确认</x:v>
      </x:c>
      <x:c r="K4" s="26" t="str">
        <x:v>定稿字段名称</x:v>
      </x:c>
      <x:c r="L4" s="26" t="str">
        <x:v>定稿类型</x:v>
      </x:c>
      <x:c r="M4" s="26" t="str">
        <x:v>定稿必填</x:v>
      </x:c>
      <x:c r="N4" s="26" t="str">
        <x:v>选项/规则定稿</x:v>
      </x:c>
      <x:c r="O4" s="26" t="str">
        <x:v>客户备注</x:v>
      </x:c>
      <x:c r="P4" s="27" t="str">
        <x:v>关联依据</x:v>
      </x:c>
    </x:row>
    <x:row r="5" ht="40" customHeight="1">
      <x:c r="A5" s="40" t="str">
        <x:v>FM01-01</x:v>
      </x:c>
      <x:c r="B5" s="40" t="str">
        <x:v>首页与通知</x:v>
      </x:c>
      <x:c r="C5" s="40" t="str">
        <x:v>首页看板</x:v>
      </x:c>
      <x:c r="D5" s="40" t="str">
        <x:v>统计指标</x:v>
      </x:c>
      <x:c r="E5" s="40" t="str">
        <x:v>状态数量</x:v>
      </x:c>
      <x:c r="F5" s="40" t="str">
        <x:v>计算</x:v>
      </x:c>
      <x:c r="G5" s="40" t="str">
        <x:v>否</x:v>
      </x:c>
      <x:c r="H5" s="40" t="str">
        <x:v>按7个CALL主状态统计</x:v>
      </x:c>
      <x:c r="I5" s="40" t="str">
        <x:v>原型/材料已定义</x:v>
      </x:c>
      <x:c r="J5" s="42" t="str">
        <x:v>待确认</x:v>
      </x:c>
      <x:c r="K5" s="42" t="str">
        <x:v>统计指标</x:v>
      </x:c>
      <x:c r="L5" s="42" t="str">
        <x:v>状态数量</x:v>
      </x:c>
      <x:c r="M5" s="42" t="str">
        <x:v>计算</x:v>
      </x:c>
      <x:c r="N5" s="42" t="str"/>
      <x:c r="O5" s="42" t="str"/>
      <x:c r="P5" s="40" t="str">
        <x:v>待确认</x:v>
      </x:c>
    </x:row>
    <x:row r="6" ht="40" customHeight="1">
      <x:c r="A6" s="41" t="str">
        <x:v>FM01-02</x:v>
      </x:c>
      <x:c r="B6" s="41" t="str">
        <x:v>首页与通知</x:v>
      </x:c>
      <x:c r="C6" s="41" t="str">
        <x:v>首页看板</x:v>
      </x:c>
      <x:c r="D6" s="41" t="str">
        <x:v>待办</x:v>
      </x:c>
      <x:c r="E6" s="41" t="str">
        <x:v>CALL编号</x:v>
      </x:c>
      <x:c r="F6" s="41" t="str">
        <x:v>文本</x:v>
      </x:c>
      <x:c r="G6" s="41" t="str">
        <x:v>否</x:v>
      </x:c>
      <x:c r="H6" s="41" t="str">
        <x:v>跳转关联CALL</x:v>
      </x:c>
      <x:c r="I6" s="41" t="str">
        <x:v>原型/材料已定义</x:v>
      </x:c>
      <x:c r="J6" s="43" t="str">
        <x:v>待确认</x:v>
      </x:c>
      <x:c r="K6" s="43" t="str">
        <x:v>待办</x:v>
      </x:c>
      <x:c r="L6" s="43" t="str">
        <x:v>CALL编号</x:v>
      </x:c>
      <x:c r="M6" s="43" t="str">
        <x:v>文本</x:v>
      </x:c>
      <x:c r="N6" s="43" t="str"/>
      <x:c r="O6" s="43" t="str"/>
      <x:c r="P6" s="41" t="str">
        <x:v>待确认</x:v>
      </x:c>
    </x:row>
    <x:row r="7" ht="40" customHeight="1">
      <x:c r="A7" s="41" t="str">
        <x:v>FM01-03</x:v>
      </x:c>
      <x:c r="B7" s="41" t="str">
        <x:v>首页与通知</x:v>
      </x:c>
      <x:c r="C7" s="41" t="str">
        <x:v>首页看板</x:v>
      </x:c>
      <x:c r="D7" s="41" t="str">
        <x:v>待办</x:v>
      </x:c>
      <x:c r="E7" s="41" t="str">
        <x:v>客户/摘要</x:v>
      </x:c>
      <x:c r="F7" s="41" t="str">
        <x:v>文本</x:v>
      </x:c>
      <x:c r="G7" s="41" t="str">
        <x:v>否</x:v>
      </x:c>
      <x:c r="H7" s="41" t="str">
        <x:v>显示任务摘要</x:v>
      </x:c>
      <x:c r="I7" s="41" t="str">
        <x:v>原型/材料已定义</x:v>
      </x:c>
      <x:c r="J7" s="43" t="str">
        <x:v>待确认</x:v>
      </x:c>
      <x:c r="K7" s="43" t="str">
        <x:v>待办</x:v>
      </x:c>
      <x:c r="L7" s="43" t="str">
        <x:v>客户/摘要</x:v>
      </x:c>
      <x:c r="M7" s="43" t="str">
        <x:v>文本</x:v>
      </x:c>
      <x:c r="N7" s="43" t="str"/>
      <x:c r="O7" s="43" t="str"/>
      <x:c r="P7" s="41" t="str">
        <x:v>待确认</x:v>
      </x:c>
    </x:row>
    <x:row r="8" ht="40" customHeight="1">
      <x:c r="A8" s="41" t="str">
        <x:v>FM01-04</x:v>
      </x:c>
      <x:c r="B8" s="41" t="str">
        <x:v>首页与通知</x:v>
      </x:c>
      <x:c r="C8" s="41" t="str">
        <x:v>首页看板</x:v>
      </x:c>
      <x:c r="D8" s="41" t="str">
        <x:v>异常</x:v>
      </x:c>
      <x:c r="E8" s="41" t="str">
        <x:v>异常类型</x:v>
      </x:c>
      <x:c r="F8" s="41" t="str">
        <x:v>枚举</x:v>
      </x:c>
      <x:c r="G8" s="41" t="str">
        <x:v>否</x:v>
      </x:c>
      <x:c r="H8" s="41" t="str">
        <x:v>紧急、拒单、超时等</x:v>
      </x:c>
      <x:c r="I8" s="41" t="str">
        <x:v>原型/材料已定义</x:v>
      </x:c>
      <x:c r="J8" s="43" t="str">
        <x:v>待确认</x:v>
      </x:c>
      <x:c r="K8" s="43" t="str">
        <x:v>异常</x:v>
      </x:c>
      <x:c r="L8" s="43" t="str">
        <x:v>异常类型</x:v>
      </x:c>
      <x:c r="M8" s="43" t="str">
        <x:v>枚举</x:v>
      </x:c>
      <x:c r="N8" s="43" t="str"/>
      <x:c r="O8" s="43" t="str"/>
      <x:c r="P8" s="41" t="str">
        <x:v>待确认</x:v>
      </x:c>
    </x:row>
    <x:row r="9" ht="40" customHeight="1">
      <x:c r="A9" s="41" t="str">
        <x:v>FM01-05</x:v>
      </x:c>
      <x:c r="B9" s="41" t="str">
        <x:v>首页与通知</x:v>
      </x:c>
      <x:c r="C9" s="41" t="str">
        <x:v>首页看板</x:v>
      </x:c>
      <x:c r="D9" s="41" t="str">
        <x:v>动态</x:v>
      </x:c>
      <x:c r="E9" s="41" t="str">
        <x:v>时间/操作人/内容</x:v>
      </x:c>
      <x:c r="F9" s="41" t="str">
        <x:v>记录</x:v>
      </x:c>
      <x:c r="G9" s="41" t="str">
        <x:v>否</x:v>
      </x:c>
      <x:c r="H9" s="41" t="str">
        <x:v>按时间倒序</x:v>
      </x:c>
      <x:c r="I9" s="41" t="str">
        <x:v>原型/材料已定义</x:v>
      </x:c>
      <x:c r="J9" s="43" t="str">
        <x:v>待确认</x:v>
      </x:c>
      <x:c r="K9" s="43" t="str">
        <x:v>动态</x:v>
      </x:c>
      <x:c r="L9" s="43" t="str">
        <x:v>时间/操作人/内容</x:v>
      </x:c>
      <x:c r="M9" s="43" t="str">
        <x:v>记录</x:v>
      </x:c>
      <x:c r="N9" s="43" t="str"/>
      <x:c r="O9" s="43" t="str"/>
      <x:c r="P9" s="41" t="str">
        <x:v>待确认</x:v>
      </x:c>
    </x:row>
    <x:row r="10" ht="40" customHeight="1">
      <x:c r="A10" s="41" t="str">
        <x:v>FM02-01</x:v>
      </x:c>
      <x:c r="B10" s="41" t="str">
        <x:v>首页与通知</x:v>
      </x:c>
      <x:c r="C10" s="41" t="str">
        <x:v>通知中心</x:v>
      </x:c>
      <x:c r="D10" s="41" t="str">
        <x:v>通知</x:v>
      </x:c>
      <x:c r="E10" s="41" t="str">
        <x:v>通知类型</x:v>
      </x:c>
      <x:c r="F10" s="41" t="str">
        <x:v>枚举</x:v>
      </x:c>
      <x:c r="G10" s="41" t="str">
        <x:v>是</x:v>
      </x:c>
      <x:c r="H10" s="41" t="str">
        <x:v>业务事件类型</x:v>
      </x:c>
      <x:c r="I10" s="41" t="str">
        <x:v>原型/材料已定义</x:v>
      </x:c>
      <x:c r="J10" s="43" t="str">
        <x:v>待确认</x:v>
      </x:c>
      <x:c r="K10" s="43" t="str">
        <x:v>通知</x:v>
      </x:c>
      <x:c r="L10" s="43" t="str">
        <x:v>通知类型</x:v>
      </x:c>
      <x:c r="M10" s="43" t="str">
        <x:v>枚举</x:v>
      </x:c>
      <x:c r="N10" s="43" t="str"/>
      <x:c r="O10" s="43" t="str"/>
      <x:c r="P10" s="41" t="str">
        <x:v>待确认</x:v>
      </x:c>
    </x:row>
    <x:row r="11" ht="40" customHeight="1">
      <x:c r="A11" s="41" t="str">
        <x:v>FM02-02</x:v>
      </x:c>
      <x:c r="B11" s="41" t="str">
        <x:v>首页与通知</x:v>
      </x:c>
      <x:c r="C11" s="41" t="str">
        <x:v>通知中心</x:v>
      </x:c>
      <x:c r="D11" s="41" t="str">
        <x:v>通知</x:v>
      </x:c>
      <x:c r="E11" s="41" t="str">
        <x:v>接收角色/人员</x:v>
      </x:c>
      <x:c r="F11" s="41" t="str">
        <x:v>人员</x:v>
      </x:c>
      <x:c r="G11" s="41" t="str">
        <x:v>是</x:v>
      </x:c>
      <x:c r="H11" s="41" t="str">
        <x:v>按角色及人员投递</x:v>
      </x:c>
      <x:c r="I11" s="41" t="str">
        <x:v>原型/材料已定义</x:v>
      </x:c>
      <x:c r="J11" s="43" t="str">
        <x:v>待确认</x:v>
      </x:c>
      <x:c r="K11" s="43" t="str">
        <x:v>通知</x:v>
      </x:c>
      <x:c r="L11" s="43" t="str">
        <x:v>接收角色/人员</x:v>
      </x:c>
      <x:c r="M11" s="43" t="str">
        <x:v>人员</x:v>
      </x:c>
      <x:c r="N11" s="43" t="str"/>
      <x:c r="O11" s="43" t="str"/>
      <x:c r="P11" s="41" t="str">
        <x:v>待确认</x:v>
      </x:c>
    </x:row>
    <x:row r="12" ht="40" customHeight="1">
      <x:c r="A12" s="41" t="str">
        <x:v>FM02-03</x:v>
      </x:c>
      <x:c r="B12" s="41" t="str">
        <x:v>首页与通知</x:v>
      </x:c>
      <x:c r="C12" s="41" t="str">
        <x:v>通知中心</x:v>
      </x:c>
      <x:c r="D12" s="41" t="str">
        <x:v>通知</x:v>
      </x:c>
      <x:c r="E12" s="41" t="str">
        <x:v>关联编号</x:v>
      </x:c>
      <x:c r="F12" s="41" t="str">
        <x:v>文本</x:v>
      </x:c>
      <x:c r="G12" s="41" t="str">
        <x:v>否</x:v>
      </x:c>
      <x:c r="H12" s="41" t="str">
        <x:v>CALL/报价/采购编号</x:v>
      </x:c>
      <x:c r="I12" s="41" t="str">
        <x:v>原型/材料已定义</x:v>
      </x:c>
      <x:c r="J12" s="43" t="str">
        <x:v>待确认</x:v>
      </x:c>
      <x:c r="K12" s="43" t="str">
        <x:v>通知</x:v>
      </x:c>
      <x:c r="L12" s="43" t="str">
        <x:v>关联编号</x:v>
      </x:c>
      <x:c r="M12" s="43" t="str">
        <x:v>文本</x:v>
      </x:c>
      <x:c r="N12" s="43" t="str"/>
      <x:c r="O12" s="43" t="str"/>
      <x:c r="P12" s="41" t="str">
        <x:v>待确认</x:v>
      </x:c>
    </x:row>
    <x:row r="13" ht="40" customHeight="1">
      <x:c r="A13" s="41" t="str">
        <x:v>FM02-04</x:v>
      </x:c>
      <x:c r="B13" s="41" t="str">
        <x:v>首页与通知</x:v>
      </x:c>
      <x:c r="C13" s="41" t="str">
        <x:v>通知中心</x:v>
      </x:c>
      <x:c r="D13" s="41" t="str">
        <x:v>通知</x:v>
      </x:c>
      <x:c r="E13" s="41" t="str">
        <x:v>发送时间</x:v>
      </x:c>
      <x:c r="F13" s="41" t="str">
        <x:v>日期时间</x:v>
      </x:c>
      <x:c r="G13" s="41" t="str">
        <x:v>是</x:v>
      </x:c>
      <x:c r="H13" s="41" t="str">
        <x:v>系统生成</x:v>
      </x:c>
      <x:c r="I13" s="41" t="str">
        <x:v>原型/材料已定义</x:v>
      </x:c>
      <x:c r="J13" s="43" t="str">
        <x:v>待确认</x:v>
      </x:c>
      <x:c r="K13" s="43" t="str">
        <x:v>通知</x:v>
      </x:c>
      <x:c r="L13" s="43" t="str">
        <x:v>发送时间</x:v>
      </x:c>
      <x:c r="M13" s="43" t="str">
        <x:v>日期时间</x:v>
      </x:c>
      <x:c r="N13" s="43" t="str"/>
      <x:c r="O13" s="43" t="str"/>
      <x:c r="P13" s="41" t="str">
        <x:v>待确认</x:v>
      </x:c>
    </x:row>
    <x:row r="14" ht="40" customHeight="1">
      <x:c r="A14" s="41" t="str">
        <x:v>FM02-05</x:v>
      </x:c>
      <x:c r="B14" s="41" t="str">
        <x:v>首页与通知</x:v>
      </x:c>
      <x:c r="C14" s="41" t="str">
        <x:v>通知中心</x:v>
      </x:c>
      <x:c r="D14" s="41" t="str">
        <x:v>通知</x:v>
      </x:c>
      <x:c r="E14" s="41" t="str">
        <x:v>已读状态</x:v>
      </x:c>
      <x:c r="F14" s="41" t="str">
        <x:v>布尔</x:v>
      </x:c>
      <x:c r="G14" s="41" t="str">
        <x:v>是</x:v>
      </x:c>
      <x:c r="H14" s="41" t="str">
        <x:v>未读/已读</x:v>
      </x:c>
      <x:c r="I14" s="41" t="str">
        <x:v>原型/材料已定义</x:v>
      </x:c>
      <x:c r="J14" s="43" t="str">
        <x:v>待确认</x:v>
      </x:c>
      <x:c r="K14" s="43" t="str">
        <x:v>通知</x:v>
      </x:c>
      <x:c r="L14" s="43" t="str">
        <x:v>已读状态</x:v>
      </x:c>
      <x:c r="M14" s="43" t="str">
        <x:v>布尔</x:v>
      </x:c>
      <x:c r="N14" s="43" t="str"/>
      <x:c r="O14" s="43" t="str"/>
      <x:c r="P14" s="41" t="str">
        <x:v>待确认</x:v>
      </x:c>
    </x:row>
    <x:row r="15" ht="40" customHeight="1">
      <x:c r="A15" s="41" t="str">
        <x:v>FM03-01</x:v>
      </x:c>
      <x:c r="B15" s="41" t="str">
        <x:v>CALL受理与工单管理</x:v>
      </x:c>
      <x:c r="C15" s="41" t="str">
        <x:v>CALL受理记录</x:v>
      </x:c>
      <x:c r="D15" s="41" t="str">
        <x:v>来电</x:v>
      </x:c>
      <x:c r="E15" s="41" t="str">
        <x:v>客户</x:v>
      </x:c>
      <x:c r="F15" s="41" t="str">
        <x:v>关联选择</x:v>
      </x:c>
      <x:c r="G15" s="41" t="str">
        <x:v>是</x:v>
      </x:c>
      <x:c r="H15" s="41" t="str">
        <x:v>关联客户主数据</x:v>
      </x:c>
      <x:c r="I15" s="41" t="str">
        <x:v>原型/材料已定义</x:v>
      </x:c>
      <x:c r="J15" s="43" t="str">
        <x:v>待确认</x:v>
      </x:c>
      <x:c r="K15" s="43" t="str">
        <x:v>来电</x:v>
      </x:c>
      <x:c r="L15" s="43" t="str">
        <x:v>客户</x:v>
      </x:c>
      <x:c r="M15" s="43" t="str">
        <x:v>关联选择</x:v>
      </x:c>
      <x:c r="N15" s="43" t="str"/>
      <x:c r="O15" s="43" t="str"/>
      <x:c r="P15" s="41" t="str">
        <x:v>待确认</x:v>
      </x:c>
    </x:row>
    <x:row r="16" ht="40" customHeight="1">
      <x:c r="A16" s="41" t="str">
        <x:v>FM03-02</x:v>
      </x:c>
      <x:c r="B16" s="41" t="str">
        <x:v>CALL受理与工单管理</x:v>
      </x:c>
      <x:c r="C16" s="41" t="str">
        <x:v>CALL受理记录</x:v>
      </x:c>
      <x:c r="D16" s="41" t="str">
        <x:v>来电</x:v>
      </x:c>
      <x:c r="E16" s="41" t="str">
        <x:v>联系人/电话</x:v>
      </x:c>
      <x:c r="F16" s="41" t="str">
        <x:v>文本</x:v>
      </x:c>
      <x:c r="G16" s="41" t="str">
        <x:v>否</x:v>
      </x:c>
      <x:c r="H16" s="41" t="str">
        <x:v>可从客户资料带入</x:v>
      </x:c>
      <x:c r="I16" s="41" t="str">
        <x:v>原型/材料已定义</x:v>
      </x:c>
      <x:c r="J16" s="43" t="str">
        <x:v>待确认</x:v>
      </x:c>
      <x:c r="K16" s="43" t="str">
        <x:v>来电</x:v>
      </x:c>
      <x:c r="L16" s="43" t="str">
        <x:v>联系人/电话</x:v>
      </x:c>
      <x:c r="M16" s="43" t="str">
        <x:v>文本</x:v>
      </x:c>
      <x:c r="N16" s="43" t="str"/>
      <x:c r="O16" s="43" t="str"/>
      <x:c r="P16" s="41" t="str">
        <x:v>待确认</x:v>
      </x:c>
    </x:row>
    <x:row r="17" ht="40" customHeight="1">
      <x:c r="A17" s="41" t="str">
        <x:v>FM03-03</x:v>
      </x:c>
      <x:c r="B17" s="41" t="str">
        <x:v>CALL受理与工单管理</x:v>
      </x:c>
      <x:c r="C17" s="41" t="str">
        <x:v>CALL受理记录</x:v>
      </x:c>
      <x:c r="D17" s="41" t="str">
        <x:v>来电</x:v>
      </x:c>
      <x:c r="E17" s="41" t="str">
        <x:v>来源渠道</x:v>
      </x:c>
      <x:c r="F17" s="41" t="str">
        <x:v>枚举</x:v>
      </x:c>
      <x:c r="G17" s="41" t="str">
        <x:v>是</x:v>
      </x:c>
      <x:c r="H17" s="41" t="str">
        <x:v>电话、WhatsApp、现场、邮件</x:v>
      </x:c>
      <x:c r="I17" s="41" t="str">
        <x:v>原型/材料已定义</x:v>
      </x:c>
      <x:c r="J17" s="43" t="str">
        <x:v>待确认</x:v>
      </x:c>
      <x:c r="K17" s="43" t="str">
        <x:v>来电</x:v>
      </x:c>
      <x:c r="L17" s="43" t="str">
        <x:v>来源渠道</x:v>
      </x:c>
      <x:c r="M17" s="43" t="str">
        <x:v>枚举</x:v>
      </x:c>
      <x:c r="N17" s="43" t="str"/>
      <x:c r="O17" s="43" t="str"/>
      <x:c r="P17" s="41" t="str">
        <x:v>待确认</x:v>
      </x:c>
    </x:row>
    <x:row r="18" ht="40" customHeight="1">
      <x:c r="A18" s="41" t="str">
        <x:v>FM03-04</x:v>
      </x:c>
      <x:c r="B18" s="41" t="str">
        <x:v>CALL受理与工单管理</x:v>
      </x:c>
      <x:c r="C18" s="41" t="str">
        <x:v>CALL受理记录</x:v>
      </x:c>
      <x:c r="D18" s="41" t="str">
        <x:v>来电</x:v>
      </x:c>
      <x:c r="E18" s="41" t="str">
        <x:v>内容摘要</x:v>
      </x:c>
      <x:c r="F18" s="41" t="str">
        <x:v>多行文本</x:v>
      </x:c>
      <x:c r="G18" s="41" t="str">
        <x:v>是</x:v>
      </x:c>
      <x:c r="H18" s="41" t="str">
        <x:v>记录客户诉求</x:v>
      </x:c>
      <x:c r="I18" s="41" t="str">
        <x:v>原型/材料已定义</x:v>
      </x:c>
      <x:c r="J18" s="43" t="str">
        <x:v>待确认</x:v>
      </x:c>
      <x:c r="K18" s="43" t="str">
        <x:v>来电</x:v>
      </x:c>
      <x:c r="L18" s="43" t="str">
        <x:v>内容摘要</x:v>
      </x:c>
      <x:c r="M18" s="43" t="str">
        <x:v>多行文本</x:v>
      </x:c>
      <x:c r="N18" s="43" t="str"/>
      <x:c r="O18" s="43" t="str"/>
      <x:c r="P18" s="41" t="str">
        <x:v>待确认</x:v>
      </x:c>
    </x:row>
    <x:row r="19" ht="40" customHeight="1">
      <x:c r="A19" s="41" t="str">
        <x:v>FM03-05</x:v>
      </x:c>
      <x:c r="B19" s="41" t="str">
        <x:v>CALL受理与工单管理</x:v>
      </x:c>
      <x:c r="C19" s="41" t="str">
        <x:v>CALL受理记录</x:v>
      </x:c>
      <x:c r="D19" s="41" t="str">
        <x:v>处理</x:v>
      </x:c>
      <x:c r="E19" s="41" t="str">
        <x:v>受理判断</x:v>
      </x:c>
      <x:c r="F19" s="41" t="str">
        <x:v>枚举</x:v>
      </x:c>
      <x:c r="G19" s="41" t="str">
        <x:v>是</x:v>
      </x:c>
      <x:c r="H19" s="41" t="str">
        <x:v>仅答疑/创建CALL/取消</x:v>
      </x:c>
      <x:c r="I19" s="41" t="str">
        <x:v>原型/材料已定义</x:v>
      </x:c>
      <x:c r="J19" s="43" t="str">
        <x:v>待确认</x:v>
      </x:c>
      <x:c r="K19" s="43" t="str">
        <x:v>处理</x:v>
      </x:c>
      <x:c r="L19" s="43" t="str">
        <x:v>受理判断</x:v>
      </x:c>
      <x:c r="M19" s="43" t="str">
        <x:v>枚举</x:v>
      </x:c>
      <x:c r="N19" s="43" t="str"/>
      <x:c r="O19" s="43" t="str"/>
      <x:c r="P19" s="41" t="str">
        <x:v>待确认</x:v>
      </x:c>
    </x:row>
    <x:row r="20" ht="40" customHeight="1">
      <x:c r="A20" s="41" t="str">
        <x:v>FM03-06</x:v>
      </x:c>
      <x:c r="B20" s="41" t="str">
        <x:v>CALL受理与工单管理</x:v>
      </x:c>
      <x:c r="C20" s="41" t="str">
        <x:v>CALL受理记录</x:v>
      </x:c>
      <x:c r="D20" s="41" t="str">
        <x:v>处理</x:v>
      </x:c>
      <x:c r="E20" s="41" t="str">
        <x:v>跟进备注</x:v>
      </x:c>
      <x:c r="F20" s="41" t="str">
        <x:v>多行文本</x:v>
      </x:c>
      <x:c r="G20" s="41" t="str">
        <x:v>否</x:v>
      </x:c>
      <x:c r="H20" s="41" t="str">
        <x:v>后续说明</x:v>
      </x:c>
      <x:c r="I20" s="41" t="str">
        <x:v>原型/材料已定义</x:v>
      </x:c>
      <x:c r="J20" s="43" t="str">
        <x:v>待确认</x:v>
      </x:c>
      <x:c r="K20" s="43" t="str">
        <x:v>处理</x:v>
      </x:c>
      <x:c r="L20" s="43" t="str">
        <x:v>跟进备注</x:v>
      </x:c>
      <x:c r="M20" s="43" t="str">
        <x:v>多行文本</x:v>
      </x:c>
      <x:c r="N20" s="43" t="str"/>
      <x:c r="O20" s="43" t="str"/>
      <x:c r="P20" s="41" t="str">
        <x:v>待确认</x:v>
      </x:c>
    </x:row>
    <x:row r="21" ht="40" customHeight="1">
      <x:c r="A21" s="41" t="str">
        <x:v>FM04-01</x:v>
      </x:c>
      <x:c r="B21" s="41" t="str">
        <x:v>CALL受理与工单管理</x:v>
      </x:c>
      <x:c r="C21" s="41" t="str">
        <x:v>新建/编辑CALL</x:v>
      </x:c>
      <x:c r="D21" s="41" t="str">
        <x:v>编号</x:v>
      </x:c>
      <x:c r="E21" s="41" t="str">
        <x:v>CALL编号</x:v>
      </x:c>
      <x:c r="F21" s="41" t="str">
        <x:v>自动编号</x:v>
      </x:c>
      <x:c r="G21" s="41" t="str">
        <x:v>是</x:v>
      </x:c>
      <x:c r="H21" s="41" t="str">
        <x:v>普通/政府编号规则</x:v>
      </x:c>
      <x:c r="I21" s="41" t="str">
        <x:v>原型/材料已定义</x:v>
      </x:c>
      <x:c r="J21" s="43" t="str">
        <x:v>待确认</x:v>
      </x:c>
      <x:c r="K21" s="43" t="str">
        <x:v>编号</x:v>
      </x:c>
      <x:c r="L21" s="43" t="str">
        <x:v>CALL编号</x:v>
      </x:c>
      <x:c r="M21" s="43" t="str">
        <x:v>自动编号</x:v>
      </x:c>
      <x:c r="N21" s="43" t="str"/>
      <x:c r="O21" s="43" t="str"/>
      <x:c r="P21" s="41" t="str">
        <x:v>待确认</x:v>
      </x:c>
    </x:row>
    <x:row r="22" ht="40" customHeight="1">
      <x:c r="A22" s="41" t="str">
        <x:v>FM04-02</x:v>
      </x:c>
      <x:c r="B22" s="41" t="str">
        <x:v>CALL受理与工单管理</x:v>
      </x:c>
      <x:c r="C22" s="41" t="str">
        <x:v>新建/编辑CALL</x:v>
      </x:c>
      <x:c r="D22" s="41" t="str">
        <x:v>编号</x:v>
      </x:c>
      <x:c r="E22" s="41" t="str">
        <x:v>任务编号</x:v>
      </x:c>
      <x:c r="F22" s="41" t="str">
        <x:v>自动编号</x:v>
      </x:c>
      <x:c r="G22" s="41" t="str">
        <x:v>否</x:v>
      </x:c>
      <x:c r="H22" s="41" t="str">
        <x:v>进入分派后独立生成</x:v>
      </x:c>
      <x:c r="I22" s="41" t="str">
        <x:v>原型/材料已定义</x:v>
      </x:c>
      <x:c r="J22" s="43" t="str">
        <x:v>待确认</x:v>
      </x:c>
      <x:c r="K22" s="43" t="str">
        <x:v>编号</x:v>
      </x:c>
      <x:c r="L22" s="43" t="str">
        <x:v>任务编号</x:v>
      </x:c>
      <x:c r="M22" s="43" t="str">
        <x:v>自动编号</x:v>
      </x:c>
      <x:c r="N22" s="43" t="str"/>
      <x:c r="O22" s="43" t="str"/>
      <x:c r="P22" s="41" t="str">
        <x:v>待确认</x:v>
      </x:c>
    </x:row>
    <x:row r="23" ht="40" customHeight="1">
      <x:c r="A23" s="41" t="str">
        <x:v>FM04-03</x:v>
      </x:c>
      <x:c r="B23" s="41" t="str">
        <x:v>CALL受理与工单管理</x:v>
      </x:c>
      <x:c r="C23" s="41" t="str">
        <x:v>新建/编辑CALL</x:v>
      </x:c>
      <x:c r="D23" s="41" t="str">
        <x:v>客户</x:v>
      </x:c>
      <x:c r="E23" s="41" t="str">
        <x:v>客户/联系人</x:v>
      </x:c>
      <x:c r="F23" s="41" t="str">
        <x:v>关联选择</x:v>
      </x:c>
      <x:c r="G23" s="41" t="str">
        <x:v>是</x:v>
      </x:c>
      <x:c r="H23" s="41" t="str">
        <x:v>带入联系方式</x:v>
      </x:c>
      <x:c r="I23" s="41" t="str">
        <x:v>原型/材料已定义</x:v>
      </x:c>
      <x:c r="J23" s="43" t="str">
        <x:v>待确认</x:v>
      </x:c>
      <x:c r="K23" s="43" t="str">
        <x:v>客户</x:v>
      </x:c>
      <x:c r="L23" s="43" t="str">
        <x:v>客户/联系人</x:v>
      </x:c>
      <x:c r="M23" s="43" t="str">
        <x:v>关联选择</x:v>
      </x:c>
      <x:c r="N23" s="43" t="str"/>
      <x:c r="O23" s="43" t="str"/>
      <x:c r="P23" s="41" t="str">
        <x:v>待确认</x:v>
      </x:c>
    </x:row>
    <x:row r="24" ht="40" customHeight="1">
      <x:c r="A24" s="41" t="str">
        <x:v>FM04-04</x:v>
      </x:c>
      <x:c r="B24" s="41" t="str">
        <x:v>CALL受理与工单管理</x:v>
      </x:c>
      <x:c r="C24" s="41" t="str">
        <x:v>新建/编辑CALL</x:v>
      </x:c>
      <x:c r="D24" s="41" t="str">
        <x:v>客户</x:v>
      </x:c>
      <x:c r="E24" s="41" t="str">
        <x:v>联系电话</x:v>
      </x:c>
      <x:c r="F24" s="41" t="str">
        <x:v>文本</x:v>
      </x:c>
      <x:c r="G24" s="41" t="str">
        <x:v>否</x:v>
      </x:c>
      <x:c r="H24" s="41" t="str">
        <x:v>允许覆盖本次联系号码</x:v>
      </x:c>
      <x:c r="I24" s="41" t="str">
        <x:v>原型/材料已定义</x:v>
      </x:c>
      <x:c r="J24" s="43" t="str">
        <x:v>待确认</x:v>
      </x:c>
      <x:c r="K24" s="43" t="str">
        <x:v>客户</x:v>
      </x:c>
      <x:c r="L24" s="43" t="str">
        <x:v>联系电话</x:v>
      </x:c>
      <x:c r="M24" s="43" t="str">
        <x:v>文本</x:v>
      </x:c>
      <x:c r="N24" s="43" t="str"/>
      <x:c r="O24" s="43" t="str"/>
      <x:c r="P24" s="41" t="str">
        <x:v>待确认</x:v>
      </x:c>
    </x:row>
    <x:row r="25" ht="40" customHeight="1">
      <x:c r="A25" s="41" t="str">
        <x:v>FM04-05</x:v>
      </x:c>
      <x:c r="B25" s="41" t="str">
        <x:v>CALL受理与工单管理</x:v>
      </x:c>
      <x:c r="C25" s="41" t="str">
        <x:v>新建/编辑CALL</x:v>
      </x:c>
      <x:c r="D25" s="41" t="str">
        <x:v>分类</x:v>
      </x:c>
      <x:c r="E25" s="41" t="str">
        <x:v>CALL代码</x:v>
      </x:c>
      <x:c r="F25" s="41" t="str">
        <x:v>字典</x:v>
      </x:c>
      <x:c r="G25" s="41" t="str">
        <x:v>是</x:v>
      </x:c>
      <x:c r="H25" s="41" t="str">
        <x:v>可配置代码</x:v>
      </x:c>
      <x:c r="I25" s="41" t="str">
        <x:v>原型/材料已定义</x:v>
      </x:c>
      <x:c r="J25" s="43" t="str">
        <x:v>待确认</x:v>
      </x:c>
      <x:c r="K25" s="43" t="str">
        <x:v>分类</x:v>
      </x:c>
      <x:c r="L25" s="43" t="str">
        <x:v>CALL代码</x:v>
      </x:c>
      <x:c r="M25" s="43" t="str">
        <x:v>字典</x:v>
      </x:c>
      <x:c r="N25" s="43" t="str"/>
      <x:c r="O25" s="43" t="str"/>
      <x:c r="P25" s="41" t="str">
        <x:v>待确认</x:v>
      </x:c>
    </x:row>
    <x:row r="26" ht="40" customHeight="1">
      <x:c r="A26" s="41" t="str">
        <x:v>FM04-06</x:v>
      </x:c>
      <x:c r="B26" s="41" t="str">
        <x:v>CALL受理与工单管理</x:v>
      </x:c>
      <x:c r="C26" s="41" t="str">
        <x:v>新建/编辑CALL</x:v>
      </x:c>
      <x:c r="D26" s="41" t="str">
        <x:v>分类</x:v>
      </x:c>
      <x:c r="E26" s="41" t="str">
        <x:v>CALL类型</x:v>
      </x:c>
      <x:c r="F26" s="41" t="str">
        <x:v>字典</x:v>
      </x:c>
      <x:c r="G26" s="41" t="str">
        <x:v>是</x:v>
      </x:c>
      <x:c r="H26" s="41" t="str">
        <x:v>DLP保养维修等五类</x:v>
      </x:c>
      <x:c r="I26" s="41" t="str">
        <x:v>原型/材料已定义</x:v>
      </x:c>
      <x:c r="J26" s="43" t="str">
        <x:v>待确认</x:v>
      </x:c>
      <x:c r="K26" s="43" t="str">
        <x:v>分类</x:v>
      </x:c>
      <x:c r="L26" s="43" t="str">
        <x:v>CALL类型</x:v>
      </x:c>
      <x:c r="M26" s="43" t="str">
        <x:v>字典</x:v>
      </x:c>
      <x:c r="N26" s="43" t="str"/>
      <x:c r="O26" s="43" t="str"/>
      <x:c r="P26" s="41" t="str">
        <x:v>待确认</x:v>
      </x:c>
    </x:row>
    <x:row r="27" ht="40" customHeight="1">
      <x:c r="A27" s="41" t="str">
        <x:v>FM04-07</x:v>
      </x:c>
      <x:c r="B27" s="41" t="str">
        <x:v>CALL受理与工单管理</x:v>
      </x:c>
      <x:c r="C27" s="41" t="str">
        <x:v>新建/编辑CALL</x:v>
      </x:c>
      <x:c r="D27" s="41" t="str">
        <x:v>地点</x:v>
      </x:c>
      <x:c r="E27" s="41" t="str">
        <x:v>区域</x:v>
      </x:c>
      <x:c r="F27" s="41" t="str">
        <x:v>字典</x:v>
      </x:c>
      <x:c r="G27" s="41" t="str">
        <x:v>是</x:v>
      </x:c>
      <x:c r="H27" s="41" t="str">
        <x:v>关联主管与师傅</x:v>
      </x:c>
      <x:c r="I27" s="41" t="str">
        <x:v>原型/材料已定义</x:v>
      </x:c>
      <x:c r="J27" s="43" t="str">
        <x:v>待确认</x:v>
      </x:c>
      <x:c r="K27" s="43" t="str">
        <x:v>地点</x:v>
      </x:c>
      <x:c r="L27" s="43" t="str">
        <x:v>区域</x:v>
      </x:c>
      <x:c r="M27" s="43" t="str">
        <x:v>字典</x:v>
      </x:c>
      <x:c r="N27" s="43" t="str"/>
      <x:c r="O27" s="43" t="str"/>
      <x:c r="P27" s="41" t="str">
        <x:v>待确认</x:v>
      </x:c>
    </x:row>
    <x:row r="28" ht="40" customHeight="1">
      <x:c r="A28" s="41" t="str">
        <x:v>FM04-08</x:v>
      </x:c>
      <x:c r="B28" s="41" t="str">
        <x:v>CALL受理与工单管理</x:v>
      </x:c>
      <x:c r="C28" s="41" t="str">
        <x:v>新建/编辑CALL</x:v>
      </x:c>
      <x:c r="D28" s="41" t="str">
        <x:v>地点</x:v>
      </x:c>
      <x:c r="E28" s="41" t="str">
        <x:v>标准地点/地址</x:v>
      </x:c>
      <x:c r="F28" s="41" t="str">
        <x:v>关联选择</x:v>
      </x:c>
      <x:c r="G28" s="41" t="str">
        <x:v>是</x:v>
      </x:c>
      <x:c r="H28" s="41" t="str">
        <x:v>客户地点主数据</x:v>
      </x:c>
      <x:c r="I28" s="41" t="str">
        <x:v>原型/材料已定义</x:v>
      </x:c>
      <x:c r="J28" s="43" t="str">
        <x:v>待确认</x:v>
      </x:c>
      <x:c r="K28" s="43" t="str">
        <x:v>地点</x:v>
      </x:c>
      <x:c r="L28" s="43" t="str">
        <x:v>标准地点/地址</x:v>
      </x:c>
      <x:c r="M28" s="43" t="str">
        <x:v>关联选择</x:v>
      </x:c>
      <x:c r="N28" s="43" t="str"/>
      <x:c r="O28" s="43" t="str"/>
      <x:c r="P28" s="41" t="str">
        <x:v>待确认</x:v>
      </x:c>
    </x:row>
    <x:row r="29" ht="40" customHeight="1">
      <x:c r="A29" s="41" t="str">
        <x:v>FM04-09</x:v>
      </x:c>
      <x:c r="B29" s="41" t="str">
        <x:v>CALL受理与工单管理</x:v>
      </x:c>
      <x:c r="C29" s="41" t="str">
        <x:v>新建/编辑CALL</x:v>
      </x:c>
      <x:c r="D29" s="41" t="str">
        <x:v>内容</x:v>
      </x:c>
      <x:c r="E29" s="41" t="str">
        <x:v>问题描述</x:v>
      </x:c>
      <x:c r="F29" s="41" t="str">
        <x:v>多行文本</x:v>
      </x:c>
      <x:c r="G29" s="41" t="str">
        <x:v>是</x:v>
      </x:c>
      <x:c r="H29" s="41" t="str">
        <x:v>故障或服务内容</x:v>
      </x:c>
      <x:c r="I29" s="41" t="str">
        <x:v>原型/材料已定义</x:v>
      </x:c>
      <x:c r="J29" s="43" t="str">
        <x:v>待确认</x:v>
      </x:c>
      <x:c r="K29" s="43" t="str">
        <x:v>内容</x:v>
      </x:c>
      <x:c r="L29" s="43" t="str">
        <x:v>问题描述</x:v>
      </x:c>
      <x:c r="M29" s="43" t="str">
        <x:v>多行文本</x:v>
      </x:c>
      <x:c r="N29" s="43" t="str"/>
      <x:c r="O29" s="43" t="str"/>
      <x:c r="P29" s="41" t="str">
        <x:v>待确认</x:v>
      </x:c>
    </x:row>
    <x:row r="30" ht="40" customHeight="1">
      <x:c r="A30" s="41" t="str">
        <x:v>FM04-10</x:v>
      </x:c>
      <x:c r="B30" s="41" t="str">
        <x:v>CALL受理与工单管理</x:v>
      </x:c>
      <x:c r="C30" s="41" t="str">
        <x:v>新建/编辑CALL</x:v>
      </x:c>
      <x:c r="D30" s="41" t="str">
        <x:v>内容</x:v>
      </x:c>
      <x:c r="E30" s="41" t="str">
        <x:v>附件</x:v>
      </x:c>
      <x:c r="F30" s="41" t="str">
        <x:v>附件</x:v>
      </x:c>
      <x:c r="G30" s="41" t="str">
        <x:v>否</x:v>
      </x:c>
      <x:c r="H30" s="41" t="str">
        <x:v>图片或文件</x:v>
      </x:c>
      <x:c r="I30" s="41" t="str">
        <x:v>原型/材料已定义</x:v>
      </x:c>
      <x:c r="J30" s="43" t="str">
        <x:v>待确认</x:v>
      </x:c>
      <x:c r="K30" s="43" t="str">
        <x:v>内容</x:v>
      </x:c>
      <x:c r="L30" s="43" t="str">
        <x:v>附件</x:v>
      </x:c>
      <x:c r="M30" s="43" t="str">
        <x:v>附件</x:v>
      </x:c>
      <x:c r="N30" s="43" t="str"/>
      <x:c r="O30" s="43" t="str"/>
      <x:c r="P30" s="41" t="str">
        <x:v>待确认</x:v>
      </x:c>
    </x:row>
    <x:row r="31" ht="40" customHeight="1">
      <x:c r="A31" s="41" t="str">
        <x:v>FM04-11</x:v>
      </x:c>
      <x:c r="B31" s="41" t="str">
        <x:v>CALL受理与工单管理</x:v>
      </x:c>
      <x:c r="C31" s="41" t="str">
        <x:v>新建/编辑CALL</x:v>
      </x:c>
      <x:c r="D31" s="41" t="str">
        <x:v>内容</x:v>
      </x:c>
      <x:c r="E31" s="41" t="str">
        <x:v>优先级/紧急</x:v>
      </x:c>
      <x:c r="F31" s="41" t="str">
        <x:v>枚举</x:v>
      </x:c>
      <x:c r="G31" s="41" t="str">
        <x:v>否</x:v>
      </x:c>
      <x:c r="H31" s="41" t="str">
        <x:v>用于排序与提醒</x:v>
      </x:c>
      <x:c r="I31" s="41" t="str">
        <x:v>原型/材料已定义</x:v>
      </x:c>
      <x:c r="J31" s="43" t="str">
        <x:v>待确认</x:v>
      </x:c>
      <x:c r="K31" s="43" t="str">
        <x:v>内容</x:v>
      </x:c>
      <x:c r="L31" s="43" t="str">
        <x:v>优先级/紧急</x:v>
      </x:c>
      <x:c r="M31" s="43" t="str">
        <x:v>枚举</x:v>
      </x:c>
      <x:c r="N31" s="43" t="str"/>
      <x:c r="O31" s="43" t="str"/>
      <x:c r="P31" s="41" t="str">
        <x:v>待确认</x:v>
      </x:c>
    </x:row>
    <x:row r="32" ht="40" customHeight="1">
      <x:c r="A32" s="41" t="str">
        <x:v>FM04-12</x:v>
      </x:c>
      <x:c r="B32" s="41" t="str">
        <x:v>CALL受理与工单管理</x:v>
      </x:c>
      <x:c r="C32" s="41" t="str">
        <x:v>新建/编辑CALL</x:v>
      </x:c>
      <x:c r="D32" s="41" t="str">
        <x:v>处理</x:v>
      </x:c>
      <x:c r="E32" s="41" t="str">
        <x:v>保存方式</x:v>
      </x:c>
      <x:c r="F32" s="41" t="str">
        <x:v>枚举</x:v>
      </x:c>
      <x:c r="G32" s="41" t="str">
        <x:v>是</x:v>
      </x:c>
      <x:c r="H32" s="41" t="str">
        <x:v>草稿/提交</x:v>
      </x:c>
      <x:c r="I32" s="41" t="str">
        <x:v>原型/材料已定义</x:v>
      </x:c>
      <x:c r="J32" s="43" t="str">
        <x:v>待确认</x:v>
      </x:c>
      <x:c r="K32" s="43" t="str">
        <x:v>处理</x:v>
      </x:c>
      <x:c r="L32" s="43" t="str">
        <x:v>保存方式</x:v>
      </x:c>
      <x:c r="M32" s="43" t="str">
        <x:v>枚举</x:v>
      </x:c>
      <x:c r="N32" s="43" t="str"/>
      <x:c r="O32" s="43" t="str"/>
      <x:c r="P32" s="41" t="str">
        <x:v>待确认</x:v>
      </x:c>
    </x:row>
    <x:row r="33" ht="40" customHeight="1">
      <x:c r="A33" s="41" t="str">
        <x:v>FM05-01</x:v>
      </x:c>
      <x:c r="B33" s="41" t="str">
        <x:v>CALL受理与工单管理</x:v>
      </x:c>
      <x:c r="C33" s="41" t="str">
        <x:v>CALL列表与筛选</x:v>
      </x:c>
      <x:c r="D33" s="41" t="str">
        <x:v>筛选</x:v>
      </x:c>
      <x:c r="E33" s="41" t="str">
        <x:v>关键词</x:v>
      </x:c>
      <x:c r="F33" s="41" t="str">
        <x:v>文本</x:v>
      </x:c>
      <x:c r="G33" s="41" t="str">
        <x:v>否</x:v>
      </x:c>
      <x:c r="H33" s="41" t="str">
        <x:v>编号、客户或描述</x:v>
      </x:c>
      <x:c r="I33" s="41" t="str">
        <x:v>原型/材料已定义</x:v>
      </x:c>
      <x:c r="J33" s="43" t="str">
        <x:v>待确认</x:v>
      </x:c>
      <x:c r="K33" s="43" t="str">
        <x:v>筛选</x:v>
      </x:c>
      <x:c r="L33" s="43" t="str">
        <x:v>关键词</x:v>
      </x:c>
      <x:c r="M33" s="43" t="str">
        <x:v>文本</x:v>
      </x:c>
      <x:c r="N33" s="43" t="str"/>
      <x:c r="O33" s="43" t="str"/>
      <x:c r="P33" s="41" t="str">
        <x:v>待确认</x:v>
      </x:c>
    </x:row>
    <x:row r="34" ht="40" customHeight="1">
      <x:c r="A34" s="41" t="str">
        <x:v>FM05-02</x:v>
      </x:c>
      <x:c r="B34" s="41" t="str">
        <x:v>CALL受理与工单管理</x:v>
      </x:c>
      <x:c r="C34" s="41" t="str">
        <x:v>CALL列表与筛选</x:v>
      </x:c>
      <x:c r="D34" s="41" t="str">
        <x:v>筛选</x:v>
      </x:c>
      <x:c r="E34" s="41" t="str">
        <x:v>状态</x:v>
      </x:c>
      <x:c r="F34" s="41" t="str">
        <x:v>多选枚举</x:v>
      </x:c>
      <x:c r="G34" s="41" t="str">
        <x:v>否</x:v>
      </x:c>
      <x:c r="H34" s="41" t="str">
        <x:v>7个主状态</x:v>
      </x:c>
      <x:c r="I34" s="41" t="str">
        <x:v>原型/材料已定义</x:v>
      </x:c>
      <x:c r="J34" s="43" t="str">
        <x:v>待确认</x:v>
      </x:c>
      <x:c r="K34" s="43" t="str">
        <x:v>筛选</x:v>
      </x:c>
      <x:c r="L34" s="43" t="str">
        <x:v>状态</x:v>
      </x:c>
      <x:c r="M34" s="43" t="str">
        <x:v>多选枚举</x:v>
      </x:c>
      <x:c r="N34" s="43" t="str"/>
      <x:c r="O34" s="43" t="str"/>
      <x:c r="P34" s="41" t="str">
        <x:v>待确认</x:v>
      </x:c>
    </x:row>
    <x:row r="35" ht="40" customHeight="1">
      <x:c r="A35" s="41" t="str">
        <x:v>FM05-03</x:v>
      </x:c>
      <x:c r="B35" s="41" t="str">
        <x:v>CALL受理与工单管理</x:v>
      </x:c>
      <x:c r="C35" s="41" t="str">
        <x:v>CALL列表与筛选</x:v>
      </x:c>
      <x:c r="D35" s="41" t="str">
        <x:v>筛选</x:v>
      </x:c>
      <x:c r="E35" s="41" t="str">
        <x:v>CALL类型</x:v>
      </x:c>
      <x:c r="F35" s="41" t="str">
        <x:v>字典</x:v>
      </x:c>
      <x:c r="G35" s="41" t="str">
        <x:v>否</x:v>
      </x:c>
      <x:c r="H35" s="41" t="str">
        <x:v>五类CALL</x:v>
      </x:c>
      <x:c r="I35" s="41" t="str">
        <x:v>原型/材料已定义</x:v>
      </x:c>
      <x:c r="J35" s="43" t="str">
        <x:v>待确认</x:v>
      </x:c>
      <x:c r="K35" s="43" t="str">
        <x:v>筛选</x:v>
      </x:c>
      <x:c r="L35" s="43" t="str">
        <x:v>CALL类型</x:v>
      </x:c>
      <x:c r="M35" s="43" t="str">
        <x:v>字典</x:v>
      </x:c>
      <x:c r="N35" s="43" t="str"/>
      <x:c r="O35" s="43" t="str"/>
      <x:c r="P35" s="41" t="str">
        <x:v>待确认</x:v>
      </x:c>
    </x:row>
    <x:row r="36" ht="40" customHeight="1">
      <x:c r="A36" s="41" t="str">
        <x:v>FM05-04</x:v>
      </x:c>
      <x:c r="B36" s="41" t="str">
        <x:v>CALL受理与工单管理</x:v>
      </x:c>
      <x:c r="C36" s="41" t="str">
        <x:v>CALL列表与筛选</x:v>
      </x:c>
      <x:c r="D36" s="41" t="str">
        <x:v>筛选</x:v>
      </x:c>
      <x:c r="E36" s="41" t="str">
        <x:v>区域</x:v>
      </x:c>
      <x:c r="F36" s="41" t="str">
        <x:v>字典</x:v>
      </x:c>
      <x:c r="G36" s="41" t="str">
        <x:v>否</x:v>
      </x:c>
      <x:c r="H36" s="41" t="str">
        <x:v>区域范围</x:v>
      </x:c>
      <x:c r="I36" s="41" t="str">
        <x:v>原型/材料已定义</x:v>
      </x:c>
      <x:c r="J36" s="43" t="str">
        <x:v>待确认</x:v>
      </x:c>
      <x:c r="K36" s="43" t="str">
        <x:v>筛选</x:v>
      </x:c>
      <x:c r="L36" s="43" t="str">
        <x:v>区域</x:v>
      </x:c>
      <x:c r="M36" s="43" t="str">
        <x:v>字典</x:v>
      </x:c>
      <x:c r="N36" s="43" t="str"/>
      <x:c r="O36" s="43" t="str"/>
      <x:c r="P36" s="41" t="str">
        <x:v>待确认</x:v>
      </x:c>
    </x:row>
    <x:row r="37" ht="40" customHeight="1">
      <x:c r="A37" s="41" t="str">
        <x:v>FM05-05</x:v>
      </x:c>
      <x:c r="B37" s="41" t="str">
        <x:v>CALL受理与工单管理</x:v>
      </x:c>
      <x:c r="C37" s="41" t="str">
        <x:v>CALL列表与筛选</x:v>
      </x:c>
      <x:c r="D37" s="41" t="str">
        <x:v>筛选</x:v>
      </x:c>
      <x:c r="E37" s="41" t="str">
        <x:v>负责人/师傅</x:v>
      </x:c>
      <x:c r="F37" s="41" t="str">
        <x:v>人员</x:v>
      </x:c>
      <x:c r="G37" s="41" t="str">
        <x:v>否</x:v>
      </x:c>
      <x:c r="H37" s="41" t="str">
        <x:v>按权限选择</x:v>
      </x:c>
      <x:c r="I37" s="41" t="str">
        <x:v>原型/材料已定义</x:v>
      </x:c>
      <x:c r="J37" s="43" t="str">
        <x:v>待确认</x:v>
      </x:c>
      <x:c r="K37" s="43" t="str">
        <x:v>筛选</x:v>
      </x:c>
      <x:c r="L37" s="43" t="str">
        <x:v>负责人/师傅</x:v>
      </x:c>
      <x:c r="M37" s="43" t="str">
        <x:v>人员</x:v>
      </x:c>
      <x:c r="N37" s="43" t="str"/>
      <x:c r="O37" s="43" t="str"/>
      <x:c r="P37" s="41" t="str">
        <x:v>待确认</x:v>
      </x:c>
    </x:row>
    <x:row r="38" ht="40" customHeight="1">
      <x:c r="A38" s="41" t="str">
        <x:v>FM05-06</x:v>
      </x:c>
      <x:c r="B38" s="41" t="str">
        <x:v>CALL受理与工单管理</x:v>
      </x:c>
      <x:c r="C38" s="41" t="str">
        <x:v>CALL列表与筛选</x:v>
      </x:c>
      <x:c r="D38" s="41" t="str">
        <x:v>筛选</x:v>
      </x:c>
      <x:c r="E38" s="41" t="str">
        <x:v>客户</x:v>
      </x:c>
      <x:c r="F38" s="41" t="str">
        <x:v>关联选择</x:v>
      </x:c>
      <x:c r="G38" s="41" t="str">
        <x:v>否</x:v>
      </x:c>
      <x:c r="H38" s="41" t="str">
        <x:v>客户主数据</x:v>
      </x:c>
      <x:c r="I38" s="41" t="str">
        <x:v>原型/材料已定义</x:v>
      </x:c>
      <x:c r="J38" s="43" t="str">
        <x:v>待确认</x:v>
      </x:c>
      <x:c r="K38" s="43" t="str">
        <x:v>筛选</x:v>
      </x:c>
      <x:c r="L38" s="43" t="str">
        <x:v>客户</x:v>
      </x:c>
      <x:c r="M38" s="43" t="str">
        <x:v>关联选择</x:v>
      </x:c>
      <x:c r="N38" s="43" t="str"/>
      <x:c r="O38" s="43" t="str"/>
      <x:c r="P38" s="41" t="str">
        <x:v>待确认</x:v>
      </x:c>
    </x:row>
    <x:row r="39" ht="40" customHeight="1">
      <x:c r="A39" s="41" t="str">
        <x:v>FM05-07</x:v>
      </x:c>
      <x:c r="B39" s="41" t="str">
        <x:v>CALL受理与工单管理</x:v>
      </x:c>
      <x:c r="C39" s="41" t="str">
        <x:v>CALL列表与筛选</x:v>
      </x:c>
      <x:c r="D39" s="41" t="str">
        <x:v>列表</x:v>
      </x:c>
      <x:c r="E39" s="41" t="str">
        <x:v>编号/客户/类型</x:v>
      </x:c>
      <x:c r="F39" s="41" t="str">
        <x:v>文本</x:v>
      </x:c>
      <x:c r="G39" s="41" t="str">
        <x:v>否</x:v>
      </x:c>
      <x:c r="H39" s="41" t="str">
        <x:v>核心识别字段</x:v>
      </x:c>
      <x:c r="I39" s="41" t="str">
        <x:v>原型/材料已定义</x:v>
      </x:c>
      <x:c r="J39" s="43" t="str">
        <x:v>待确认</x:v>
      </x:c>
      <x:c r="K39" s="43" t="str">
        <x:v>列表</x:v>
      </x:c>
      <x:c r="L39" s="43" t="str">
        <x:v>编号/客户/类型</x:v>
      </x:c>
      <x:c r="M39" s="43" t="str">
        <x:v>文本</x:v>
      </x:c>
      <x:c r="N39" s="43" t="str"/>
      <x:c r="O39" s="43" t="str"/>
      <x:c r="P39" s="41" t="str">
        <x:v>待确认</x:v>
      </x:c>
    </x:row>
    <x:row r="40" ht="40" customHeight="1">
      <x:c r="A40" s="41" t="str">
        <x:v>FM05-08</x:v>
      </x:c>
      <x:c r="B40" s="41" t="str">
        <x:v>CALL受理与工单管理</x:v>
      </x:c>
      <x:c r="C40" s="41" t="str">
        <x:v>CALL列表与筛选</x:v>
      </x:c>
      <x:c r="D40" s="41" t="str">
        <x:v>列表</x:v>
      </x:c>
      <x:c r="E40" s="41" t="str">
        <x:v>状态/负责人/更新时间</x:v>
      </x:c>
      <x:c r="F40" s="41" t="str">
        <x:v>状态/人员/日期时间</x:v>
      </x:c>
      <x:c r="G40" s="41" t="str">
        <x:v>否</x:v>
      </x:c>
      <x:c r="H40" s="41" t="str">
        <x:v>进度信息</x:v>
      </x:c>
      <x:c r="I40" s="41" t="str">
        <x:v>原型/材料已定义</x:v>
      </x:c>
      <x:c r="J40" s="43" t="str">
        <x:v>待确认</x:v>
      </x:c>
      <x:c r="K40" s="43" t="str">
        <x:v>列表</x:v>
      </x:c>
      <x:c r="L40" s="43" t="str">
        <x:v>状态/负责人/更新时间</x:v>
      </x:c>
      <x:c r="M40" s="43" t="str">
        <x:v>状态/人员/日期时间</x:v>
      </x:c>
      <x:c r="N40" s="43" t="str"/>
      <x:c r="O40" s="43" t="str"/>
      <x:c r="P40" s="41" t="str">
        <x:v>待确认</x:v>
      </x:c>
    </x:row>
    <x:row r="41" ht="40" customHeight="1">
      <x:c r="A41" s="41" t="str">
        <x:v>FM06-01</x:v>
      </x:c>
      <x:c r="B41" s="41" t="str">
        <x:v>CALL受理与工单管理</x:v>
      </x:c>
      <x:c r="C41" s="41" t="str">
        <x:v>CALL详情与操作</x:v>
      </x:c>
      <x:c r="D41" s="41" t="str">
        <x:v>基本</x:v>
      </x:c>
      <x:c r="E41" s="41" t="str">
        <x:v>CALL/任务编号</x:v>
      </x:c>
      <x:c r="F41" s="41" t="str">
        <x:v>文本</x:v>
      </x:c>
      <x:c r="G41" s="41" t="str">
        <x:v>是</x:v>
      </x:c>
      <x:c r="H41" s="41" t="str">
        <x:v>关联检索</x:v>
      </x:c>
      <x:c r="I41" s="41" t="str">
        <x:v>原型/材料已定义</x:v>
      </x:c>
      <x:c r="J41" s="43" t="str">
        <x:v>待确认</x:v>
      </x:c>
      <x:c r="K41" s="43" t="str">
        <x:v>基本</x:v>
      </x:c>
      <x:c r="L41" s="43" t="str">
        <x:v>CALL/任务编号</x:v>
      </x:c>
      <x:c r="M41" s="43" t="str">
        <x:v>文本</x:v>
      </x:c>
      <x:c r="N41" s="43" t="str"/>
      <x:c r="O41" s="43" t="str"/>
      <x:c r="P41" s="41" t="str">
        <x:v>待确认</x:v>
      </x:c>
    </x:row>
    <x:row r="42" ht="40" customHeight="1">
      <x:c r="A42" s="41" t="str">
        <x:v>FM06-02</x:v>
      </x:c>
      <x:c r="B42" s="41" t="str">
        <x:v>CALL受理与工单管理</x:v>
      </x:c>
      <x:c r="C42" s="41" t="str">
        <x:v>CALL详情与操作</x:v>
      </x:c>
      <x:c r="D42" s="41" t="str">
        <x:v>基本</x:v>
      </x:c>
      <x:c r="E42" s="41" t="str">
        <x:v>状态/类型/区域</x:v>
      </x:c>
      <x:c r="F42" s="41" t="str">
        <x:v>枚举</x:v>
      </x:c>
      <x:c r="G42" s="41" t="str">
        <x:v>是</x:v>
      </x:c>
      <x:c r="H42" s="41" t="str">
        <x:v>当前业务状态</x:v>
      </x:c>
      <x:c r="I42" s="41" t="str">
        <x:v>原型/材料已定义</x:v>
      </x:c>
      <x:c r="J42" s="43" t="str">
        <x:v>待确认</x:v>
      </x:c>
      <x:c r="K42" s="43" t="str">
        <x:v>基本</x:v>
      </x:c>
      <x:c r="L42" s="43" t="str">
        <x:v>状态/类型/区域</x:v>
      </x:c>
      <x:c r="M42" s="43" t="str">
        <x:v>枚举</x:v>
      </x:c>
      <x:c r="N42" s="43" t="str"/>
      <x:c r="O42" s="43" t="str"/>
      <x:c r="P42" s="41" t="str">
        <x:v>待确认</x:v>
      </x:c>
    </x:row>
    <x:row r="43" ht="40" customHeight="1">
      <x:c r="A43" s="41" t="str">
        <x:v>FM06-03</x:v>
      </x:c>
      <x:c r="B43" s="41" t="str">
        <x:v>CALL受理与工单管理</x:v>
      </x:c>
      <x:c r="C43" s="41" t="str">
        <x:v>CALL详情与操作</x:v>
      </x:c>
      <x:c r="D43" s="41" t="str">
        <x:v>客户</x:v>
      </x:c>
      <x:c r="E43" s="41" t="str">
        <x:v>客户/联系人/电话</x:v>
      </x:c>
      <x:c r="F43" s="41" t="str">
        <x:v>文本</x:v>
      </x:c>
      <x:c r="G43" s="41" t="str">
        <x:v>是</x:v>
      </x:c>
      <x:c r="H43" s="41" t="str">
        <x:v>客户资料</x:v>
      </x:c>
      <x:c r="I43" s="41" t="str">
        <x:v>原型/材料已定义</x:v>
      </x:c>
      <x:c r="J43" s="43" t="str">
        <x:v>待确认</x:v>
      </x:c>
      <x:c r="K43" s="43" t="str">
        <x:v>客户</x:v>
      </x:c>
      <x:c r="L43" s="43" t="str">
        <x:v>客户/联系人/电话</x:v>
      </x:c>
      <x:c r="M43" s="43" t="str">
        <x:v>文本</x:v>
      </x:c>
      <x:c r="N43" s="43" t="str"/>
      <x:c r="O43" s="43" t="str"/>
      <x:c r="P43" s="41" t="str">
        <x:v>待确认</x:v>
      </x:c>
    </x:row>
    <x:row r="44" ht="40" customHeight="1">
      <x:c r="A44" s="41" t="str">
        <x:v>FM06-04</x:v>
      </x:c>
      <x:c r="B44" s="41" t="str">
        <x:v>CALL受理与工单管理</x:v>
      </x:c>
      <x:c r="C44" s="41" t="str">
        <x:v>CALL详情与操作</x:v>
      </x:c>
      <x:c r="D44" s="41" t="str">
        <x:v>地点</x:v>
      </x:c>
      <x:c r="E44" s="41" t="str">
        <x:v>地址/标准地点</x:v>
      </x:c>
      <x:c r="F44" s="41" t="str">
        <x:v>文本</x:v>
      </x:c>
      <x:c r="G44" s="41" t="str">
        <x:v>是</x:v>
      </x:c>
      <x:c r="H44" s="41" t="str">
        <x:v>服务位置</x:v>
      </x:c>
      <x:c r="I44" s="41" t="str">
        <x:v>原型/材料已定义</x:v>
      </x:c>
      <x:c r="J44" s="43" t="str">
        <x:v>待确认</x:v>
      </x:c>
      <x:c r="K44" s="43" t="str">
        <x:v>地点</x:v>
      </x:c>
      <x:c r="L44" s="43" t="str">
        <x:v>地址/标准地点</x:v>
      </x:c>
      <x:c r="M44" s="43" t="str">
        <x:v>文本</x:v>
      </x:c>
      <x:c r="N44" s="43" t="str"/>
      <x:c r="O44" s="43" t="str"/>
      <x:c r="P44" s="41" t="str">
        <x:v>待确认</x:v>
      </x:c>
    </x:row>
    <x:row r="45" ht="40" customHeight="1">
      <x:c r="A45" s="41" t="str">
        <x:v>FM06-05</x:v>
      </x:c>
      <x:c r="B45" s="41" t="str">
        <x:v>CALL受理与工单管理</x:v>
      </x:c>
      <x:c r="C45" s="41" t="str">
        <x:v>CALL详情与操作</x:v>
      </x:c>
      <x:c r="D45" s="41" t="str">
        <x:v>人员</x:v>
      </x:c>
      <x:c r="E45" s="41" t="str">
        <x:v>TL/师傅/负责人</x:v>
      </x:c>
      <x:c r="F45" s="41" t="str">
        <x:v>人员</x:v>
      </x:c>
      <x:c r="G45" s="41" t="str">
        <x:v>否</x:v>
      </x:c>
      <x:c r="H45" s="41" t="str">
        <x:v>处理责任</x:v>
      </x:c>
      <x:c r="I45" s="41" t="str">
        <x:v>原型/材料已定义</x:v>
      </x:c>
      <x:c r="J45" s="43" t="str">
        <x:v>待确认</x:v>
      </x:c>
      <x:c r="K45" s="43" t="str">
        <x:v>人员</x:v>
      </x:c>
      <x:c r="L45" s="43" t="str">
        <x:v>TL/师傅/负责人</x:v>
      </x:c>
      <x:c r="M45" s="43" t="str">
        <x:v>人员</x:v>
      </x:c>
      <x:c r="N45" s="43" t="str"/>
      <x:c r="O45" s="43" t="str"/>
      <x:c r="P45" s="41" t="str">
        <x:v>待确认</x:v>
      </x:c>
    </x:row>
    <x:row r="46" ht="40" customHeight="1">
      <x:c r="A46" s="41" t="str">
        <x:v>FM06-06</x:v>
      </x:c>
      <x:c r="B46" s="41" t="str">
        <x:v>CALL受理与工单管理</x:v>
      </x:c>
      <x:c r="C46" s="41" t="str">
        <x:v>CALL详情与操作</x:v>
      </x:c>
      <x:c r="D46" s="41" t="str">
        <x:v>内容</x:v>
      </x:c>
      <x:c r="E46" s="41" t="str">
        <x:v>问题描述/附件</x:v>
      </x:c>
      <x:c r="F46" s="41" t="str">
        <x:v>文本/附件</x:v>
      </x:c>
      <x:c r="G46" s="41" t="str">
        <x:v>是</x:v>
      </x:c>
      <x:c r="H46" s="41" t="str">
        <x:v>原始需求</x:v>
      </x:c>
      <x:c r="I46" s="41" t="str">
        <x:v>原型/材料已定义</x:v>
      </x:c>
      <x:c r="J46" s="43" t="str">
        <x:v>待确认</x:v>
      </x:c>
      <x:c r="K46" s="43" t="str">
        <x:v>内容</x:v>
      </x:c>
      <x:c r="L46" s="43" t="str">
        <x:v>问题描述/附件</x:v>
      </x:c>
      <x:c r="M46" s="43" t="str">
        <x:v>文本/附件</x:v>
      </x:c>
      <x:c r="N46" s="43" t="str"/>
      <x:c r="O46" s="43" t="str"/>
      <x:c r="P46" s="41" t="str">
        <x:v>待确认</x:v>
      </x:c>
    </x:row>
    <x:row r="47" ht="40" customHeight="1">
      <x:c r="A47" s="41" t="str">
        <x:v>FM06-07</x:v>
      </x:c>
      <x:c r="B47" s="41" t="str">
        <x:v>CALL受理与工单管理</x:v>
      </x:c>
      <x:c r="C47" s="41" t="str">
        <x:v>CALL详情与操作</x:v>
      </x:c>
      <x:c r="D47" s="41" t="str">
        <x:v>记录</x:v>
      </x:c>
      <x:c r="E47" s="41" t="str">
        <x:v>处理时间线</x:v>
      </x:c>
      <x:c r="F47" s="41" t="str">
        <x:v>记录</x:v>
      </x:c>
      <x:c r="G47" s="41" t="str">
        <x:v>否</x:v>
      </x:c>
      <x:c r="H47" s="41" t="str">
        <x:v>时间、操作人、内容</x:v>
      </x:c>
      <x:c r="I47" s="41" t="str">
        <x:v>原型/材料已定义</x:v>
      </x:c>
      <x:c r="J47" s="43" t="str">
        <x:v>待确认</x:v>
      </x:c>
      <x:c r="K47" s="43" t="str">
        <x:v>记录</x:v>
      </x:c>
      <x:c r="L47" s="43" t="str">
        <x:v>处理时间线</x:v>
      </x:c>
      <x:c r="M47" s="43" t="str">
        <x:v>记录</x:v>
      </x:c>
      <x:c r="N47" s="43" t="str"/>
      <x:c r="O47" s="43" t="str"/>
      <x:c r="P47" s="41" t="str">
        <x:v>待确认</x:v>
      </x:c>
    </x:row>
    <x:row r="48" ht="40" customHeight="1">
      <x:c r="A48" s="41" t="str">
        <x:v>FM06-08</x:v>
      </x:c>
      <x:c r="B48" s="41" t="str">
        <x:v>CALL受理与工单管理</x:v>
      </x:c>
      <x:c r="C48" s="41" t="str">
        <x:v>CALL详情与操作</x:v>
      </x:c>
      <x:c r="D48" s="41" t="str">
        <x:v>记录</x:v>
      </x:c>
      <x:c r="E48" s="41" t="str">
        <x:v>催单记录</x:v>
      </x:c>
      <x:c r="F48" s="41" t="str">
        <x:v>记录</x:v>
      </x:c>
      <x:c r="G48" s="41" t="str">
        <x:v>否</x:v>
      </x:c>
      <x:c r="H48" s="41" t="str">
        <x:v>次数、时间、备注</x:v>
      </x:c>
      <x:c r="I48" s="41" t="str">
        <x:v>原型/材料已定义</x:v>
      </x:c>
      <x:c r="J48" s="43" t="str">
        <x:v>待确认</x:v>
      </x:c>
      <x:c r="K48" s="43" t="str">
        <x:v>记录</x:v>
      </x:c>
      <x:c r="L48" s="43" t="str">
        <x:v>催单记录</x:v>
      </x:c>
      <x:c r="M48" s="43" t="str">
        <x:v>记录</x:v>
      </x:c>
      <x:c r="N48" s="43" t="str"/>
      <x:c r="O48" s="43" t="str"/>
      <x:c r="P48" s="41" t="str">
        <x:v>待确认</x:v>
      </x:c>
    </x:row>
    <x:row r="49" ht="40" customHeight="1">
      <x:c r="A49" s="41" t="str">
        <x:v>FM06-09</x:v>
      </x:c>
      <x:c r="B49" s="41" t="str">
        <x:v>CALL受理与工单管理</x:v>
      </x:c>
      <x:c r="C49" s="41" t="str">
        <x:v>CALL详情与操作</x:v>
      </x:c>
      <x:c r="D49" s="41" t="str">
        <x:v>关闭</x:v>
      </x:c>
      <x:c r="E49" s="41" t="str">
        <x:v>完成/取消原因</x:v>
      </x:c>
      <x:c r="F49" s="41" t="str">
        <x:v>多行文本</x:v>
      </x:c>
      <x:c r="G49" s="41" t="str">
        <x:v>条件必填</x:v>
      </x:c>
      <x:c r="H49" s="41" t="str">
        <x:v>关闭类操作填写</x:v>
      </x:c>
      <x:c r="I49" s="41" t="str">
        <x:v>原型/材料已定义</x:v>
      </x:c>
      <x:c r="J49" s="43" t="str">
        <x:v>待确认</x:v>
      </x:c>
      <x:c r="K49" s="43" t="str">
        <x:v>关闭</x:v>
      </x:c>
      <x:c r="L49" s="43" t="str">
        <x:v>完成/取消原因</x:v>
      </x:c>
      <x:c r="M49" s="43" t="str">
        <x:v>多行文本</x:v>
      </x:c>
      <x:c r="N49" s="43" t="str"/>
      <x:c r="O49" s="43" t="str"/>
      <x:c r="P49" s="41" t="str">
        <x:v>待确认</x:v>
      </x:c>
    </x:row>
    <x:row r="50" ht="40" customHeight="1">
      <x:c r="A50" s="41" t="str">
        <x:v>FM07-01</x:v>
      </x:c>
      <x:c r="B50" s="41" t="str">
        <x:v>分派与调度</x:v>
      </x:c>
      <x:c r="C50" s="41" t="str">
        <x:v>分派中心/分派弹窗</x:v>
      </x:c>
      <x:c r="D50" s="41" t="str">
        <x:v>任务</x:v>
      </x:c>
      <x:c r="E50" s="41" t="str">
        <x:v>任务编号/CALL编号</x:v>
      </x:c>
      <x:c r="F50" s="41" t="str">
        <x:v>文本</x:v>
      </x:c>
      <x:c r="G50" s="41" t="str">
        <x:v>是</x:v>
      </x:c>
      <x:c r="H50" s="41" t="str">
        <x:v>两个编号独立</x:v>
      </x:c>
      <x:c r="I50" s="41" t="str">
        <x:v>原型/材料已定义</x:v>
      </x:c>
      <x:c r="J50" s="43" t="str">
        <x:v>待确认</x:v>
      </x:c>
      <x:c r="K50" s="43" t="str">
        <x:v>任务</x:v>
      </x:c>
      <x:c r="L50" s="43" t="str">
        <x:v>任务编号/CALL编号</x:v>
      </x:c>
      <x:c r="M50" s="43" t="str">
        <x:v>文本</x:v>
      </x:c>
      <x:c r="N50" s="43" t="str"/>
      <x:c r="O50" s="43" t="str"/>
      <x:c r="P50" s="41" t="str">
        <x:v>待确认</x:v>
      </x:c>
    </x:row>
    <x:row r="51" ht="40" customHeight="1">
      <x:c r="A51" s="41" t="str">
        <x:v>FM07-02</x:v>
      </x:c>
      <x:c r="B51" s="41" t="str">
        <x:v>分派与调度</x:v>
      </x:c>
      <x:c r="C51" s="41" t="str">
        <x:v>分派中心/分派弹窗</x:v>
      </x:c>
      <x:c r="D51" s="41" t="str">
        <x:v>任务</x:v>
      </x:c>
      <x:c r="E51" s="41" t="str">
        <x:v>客户/区域/类型/描述</x:v>
      </x:c>
      <x:c r="F51" s="41" t="str">
        <x:v>文本</x:v>
      </x:c>
      <x:c r="G51" s="41" t="str">
        <x:v>是</x:v>
      </x:c>
      <x:c r="H51" s="41" t="str">
        <x:v>分派依据</x:v>
      </x:c>
      <x:c r="I51" s="41" t="str">
        <x:v>原型/材料已定义</x:v>
      </x:c>
      <x:c r="J51" s="43" t="str">
        <x:v>待确认</x:v>
      </x:c>
      <x:c r="K51" s="43" t="str">
        <x:v>任务</x:v>
      </x:c>
      <x:c r="L51" s="43" t="str">
        <x:v>客户/区域/类型/描述</x:v>
      </x:c>
      <x:c r="M51" s="43" t="str">
        <x:v>文本</x:v>
      </x:c>
      <x:c r="N51" s="43" t="str"/>
      <x:c r="O51" s="43" t="str"/>
      <x:c r="P51" s="41" t="str">
        <x:v>待确认</x:v>
      </x:c>
    </x:row>
    <x:row r="52" ht="40" customHeight="1">
      <x:c r="A52" s="41" t="str">
        <x:v>FM07-03</x:v>
      </x:c>
      <x:c r="B52" s="41" t="str">
        <x:v>分派与调度</x:v>
      </x:c>
      <x:c r="C52" s="41" t="str">
        <x:v>分派中心/分派弹窗</x:v>
      </x:c>
      <x:c r="D52" s="41" t="str">
        <x:v>候选</x:v>
      </x:c>
      <x:c r="E52" s="41" t="str">
        <x:v>师傅姓名</x:v>
      </x:c>
      <x:c r="F52" s="41" t="str">
        <x:v>人员</x:v>
      </x:c>
      <x:c r="G52" s="41" t="str">
        <x:v>是</x:v>
      </x:c>
      <x:c r="H52" s="41" t="str">
        <x:v>启用且可接单</x:v>
      </x:c>
      <x:c r="I52" s="41" t="str">
        <x:v>原型/材料已定义</x:v>
      </x:c>
      <x:c r="J52" s="43" t="str">
        <x:v>待确认</x:v>
      </x:c>
      <x:c r="K52" s="43" t="str">
        <x:v>候选</x:v>
      </x:c>
      <x:c r="L52" s="43" t="str">
        <x:v>师傅姓名</x:v>
      </x:c>
      <x:c r="M52" s="43" t="str">
        <x:v>人员</x:v>
      </x:c>
      <x:c r="N52" s="43" t="str"/>
      <x:c r="O52" s="43" t="str"/>
      <x:c r="P52" s="41" t="str">
        <x:v>待确认</x:v>
      </x:c>
    </x:row>
    <x:row r="53" ht="40" customHeight="1">
      <x:c r="A53" s="41" t="str">
        <x:v>FM07-04</x:v>
      </x:c>
      <x:c r="B53" s="41" t="str">
        <x:v>分派与调度</x:v>
      </x:c>
      <x:c r="C53" s="41" t="str">
        <x:v>分派中心/分派弹窗</x:v>
      </x:c>
      <x:c r="D53" s="41" t="str">
        <x:v>候选</x:v>
      </x:c>
      <x:c r="E53" s="41" t="str">
        <x:v>区域/技能</x:v>
      </x:c>
      <x:c r="F53" s="41" t="str">
        <x:v>字典</x:v>
      </x:c>
      <x:c r="G53" s="41" t="str">
        <x:v>是</x:v>
      </x:c>
      <x:c r="H53" s="41" t="str">
        <x:v>技能仅人工筛选</x:v>
      </x:c>
      <x:c r="I53" s="41" t="str">
        <x:v>原型/材料已定义</x:v>
      </x:c>
      <x:c r="J53" s="43" t="str">
        <x:v>待确认</x:v>
      </x:c>
      <x:c r="K53" s="43" t="str">
        <x:v>候选</x:v>
      </x:c>
      <x:c r="L53" s="43" t="str">
        <x:v>区域/技能</x:v>
      </x:c>
      <x:c r="M53" s="43" t="str">
        <x:v>字典</x:v>
      </x:c>
      <x:c r="N53" s="43" t="str"/>
      <x:c r="O53" s="43" t="str"/>
      <x:c r="P53" s="41" t="str">
        <x:v>待确认</x:v>
      </x:c>
    </x:row>
    <x:row r="54" ht="40" customHeight="1">
      <x:c r="A54" s="41" t="str">
        <x:v>FM07-05</x:v>
      </x:c>
      <x:c r="B54" s="41" t="str">
        <x:v>分派与调度</x:v>
      </x:c>
      <x:c r="C54" s="41" t="str">
        <x:v>分派中心/分派弹窗</x:v>
      </x:c>
      <x:c r="D54" s="41" t="str">
        <x:v>候选</x:v>
      </x:c>
      <x:c r="E54" s="41" t="str">
        <x:v>今日负载</x:v>
      </x:c>
      <x:c r="F54" s="41" t="str">
        <x:v>数字</x:v>
      </x:c>
      <x:c r="G54" s="41" t="str">
        <x:v>是</x:v>
      </x:c>
      <x:c r="H54" s="41" t="str">
        <x:v>待确认/待处理/处理中数量</x:v>
      </x:c>
      <x:c r="I54" s="41" t="str">
        <x:v>原型/材料已定义</x:v>
      </x:c>
      <x:c r="J54" s="43" t="str">
        <x:v>待确认</x:v>
      </x:c>
      <x:c r="K54" s="43" t="str">
        <x:v>候选</x:v>
      </x:c>
      <x:c r="L54" s="43" t="str">
        <x:v>今日负载</x:v>
      </x:c>
      <x:c r="M54" s="43" t="str">
        <x:v>数字</x:v>
      </x:c>
      <x:c r="N54" s="43" t="str"/>
      <x:c r="O54" s="43" t="str"/>
      <x:c r="P54" s="41" t="str">
        <x:v>待确认</x:v>
      </x:c>
    </x:row>
    <x:row r="55" ht="40" customHeight="1">
      <x:c r="A55" s="41" t="str">
        <x:v>FM07-06</x:v>
      </x:c>
      <x:c r="B55" s="41" t="str">
        <x:v>分派与调度</x:v>
      </x:c>
      <x:c r="C55" s="41" t="str">
        <x:v>分派中心/分派弹窗</x:v>
      </x:c>
      <x:c r="D55" s="41" t="str">
        <x:v>候选</x:v>
      </x:c>
      <x:c r="E55" s="41" t="str">
        <x:v>工作状态</x:v>
      </x:c>
      <x:c r="F55" s="41" t="str">
        <x:v>枚举</x:v>
      </x:c>
      <x:c r="G55" s="41" t="str">
        <x:v>是</x:v>
      </x:c>
      <x:c r="H55" s="41" t="str">
        <x:v>可接单/忙碌/请假</x:v>
      </x:c>
      <x:c r="I55" s="41" t="str">
        <x:v>原型/材料已定义</x:v>
      </x:c>
      <x:c r="J55" s="43" t="str">
        <x:v>待确认</x:v>
      </x:c>
      <x:c r="K55" s="43" t="str">
        <x:v>候选</x:v>
      </x:c>
      <x:c r="L55" s="43" t="str">
        <x:v>工作状态</x:v>
      </x:c>
      <x:c r="M55" s="43" t="str">
        <x:v>枚举</x:v>
      </x:c>
      <x:c r="N55" s="43" t="str"/>
      <x:c r="O55" s="43" t="str"/>
      <x:c r="P55" s="41" t="str">
        <x:v>待确认</x:v>
      </x:c>
    </x:row>
    <x:row r="56" ht="40" customHeight="1">
      <x:c r="A56" s="41" t="str">
        <x:v>FM07-07</x:v>
      </x:c>
      <x:c r="B56" s="41" t="str">
        <x:v>分派与调度</x:v>
      </x:c>
      <x:c r="C56" s="41" t="str">
        <x:v>分派中心/分派弹窗</x:v>
      </x:c>
      <x:c r="D56" s="41" t="str">
        <x:v>分派</x:v>
      </x:c>
      <x:c r="E56" s="41" t="str">
        <x:v>选择师傅</x:v>
      </x:c>
      <x:c r="F56" s="41" t="str">
        <x:v>关联选择</x:v>
      </x:c>
      <x:c r="G56" s="41" t="str">
        <x:v>是</x:v>
      </x:c>
      <x:c r="H56" s="41" t="str">
        <x:v>确认分派对象</x:v>
      </x:c>
      <x:c r="I56" s="41" t="str">
        <x:v>原型/材料已定义</x:v>
      </x:c>
      <x:c r="J56" s="43" t="str">
        <x:v>待确认</x:v>
      </x:c>
      <x:c r="K56" s="43" t="str">
        <x:v>分派</x:v>
      </x:c>
      <x:c r="L56" s="43" t="str">
        <x:v>选择师傅</x:v>
      </x:c>
      <x:c r="M56" s="43" t="str">
        <x:v>关联选择</x:v>
      </x:c>
      <x:c r="N56" s="43" t="str"/>
      <x:c r="O56" s="43" t="str"/>
      <x:c r="P56" s="41" t="str">
        <x:v>待确认</x:v>
      </x:c>
    </x:row>
    <x:row r="57" ht="40" customHeight="1">
      <x:c r="A57" s="41" t="str">
        <x:v>FM07-08</x:v>
      </x:c>
      <x:c r="B57" s="41" t="str">
        <x:v>分派与调度</x:v>
      </x:c>
      <x:c r="C57" s="41" t="str">
        <x:v>分派中心/分派弹窗</x:v>
      </x:c>
      <x:c r="D57" s="41" t="str">
        <x:v>分派</x:v>
      </x:c>
      <x:c r="E57" s="41" t="str">
        <x:v>单据类型</x:v>
      </x:c>
      <x:c r="F57" s="41" t="str">
        <x:v>计算</x:v>
      </x:c>
      <x:c r="G57" s="41" t="str">
        <x:v>是</x:v>
      </x:c>
      <x:c r="H57" s="41" t="str">
        <x:v>系统判定SR或完工单</x:v>
      </x:c>
      <x:c r="I57" s="41" t="str">
        <x:v>原型/材料已定义</x:v>
      </x:c>
      <x:c r="J57" s="43" t="str">
        <x:v>待确认</x:v>
      </x:c>
      <x:c r="K57" s="43" t="str">
        <x:v>分派</x:v>
      </x:c>
      <x:c r="L57" s="43" t="str">
        <x:v>单据类型</x:v>
      </x:c>
      <x:c r="M57" s="43" t="str">
        <x:v>计算</x:v>
      </x:c>
      <x:c r="N57" s="43" t="str"/>
      <x:c r="O57" s="43" t="str"/>
      <x:c r="P57" s="41" t="str">
        <x:v>待确认</x:v>
      </x:c>
    </x:row>
    <x:row r="58" ht="40" customHeight="1">
      <x:c r="A58" s="41" t="str">
        <x:v>FM07-09</x:v>
      </x:c>
      <x:c r="B58" s="41" t="str">
        <x:v>分派与调度</x:v>
      </x:c>
      <x:c r="C58" s="41" t="str">
        <x:v>分派中心/分派弹窗</x:v>
      </x:c>
      <x:c r="D58" s="41" t="str">
        <x:v>分派</x:v>
      </x:c>
      <x:c r="E58" s="41" t="str">
        <x:v>派工备注</x:v>
      </x:c>
      <x:c r="F58" s="41" t="str">
        <x:v>多行文本</x:v>
      </x:c>
      <x:c r="G58" s="41" t="str">
        <x:v>否</x:v>
      </x:c>
      <x:c r="H58" s="41" t="str">
        <x:v>现场说明</x:v>
      </x:c>
      <x:c r="I58" s="41" t="str">
        <x:v>原型/材料已定义</x:v>
      </x:c>
      <x:c r="J58" s="43" t="str">
        <x:v>待确认</x:v>
      </x:c>
      <x:c r="K58" s="43" t="str">
        <x:v>分派</x:v>
      </x:c>
      <x:c r="L58" s="43" t="str">
        <x:v>派工备注</x:v>
      </x:c>
      <x:c r="M58" s="43" t="str">
        <x:v>多行文本</x:v>
      </x:c>
      <x:c r="N58" s="43" t="str"/>
      <x:c r="O58" s="43" t="str"/>
      <x:c r="P58" s="41" t="str">
        <x:v>待确认</x:v>
      </x:c>
    </x:row>
    <x:row r="59" ht="40" customHeight="1">
      <x:c r="A59" s="41" t="str">
        <x:v>FM07-10</x:v>
      </x:c>
      <x:c r="B59" s="41" t="str">
        <x:v>分派与调度</x:v>
      </x:c>
      <x:c r="C59" s="41" t="str">
        <x:v>分派中心/分派弹窗</x:v>
      </x:c>
      <x:c r="D59" s="41" t="str">
        <x:v>记录</x:v>
      </x:c>
      <x:c r="E59" s="41" t="str">
        <x:v>分派历史</x:v>
      </x:c>
      <x:c r="F59" s="41" t="str">
        <x:v>记录</x:v>
      </x:c>
      <x:c r="G59" s="41" t="str">
        <x:v>否</x:v>
      </x:c>
      <x:c r="H59" s="41" t="str">
        <x:v>首次分派/改派日志</x:v>
      </x:c>
      <x:c r="I59" s="41" t="str">
        <x:v>原型/材料已定义</x:v>
      </x:c>
      <x:c r="J59" s="43" t="str">
        <x:v>待确认</x:v>
      </x:c>
      <x:c r="K59" s="43" t="str">
        <x:v>记录</x:v>
      </x:c>
      <x:c r="L59" s="43" t="str">
        <x:v>分派历史</x:v>
      </x:c>
      <x:c r="M59" s="43" t="str">
        <x:v>记录</x:v>
      </x:c>
      <x:c r="N59" s="43" t="str"/>
      <x:c r="O59" s="43" t="str"/>
      <x:c r="P59" s="41" t="str">
        <x:v>待确认</x:v>
      </x:c>
    </x:row>
    <x:row r="60" ht="40" customHeight="1">
      <x:c r="A60" s="41" t="str">
        <x:v>FM08-01</x:v>
      </x:c>
      <x:c r="B60" s="41" t="str">
        <x:v>分派与调度</x:v>
      </x:c>
      <x:c r="C60" s="41" t="str">
        <x:v>分派申请审批</x:v>
      </x:c>
      <x:c r="D60" s="41" t="str">
        <x:v>申请</x:v>
      </x:c>
      <x:c r="E60" s="41" t="str">
        <x:v>任务编号</x:v>
      </x:c>
      <x:c r="F60" s="41" t="str">
        <x:v>文本</x:v>
      </x:c>
      <x:c r="G60" s="41" t="str">
        <x:v>是</x:v>
      </x:c>
      <x:c r="H60" s="41" t="str">
        <x:v>关联任务</x:v>
      </x:c>
      <x:c r="I60" s="41" t="str">
        <x:v>原型/材料已定义</x:v>
      </x:c>
      <x:c r="J60" s="43" t="str">
        <x:v>待确认</x:v>
      </x:c>
      <x:c r="K60" s="43" t="str">
        <x:v>申请</x:v>
      </x:c>
      <x:c r="L60" s="43" t="str">
        <x:v>任务编号</x:v>
      </x:c>
      <x:c r="M60" s="43" t="str">
        <x:v>文本</x:v>
      </x:c>
      <x:c r="N60" s="43" t="str"/>
      <x:c r="O60" s="43" t="str"/>
      <x:c r="P60" s="41" t="str">
        <x:v>待确认</x:v>
      </x:c>
    </x:row>
    <x:row r="61" ht="40" customHeight="1">
      <x:c r="A61" s="41" t="str">
        <x:v>FM08-02</x:v>
      </x:c>
      <x:c r="B61" s="41" t="str">
        <x:v>分派与调度</x:v>
      </x:c>
      <x:c r="C61" s="41" t="str">
        <x:v>分派申请审批</x:v>
      </x:c>
      <x:c r="D61" s="41" t="str">
        <x:v>申请</x:v>
      </x:c>
      <x:c r="E61" s="41" t="str">
        <x:v>申请师傅</x:v>
      </x:c>
      <x:c r="F61" s="41" t="str">
        <x:v>人员</x:v>
      </x:c>
      <x:c r="G61" s="41" t="str">
        <x:v>是</x:v>
      </x:c>
      <x:c r="H61" s="41" t="str">
        <x:v>申请人</x:v>
      </x:c>
      <x:c r="I61" s="41" t="str">
        <x:v>原型/材料已定义</x:v>
      </x:c>
      <x:c r="J61" s="43" t="str">
        <x:v>待确认</x:v>
      </x:c>
      <x:c r="K61" s="43" t="str">
        <x:v>申请</x:v>
      </x:c>
      <x:c r="L61" s="43" t="str">
        <x:v>申请师傅</x:v>
      </x:c>
      <x:c r="M61" s="43" t="str">
        <x:v>人员</x:v>
      </x:c>
      <x:c r="N61" s="43" t="str"/>
      <x:c r="O61" s="43" t="str"/>
      <x:c r="P61" s="41" t="str">
        <x:v>待确认</x:v>
      </x:c>
    </x:row>
    <x:row r="62" ht="40" customHeight="1">
      <x:c r="A62" s="41" t="str">
        <x:v>FM08-03</x:v>
      </x:c>
      <x:c r="B62" s="41" t="str">
        <x:v>分派与调度</x:v>
      </x:c>
      <x:c r="C62" s="41" t="str">
        <x:v>分派申请审批</x:v>
      </x:c>
      <x:c r="D62" s="41" t="str">
        <x:v>申请</x:v>
      </x:c>
      <x:c r="E62" s="41" t="str">
        <x:v>申请时间</x:v>
      </x:c>
      <x:c r="F62" s="41" t="str">
        <x:v>日期时间</x:v>
      </x:c>
      <x:c r="G62" s="41" t="str">
        <x:v>是</x:v>
      </x:c>
      <x:c r="H62" s="41" t="str">
        <x:v>系统记录</x:v>
      </x:c>
      <x:c r="I62" s="41" t="str">
        <x:v>原型/材料已定义</x:v>
      </x:c>
      <x:c r="J62" s="43" t="str">
        <x:v>待确认</x:v>
      </x:c>
      <x:c r="K62" s="43" t="str">
        <x:v>申请</x:v>
      </x:c>
      <x:c r="L62" s="43" t="str">
        <x:v>申请时间</x:v>
      </x:c>
      <x:c r="M62" s="43" t="str">
        <x:v>日期时间</x:v>
      </x:c>
      <x:c r="N62" s="43" t="str"/>
      <x:c r="O62" s="43" t="str"/>
      <x:c r="P62" s="41" t="str">
        <x:v>待确认</x:v>
      </x:c>
    </x:row>
    <x:row r="63" ht="40" customHeight="1">
      <x:c r="A63" s="41" t="str">
        <x:v>FM08-04</x:v>
      </x:c>
      <x:c r="B63" s="41" t="str">
        <x:v>分派与调度</x:v>
      </x:c>
      <x:c r="C63" s="41" t="str">
        <x:v>分派申请审批</x:v>
      </x:c>
      <x:c r="D63" s="41" t="str">
        <x:v>审批</x:v>
      </x:c>
      <x:c r="E63" s="41" t="str">
        <x:v>审批结果</x:v>
      </x:c>
      <x:c r="F63" s="41" t="str">
        <x:v>枚举</x:v>
      </x:c>
      <x:c r="G63" s="41" t="str">
        <x:v>是</x:v>
      </x:c>
      <x:c r="H63" s="41" t="str">
        <x:v>通过/不通过</x:v>
      </x:c>
      <x:c r="I63" s="41" t="str">
        <x:v>原型/材料已定义</x:v>
      </x:c>
      <x:c r="J63" s="43" t="str">
        <x:v>待确认</x:v>
      </x:c>
      <x:c r="K63" s="43" t="str">
        <x:v>审批</x:v>
      </x:c>
      <x:c r="L63" s="43" t="str">
        <x:v>审批结果</x:v>
      </x:c>
      <x:c r="M63" s="43" t="str">
        <x:v>枚举</x:v>
      </x:c>
      <x:c r="N63" s="43" t="str"/>
      <x:c r="O63" s="43" t="str"/>
      <x:c r="P63" s="41" t="str">
        <x:v>待确认</x:v>
      </x:c>
    </x:row>
    <x:row r="64" ht="40" customHeight="1">
      <x:c r="A64" s="41" t="str">
        <x:v>FM08-05</x:v>
      </x:c>
      <x:c r="B64" s="41" t="str">
        <x:v>分派与调度</x:v>
      </x:c>
      <x:c r="C64" s="41" t="str">
        <x:v>分派申请审批</x:v>
      </x:c>
      <x:c r="D64" s="41" t="str">
        <x:v>审批</x:v>
      </x:c>
      <x:c r="E64" s="41" t="str">
        <x:v>审批意见</x:v>
      </x:c>
      <x:c r="F64" s="41" t="str">
        <x:v>多行文本</x:v>
      </x:c>
      <x:c r="G64" s="41" t="str">
        <x:v>条件必填</x:v>
      </x:c>
      <x:c r="H64" s="41" t="str">
        <x:v>不通过说明原因</x:v>
      </x:c>
      <x:c r="I64" s="41" t="str">
        <x:v>原型/材料已定义</x:v>
      </x:c>
      <x:c r="J64" s="43" t="str">
        <x:v>待确认</x:v>
      </x:c>
      <x:c r="K64" s="43" t="str">
        <x:v>审批</x:v>
      </x:c>
      <x:c r="L64" s="43" t="str">
        <x:v>审批意见</x:v>
      </x:c>
      <x:c r="M64" s="43" t="str">
        <x:v>多行文本</x:v>
      </x:c>
      <x:c r="N64" s="43" t="str"/>
      <x:c r="O64" s="43" t="str"/>
      <x:c r="P64" s="41" t="str">
        <x:v>待确认</x:v>
      </x:c>
    </x:row>
    <x:row r="65" ht="40" customHeight="1">
      <x:c r="A65" s="41" t="str">
        <x:v>FM09-01</x:v>
      </x:c>
      <x:c r="B65" s="41" t="str">
        <x:v>移动端现场执行</x:v>
      </x:c>
      <x:c r="C65" s="41" t="str">
        <x:v>师傅首页/CALL列表/详情</x:v>
      </x:c>
      <x:c r="D65" s="41" t="str">
        <x:v>列表</x:v>
      </x:c>
      <x:c r="E65" s="41" t="str">
        <x:v>CALL编号/状态</x:v>
      </x:c>
      <x:c r="F65" s="41" t="str">
        <x:v>文本/状态</x:v>
      </x:c>
      <x:c r="G65" s="41" t="str">
        <x:v>是</x:v>
      </x:c>
      <x:c r="H65" s="41" t="str">
        <x:v>本人授权任务</x:v>
      </x:c>
      <x:c r="I65" s="41" t="str">
        <x:v>原型/材料已定义</x:v>
      </x:c>
      <x:c r="J65" s="43" t="str">
        <x:v>待确认</x:v>
      </x:c>
      <x:c r="K65" s="43" t="str">
        <x:v>列表</x:v>
      </x:c>
      <x:c r="L65" s="43" t="str">
        <x:v>CALL编号/状态</x:v>
      </x:c>
      <x:c r="M65" s="43" t="str">
        <x:v>文本/状态</x:v>
      </x:c>
      <x:c r="N65" s="43" t="str"/>
      <x:c r="O65" s="43" t="str"/>
      <x:c r="P65" s="41" t="str">
        <x:v>待确认</x:v>
      </x:c>
    </x:row>
    <x:row r="66" ht="40" customHeight="1">
      <x:c r="A66" s="41" t="str">
        <x:v>FM09-02</x:v>
      </x:c>
      <x:c r="B66" s="41" t="str">
        <x:v>移动端现场执行</x:v>
      </x:c>
      <x:c r="C66" s="41" t="str">
        <x:v>师傅首页/CALL列表/详情</x:v>
      </x:c>
      <x:c r="D66" s="41" t="str">
        <x:v>列表</x:v>
      </x:c>
      <x:c r="E66" s="41" t="str">
        <x:v>客户/区域/地址</x:v>
      </x:c>
      <x:c r="F66" s="41" t="str">
        <x:v>文本</x:v>
      </x:c>
      <x:c r="G66" s="41" t="str">
        <x:v>是</x:v>
      </x:c>
      <x:c r="H66" s="41" t="str">
        <x:v>现场信息</x:v>
      </x:c>
      <x:c r="I66" s="41" t="str">
        <x:v>原型/材料已定义</x:v>
      </x:c>
      <x:c r="J66" s="43" t="str">
        <x:v>待确认</x:v>
      </x:c>
      <x:c r="K66" s="43" t="str">
        <x:v>列表</x:v>
      </x:c>
      <x:c r="L66" s="43" t="str">
        <x:v>客户/区域/地址</x:v>
      </x:c>
      <x:c r="M66" s="43" t="str">
        <x:v>文本</x:v>
      </x:c>
      <x:c r="N66" s="43" t="str"/>
      <x:c r="O66" s="43" t="str"/>
      <x:c r="P66" s="41" t="str">
        <x:v>待确认</x:v>
      </x:c>
    </x:row>
    <x:row r="67" ht="40" customHeight="1">
      <x:c r="A67" s="41" t="str">
        <x:v>FM09-03</x:v>
      </x:c>
      <x:c r="B67" s="41" t="str">
        <x:v>移动端现场执行</x:v>
      </x:c>
      <x:c r="C67" s="41" t="str">
        <x:v>师傅首页/CALL列表/详情</x:v>
      </x:c>
      <x:c r="D67" s="41" t="str">
        <x:v>列表</x:v>
      </x:c>
      <x:c r="E67" s="41" t="str">
        <x:v>类型/优先级</x:v>
      </x:c>
      <x:c r="F67" s="41" t="str">
        <x:v>枚举</x:v>
      </x:c>
      <x:c r="G67" s="41" t="str">
        <x:v>是</x:v>
      </x:c>
      <x:c r="H67" s="41" t="str">
        <x:v>用于排序</x:v>
      </x:c>
      <x:c r="I67" s="41" t="str">
        <x:v>原型/材料已定义</x:v>
      </x:c>
      <x:c r="J67" s="43" t="str">
        <x:v>待确认</x:v>
      </x:c>
      <x:c r="K67" s="43" t="str">
        <x:v>列表</x:v>
      </x:c>
      <x:c r="L67" s="43" t="str">
        <x:v>类型/优先级</x:v>
      </x:c>
      <x:c r="M67" s="43" t="str">
        <x:v>枚举</x:v>
      </x:c>
      <x:c r="N67" s="43" t="str"/>
      <x:c r="O67" s="43" t="str"/>
      <x:c r="P67" s="41" t="str">
        <x:v>待确认</x:v>
      </x:c>
    </x:row>
    <x:row r="68" ht="40" customHeight="1">
      <x:c r="A68" s="41" t="str">
        <x:v>FM09-04</x:v>
      </x:c>
      <x:c r="B68" s="41" t="str">
        <x:v>移动端现场执行</x:v>
      </x:c>
      <x:c r="C68" s="41" t="str">
        <x:v>师傅首页/CALL列表/详情</x:v>
      </x:c>
      <x:c r="D68" s="41" t="str">
        <x:v>详情</x:v>
      </x:c>
      <x:c r="E68" s="41" t="str">
        <x:v>问题描述/附件</x:v>
      </x:c>
      <x:c r="F68" s="41" t="str">
        <x:v>文本/附件</x:v>
      </x:c>
      <x:c r="G68" s="41" t="str">
        <x:v>是</x:v>
      </x:c>
      <x:c r="H68" s="41" t="str">
        <x:v>服务内容</x:v>
      </x:c>
      <x:c r="I68" s="41" t="str">
        <x:v>原型/材料已定义</x:v>
      </x:c>
      <x:c r="J68" s="43" t="str">
        <x:v>待确认</x:v>
      </x:c>
      <x:c r="K68" s="43" t="str">
        <x:v>详情</x:v>
      </x:c>
      <x:c r="L68" s="43" t="str">
        <x:v>问题描述/附件</x:v>
      </x:c>
      <x:c r="M68" s="43" t="str">
        <x:v>文本/附件</x:v>
      </x:c>
      <x:c r="N68" s="43" t="str"/>
      <x:c r="O68" s="43" t="str"/>
      <x:c r="P68" s="41" t="str">
        <x:v>待确认</x:v>
      </x:c>
    </x:row>
    <x:row r="69" ht="40" customHeight="1">
      <x:c r="A69" s="41" t="str">
        <x:v>FM09-05</x:v>
      </x:c>
      <x:c r="B69" s="41" t="str">
        <x:v>移动端现场执行</x:v>
      </x:c>
      <x:c r="C69" s="41" t="str">
        <x:v>师傅首页/CALL列表/详情</x:v>
      </x:c>
      <x:c r="D69" s="41" t="str">
        <x:v>操作</x:v>
      </x:c>
      <x:c r="E69" s="41" t="str">
        <x:v>接单/拒单</x:v>
      </x:c>
      <x:c r="F69" s="41" t="str">
        <x:v>操作</x:v>
      </x:c>
      <x:c r="G69" s="41" t="str">
        <x:v>条件</x:v>
      </x:c>
      <x:c r="H69" s="41" t="str">
        <x:v>拒单需填写原因</x:v>
      </x:c>
      <x:c r="I69" s="41" t="str">
        <x:v>原型/材料已定义</x:v>
      </x:c>
      <x:c r="J69" s="43" t="str">
        <x:v>待确认</x:v>
      </x:c>
      <x:c r="K69" s="43" t="str">
        <x:v>操作</x:v>
      </x:c>
      <x:c r="L69" s="43" t="str">
        <x:v>接单/拒单</x:v>
      </x:c>
      <x:c r="M69" s="43" t="str">
        <x:v>操作</x:v>
      </x:c>
      <x:c r="N69" s="43" t="str"/>
      <x:c r="O69" s="43" t="str"/>
      <x:c r="P69" s="41" t="str">
        <x:v>待确认</x:v>
      </x:c>
    </x:row>
    <x:row r="70" ht="40" customHeight="1">
      <x:c r="A70" s="41" t="str">
        <x:v>FM09-06</x:v>
      </x:c>
      <x:c r="B70" s="41" t="str">
        <x:v>移动端现场执行</x:v>
      </x:c>
      <x:c r="C70" s="41" t="str">
        <x:v>师傅首页/CALL列表/详情</x:v>
      </x:c>
      <x:c r="D70" s="41" t="str">
        <x:v>操作</x:v>
      </x:c>
      <x:c r="E70" s="41" t="str">
        <x:v>预计到场/开始时间</x:v>
      </x:c>
      <x:c r="F70" s="41" t="str">
        <x:v>日期时间</x:v>
      </x:c>
      <x:c r="G70" s="41" t="str">
        <x:v>条件</x:v>
      </x:c>
      <x:c r="H70" s="41" t="str">
        <x:v>关键节点记录</x:v>
      </x:c>
      <x:c r="I70" s="41" t="str">
        <x:v>原型/材料已定义</x:v>
      </x:c>
      <x:c r="J70" s="43" t="str">
        <x:v>待确认</x:v>
      </x:c>
      <x:c r="K70" s="43" t="str">
        <x:v>操作</x:v>
      </x:c>
      <x:c r="L70" s="43" t="str">
        <x:v>预计到场/开始时间</x:v>
      </x:c>
      <x:c r="M70" s="43" t="str">
        <x:v>日期时间</x:v>
      </x:c>
      <x:c r="N70" s="43" t="str"/>
      <x:c r="O70" s="43" t="str"/>
      <x:c r="P70" s="41" t="str">
        <x:v>待确认</x:v>
      </x:c>
    </x:row>
    <x:row r="71" ht="40" customHeight="1">
      <x:c r="A71" s="41" t="str">
        <x:v>FM10-01</x:v>
      </x:c>
      <x:c r="B71" s="41" t="str">
        <x:v>移动端现场执行</x:v>
      </x:c>
      <x:c r="C71" s="41" t="str">
        <x:v>现场处理/服务报告</x:v>
      </x:c>
      <x:c r="D71" s="41" t="str">
        <x:v>签到</x:v>
      </x:c>
      <x:c r="E71" s="41" t="str">
        <x:v>到场时间</x:v>
      </x:c>
      <x:c r="F71" s="41" t="str">
        <x:v>日期时间</x:v>
      </x:c>
      <x:c r="G71" s="41" t="str">
        <x:v>是</x:v>
      </x:c>
      <x:c r="H71" s="41" t="str">
        <x:v>打卡时自动记录</x:v>
      </x:c>
      <x:c r="I71" s="41" t="str">
        <x:v>原型/材料已定义</x:v>
      </x:c>
      <x:c r="J71" s="43" t="str">
        <x:v>待确认</x:v>
      </x:c>
      <x:c r="K71" s="43" t="str">
        <x:v>签到</x:v>
      </x:c>
      <x:c r="L71" s="43" t="str">
        <x:v>到场时间</x:v>
      </x:c>
      <x:c r="M71" s="43" t="str">
        <x:v>日期时间</x:v>
      </x:c>
      <x:c r="N71" s="43" t="str"/>
      <x:c r="O71" s="43" t="str"/>
      <x:c r="P71" s="41" t="str">
        <x:v>待确认</x:v>
      </x:c>
    </x:row>
    <x:row r="72" ht="40" customHeight="1">
      <x:c r="A72" s="41" t="str">
        <x:v>FM10-02</x:v>
      </x:c>
      <x:c r="B72" s="41" t="str">
        <x:v>移动端现场执行</x:v>
      </x:c>
      <x:c r="C72" s="41" t="str">
        <x:v>现场处理/服务报告</x:v>
      </x:c>
      <x:c r="D72" s="41" t="str">
        <x:v>签到</x:v>
      </x:c>
      <x:c r="E72" s="41" t="str">
        <x:v>位置说明</x:v>
      </x:c>
      <x:c r="F72" s="41" t="str">
        <x:v>文本</x:v>
      </x:c>
      <x:c r="G72" s="41" t="str">
        <x:v>否</x:v>
      </x:c>
      <x:c r="H72" s="41" t="str">
        <x:v>真实定位需POC</x:v>
      </x:c>
      <x:c r="I72" s="41" t="str">
        <x:v>原型/材料已定义</x:v>
      </x:c>
      <x:c r="J72" s="43" t="str">
        <x:v>待确认</x:v>
      </x:c>
      <x:c r="K72" s="43" t="str">
        <x:v>签到</x:v>
      </x:c>
      <x:c r="L72" s="43" t="str">
        <x:v>位置说明</x:v>
      </x:c>
      <x:c r="M72" s="43" t="str">
        <x:v>文本</x:v>
      </x:c>
      <x:c r="N72" s="43" t="str"/>
      <x:c r="O72" s="43" t="str"/>
      <x:c r="P72" s="41" t="str">
        <x:v>待确认</x:v>
      </x:c>
    </x:row>
    <x:row r="73" ht="40" customHeight="1">
      <x:c r="A73" s="41" t="str">
        <x:v>FM10-03</x:v>
      </x:c>
      <x:c r="B73" s="41" t="str">
        <x:v>移动端现场执行</x:v>
      </x:c>
      <x:c r="C73" s="41" t="str">
        <x:v>现场处理/服务报告</x:v>
      </x:c>
      <x:c r="D73" s="41" t="str">
        <x:v>报告</x:v>
      </x:c>
      <x:c r="E73" s="41" t="str">
        <x:v>SR编号</x:v>
      </x:c>
      <x:c r="F73" s="41" t="str">
        <x:v>文本</x:v>
      </x:c>
      <x:c r="G73" s="41" t="str">
        <x:v>条件</x:v>
      </x:c>
      <x:c r="H73" s="41" t="str">
        <x:v>服务报告编号规则</x:v>
      </x:c>
      <x:c r="I73" s="41" t="str">
        <x:v>原型/材料已定义</x:v>
      </x:c>
      <x:c r="J73" s="43" t="str">
        <x:v>待确认</x:v>
      </x:c>
      <x:c r="K73" s="43" t="str">
        <x:v>报告</x:v>
      </x:c>
      <x:c r="L73" s="43" t="str">
        <x:v>SR编号</x:v>
      </x:c>
      <x:c r="M73" s="43" t="str">
        <x:v>文本</x:v>
      </x:c>
      <x:c r="N73" s="43" t="str"/>
      <x:c r="O73" s="43" t="str"/>
      <x:c r="P73" s="41" t="str">
        <x:v>待确认</x:v>
      </x:c>
    </x:row>
    <x:row r="74" ht="40" customHeight="1">
      <x:c r="A74" s="41" t="str">
        <x:v>FM10-04</x:v>
      </x:c>
      <x:c r="B74" s="41" t="str">
        <x:v>移动端现场执行</x:v>
      </x:c>
      <x:c r="C74" s="41" t="str">
        <x:v>现场处理/服务报告</x:v>
      </x:c>
      <x:c r="D74" s="41" t="str">
        <x:v>报告</x:v>
      </x:c>
      <x:c r="E74" s="41" t="str">
        <x:v>系统/设备</x:v>
      </x:c>
      <x:c r="F74" s="41" t="str">
        <x:v>文本</x:v>
      </x:c>
      <x:c r="G74" s="41" t="str">
        <x:v>否</x:v>
      </x:c>
      <x:c r="H74" s="41" t="str">
        <x:v>服务对象</x:v>
      </x:c>
      <x:c r="I74" s="41" t="str">
        <x:v>原型/材料已定义</x:v>
      </x:c>
      <x:c r="J74" s="43" t="str">
        <x:v>待确认</x:v>
      </x:c>
      <x:c r="K74" s="43" t="str">
        <x:v>报告</x:v>
      </x:c>
      <x:c r="L74" s="43" t="str">
        <x:v>系统/设备</x:v>
      </x:c>
      <x:c r="M74" s="43" t="str">
        <x:v>文本</x:v>
      </x:c>
      <x:c r="N74" s="43" t="str"/>
      <x:c r="O74" s="43" t="str"/>
      <x:c r="P74" s="41" t="str">
        <x:v>待确认</x:v>
      </x:c>
    </x:row>
    <x:row r="75" ht="40" customHeight="1">
      <x:c r="A75" s="41" t="str">
        <x:v>FM10-05</x:v>
      </x:c>
      <x:c r="B75" s="41" t="str">
        <x:v>移动端现场执行</x:v>
      </x:c>
      <x:c r="C75" s="41" t="str">
        <x:v>现场处理/服务报告</x:v>
      </x:c>
      <x:c r="D75" s="41" t="str">
        <x:v>报告</x:v>
      </x:c>
      <x:c r="E75" s="41" t="str">
        <x:v>服务目的</x:v>
      </x:c>
      <x:c r="F75" s="41" t="str">
        <x:v>多行文本</x:v>
      </x:c>
      <x:c r="G75" s="41" t="str">
        <x:v>是</x:v>
      </x:c>
      <x:c r="H75" s="41" t="str">
        <x:v>本次目的</x:v>
      </x:c>
      <x:c r="I75" s="41" t="str">
        <x:v>原型/材料已定义</x:v>
      </x:c>
      <x:c r="J75" s="43" t="str">
        <x:v>待确认</x:v>
      </x:c>
      <x:c r="K75" s="43" t="str">
        <x:v>报告</x:v>
      </x:c>
      <x:c r="L75" s="43" t="str">
        <x:v>服务目的</x:v>
      </x:c>
      <x:c r="M75" s="43" t="str">
        <x:v>多行文本</x:v>
      </x:c>
      <x:c r="N75" s="43" t="str"/>
      <x:c r="O75" s="43" t="str"/>
      <x:c r="P75" s="41" t="str">
        <x:v>待确认</x:v>
      </x:c>
    </x:row>
    <x:row r="76" ht="40" customHeight="1">
      <x:c r="A76" s="41" t="str">
        <x:v>FM10-06</x:v>
      </x:c>
      <x:c r="B76" s="41" t="str">
        <x:v>移动端现场执行</x:v>
      </x:c>
      <x:c r="C76" s="41" t="str">
        <x:v>现场处理/服务报告</x:v>
      </x:c>
      <x:c r="D76" s="41" t="str">
        <x:v>报告</x:v>
      </x:c>
      <x:c r="E76" s="41" t="str">
        <x:v>完成工作</x:v>
      </x:c>
      <x:c r="F76" s="41" t="str">
        <x:v>多行文本</x:v>
      </x:c>
      <x:c r="G76" s="41" t="str">
        <x:v>是</x:v>
      </x:c>
      <x:c r="H76" s="41" t="str">
        <x:v>处理结果</x:v>
      </x:c>
      <x:c r="I76" s="41" t="str">
        <x:v>原型/材料已定义</x:v>
      </x:c>
      <x:c r="J76" s="43" t="str">
        <x:v>待确认</x:v>
      </x:c>
      <x:c r="K76" s="43" t="str">
        <x:v>报告</x:v>
      </x:c>
      <x:c r="L76" s="43" t="str">
        <x:v>完成工作</x:v>
      </x:c>
      <x:c r="M76" s="43" t="str">
        <x:v>多行文本</x:v>
      </x:c>
      <x:c r="N76" s="43" t="str"/>
      <x:c r="O76" s="43" t="str"/>
      <x:c r="P76" s="41" t="str">
        <x:v>待确认</x:v>
      </x:c>
    </x:row>
    <x:row r="77" ht="40" customHeight="1">
      <x:c r="A77" s="41" t="str">
        <x:v>FM10-07</x:v>
      </x:c>
      <x:c r="B77" s="41" t="str">
        <x:v>移动端现场执行</x:v>
      </x:c>
      <x:c r="C77" s="41" t="str">
        <x:v>现场处理/服务报告</x:v>
      </x:c>
      <x:c r="D77" s="41" t="str">
        <x:v>报告</x:v>
      </x:c>
      <x:c r="E77" s="41" t="str">
        <x:v>跟进事项</x:v>
      </x:c>
      <x:c r="F77" s="41" t="str">
        <x:v>多行文本</x:v>
      </x:c>
      <x:c r="G77" s="41" t="str">
        <x:v>否</x:v>
      </x:c>
      <x:c r="H77" s="41" t="str">
        <x:v>未解决事项</x:v>
      </x:c>
      <x:c r="I77" s="41" t="str">
        <x:v>原型/材料已定义</x:v>
      </x:c>
      <x:c r="J77" s="43" t="str">
        <x:v>待确认</x:v>
      </x:c>
      <x:c r="K77" s="43" t="str">
        <x:v>报告</x:v>
      </x:c>
      <x:c r="L77" s="43" t="str">
        <x:v>跟进事项</x:v>
      </x:c>
      <x:c r="M77" s="43" t="str">
        <x:v>多行文本</x:v>
      </x:c>
      <x:c r="N77" s="43" t="str"/>
      <x:c r="O77" s="43" t="str"/>
      <x:c r="P77" s="41" t="str">
        <x:v>待确认</x:v>
      </x:c>
    </x:row>
    <x:row r="78" ht="40" customHeight="1">
      <x:c r="A78" s="41" t="str">
        <x:v>FM10-08</x:v>
      </x:c>
      <x:c r="B78" s="41" t="str">
        <x:v>移动端现场执行</x:v>
      </x:c>
      <x:c r="C78" s="41" t="str">
        <x:v>现场处理/服务报告</x:v>
      </x:c>
      <x:c r="D78" s="41" t="str">
        <x:v>照片</x:v>
      </x:c>
      <x:c r="E78" s="41" t="str">
        <x:v>Before照片</x:v>
      </x:c>
      <x:c r="F78" s="41" t="str">
        <x:v>图片</x:v>
      </x:c>
      <x:c r="G78" s="41" t="str">
        <x:v>条件必填</x:v>
      </x:c>
      <x:c r="H78" s="41" t="str">
        <x:v>不可拍照客户可豁免</x:v>
      </x:c>
      <x:c r="I78" s="41" t="str">
        <x:v>原型/材料已定义</x:v>
      </x:c>
      <x:c r="J78" s="43" t="str">
        <x:v>待确认</x:v>
      </x:c>
      <x:c r="K78" s="43" t="str">
        <x:v>照片</x:v>
      </x:c>
      <x:c r="L78" s="43" t="str">
        <x:v>Before照片</x:v>
      </x:c>
      <x:c r="M78" s="43" t="str">
        <x:v>图片</x:v>
      </x:c>
      <x:c r="N78" s="43" t="str"/>
      <x:c r="O78" s="43" t="str"/>
      <x:c r="P78" s="41" t="str">
        <x:v>待确认</x:v>
      </x:c>
    </x:row>
    <x:row r="79" ht="40" customHeight="1">
      <x:c r="A79" s="41" t="str">
        <x:v>FM10-09</x:v>
      </x:c>
      <x:c r="B79" s="41" t="str">
        <x:v>移动端现场执行</x:v>
      </x:c>
      <x:c r="C79" s="41" t="str">
        <x:v>现场处理/服务报告</x:v>
      </x:c>
      <x:c r="D79" s="41" t="str">
        <x:v>照片</x:v>
      </x:c>
      <x:c r="E79" s="41" t="str">
        <x:v>After照片</x:v>
      </x:c>
      <x:c r="F79" s="41" t="str">
        <x:v>图片</x:v>
      </x:c>
      <x:c r="G79" s="41" t="str">
        <x:v>条件必填</x:v>
      </x:c>
      <x:c r="H79" s="41" t="str">
        <x:v>不可拍照客户可豁免</x:v>
      </x:c>
      <x:c r="I79" s="41" t="str">
        <x:v>原型/材料已定义</x:v>
      </x:c>
      <x:c r="J79" s="43" t="str">
        <x:v>待确认</x:v>
      </x:c>
      <x:c r="K79" s="43" t="str">
        <x:v>照片</x:v>
      </x:c>
      <x:c r="L79" s="43" t="str">
        <x:v>After照片</x:v>
      </x:c>
      <x:c r="M79" s="43" t="str">
        <x:v>图片</x:v>
      </x:c>
      <x:c r="N79" s="43" t="str"/>
      <x:c r="O79" s="43" t="str"/>
      <x:c r="P79" s="41" t="str">
        <x:v>待确认</x:v>
      </x:c>
    </x:row>
    <x:row r="80" ht="40" customHeight="1">
      <x:c r="A80" s="41" t="str">
        <x:v>FM10-10</x:v>
      </x:c>
      <x:c r="B80" s="41" t="str">
        <x:v>移动端现场执行</x:v>
      </x:c>
      <x:c r="C80" s="41" t="str">
        <x:v>现场处理/服务报告</x:v>
      </x:c>
      <x:c r="D80" s="41" t="str">
        <x:v>费用</x:v>
      </x:c>
      <x:c r="E80" s="41" t="str">
        <x:v>车资/材料记录</x:v>
      </x:c>
      <x:c r="F80" s="41" t="str">
        <x:v>数字/明细</x:v>
      </x:c>
      <x:c r="G80" s="41" t="str">
        <x:v>否</x:v>
      </x:c>
      <x:c r="H80" s="41" t="str">
        <x:v>关联现场支出</x:v>
      </x:c>
      <x:c r="I80" s="41" t="str">
        <x:v>原型/材料已定义</x:v>
      </x:c>
      <x:c r="J80" s="43" t="str">
        <x:v>待确认</x:v>
      </x:c>
      <x:c r="K80" s="43" t="str">
        <x:v>费用</x:v>
      </x:c>
      <x:c r="L80" s="43" t="str">
        <x:v>车资/材料记录</x:v>
      </x:c>
      <x:c r="M80" s="43" t="str">
        <x:v>数字/明细</x:v>
      </x:c>
      <x:c r="N80" s="43" t="str"/>
      <x:c r="O80" s="43" t="str"/>
      <x:c r="P80" s="41" t="str">
        <x:v>待确认</x:v>
      </x:c>
    </x:row>
    <x:row r="81" ht="40" customHeight="1">
      <x:c r="A81" s="41" t="str">
        <x:v>FM10-11</x:v>
      </x:c>
      <x:c r="B81" s="41" t="str">
        <x:v>移动端现场执行</x:v>
      </x:c>
      <x:c r="C81" s="41" t="str">
        <x:v>现场处理/服务报告</x:v>
      </x:c>
      <x:c r="D81" s="41" t="str">
        <x:v>报价</x:v>
      </x:c>
      <x:c r="E81" s="41" t="str">
        <x:v>是否需要报价</x:v>
      </x:c>
      <x:c r="F81" s="41" t="str">
        <x:v>布尔</x:v>
      </x:c>
      <x:c r="G81" s="41" t="str">
        <x:v>是</x:v>
      </x:c>
      <x:c r="H81" s="41" t="str">
        <x:v>可触发后补报价</x:v>
      </x:c>
      <x:c r="I81" s="41" t="str">
        <x:v>原型/材料已定义</x:v>
      </x:c>
      <x:c r="J81" s="43" t="str">
        <x:v>待确认</x:v>
      </x:c>
      <x:c r="K81" s="43" t="str">
        <x:v>报价</x:v>
      </x:c>
      <x:c r="L81" s="43" t="str">
        <x:v>是否需要报价</x:v>
      </x:c>
      <x:c r="M81" s="43" t="str">
        <x:v>布尔</x:v>
      </x:c>
      <x:c r="N81" s="43" t="str"/>
      <x:c r="O81" s="43" t="str"/>
      <x:c r="P81" s="41" t="str">
        <x:v>待确认</x:v>
      </x:c>
    </x:row>
    <x:row r="82" ht="40" customHeight="1">
      <x:c r="A82" s="41" t="str">
        <x:v>FM10-12</x:v>
      </x:c>
      <x:c r="B82" s="41" t="str">
        <x:v>移动端现场执行</x:v>
      </x:c>
      <x:c r="C82" s="41" t="str">
        <x:v>现场处理/服务报告</x:v>
      </x:c>
      <x:c r="D82" s="41" t="str">
        <x:v>附件</x:v>
      </x:c>
      <x:c r="E82" s="41" t="str">
        <x:v>其他附件</x:v>
      </x:c>
      <x:c r="F82" s="41" t="str">
        <x:v>附件</x:v>
      </x:c>
      <x:c r="G82" s="41" t="str">
        <x:v>否</x:v>
      </x:c>
      <x:c r="H82" s="41" t="str">
        <x:v>现场资料</x:v>
      </x:c>
      <x:c r="I82" s="41" t="str">
        <x:v>原型/材料已定义</x:v>
      </x:c>
      <x:c r="J82" s="43" t="str">
        <x:v>待确认</x:v>
      </x:c>
      <x:c r="K82" s="43" t="str">
        <x:v>附件</x:v>
      </x:c>
      <x:c r="L82" s="43" t="str">
        <x:v>其他附件</x:v>
      </x:c>
      <x:c r="M82" s="43" t="str">
        <x:v>附件</x:v>
      </x:c>
      <x:c r="N82" s="43" t="str"/>
      <x:c r="O82" s="43" t="str"/>
      <x:c r="P82" s="41" t="str">
        <x:v>待确认</x:v>
      </x:c>
    </x:row>
    <x:row r="83" ht="40" customHeight="1">
      <x:c r="A83" s="41" t="str">
        <x:v>FM11-01</x:v>
      </x:c>
      <x:c r="B83" s="41" t="str">
        <x:v>移动端现场执行</x:v>
      </x:c>
      <x:c r="C83" s="41" t="str">
        <x:v>完工单与客户确认</x:v>
      </x:c>
      <x:c r="D83" s="41" t="str">
        <x:v>完工单</x:v>
      </x:c>
      <x:c r="E83" s="41" t="str">
        <x:v>完工单编号</x:v>
      </x:c>
      <x:c r="F83" s="41" t="str">
        <x:v>文本</x:v>
      </x:c>
      <x:c r="G83" s="41" t="str">
        <x:v>条件</x:v>
      </x:c>
      <x:c r="H83" s="41" t="str">
        <x:v>按单据规则生成/填写</x:v>
      </x:c>
      <x:c r="I83" s="41" t="str">
        <x:v>原型/材料已定义</x:v>
      </x:c>
      <x:c r="J83" s="43" t="str">
        <x:v>待确认</x:v>
      </x:c>
      <x:c r="K83" s="43" t="str">
        <x:v>完工单</x:v>
      </x:c>
      <x:c r="L83" s="43" t="str">
        <x:v>完工单编号</x:v>
      </x:c>
      <x:c r="M83" s="43" t="str">
        <x:v>文本</x:v>
      </x:c>
      <x:c r="N83" s="43" t="str"/>
      <x:c r="O83" s="43" t="str"/>
      <x:c r="P83" s="41" t="str">
        <x:v>待确认</x:v>
      </x:c>
    </x:row>
    <x:row r="84" ht="40" customHeight="1">
      <x:c r="A84" s="41" t="str">
        <x:v>FM11-02</x:v>
      </x:c>
      <x:c r="B84" s="41" t="str">
        <x:v>移动端现场执行</x:v>
      </x:c>
      <x:c r="C84" s="41" t="str">
        <x:v>完工单与客户确认</x:v>
      </x:c>
      <x:c r="D84" s="41" t="str">
        <x:v>完工单</x:v>
      </x:c>
      <x:c r="E84" s="41" t="str">
        <x:v>完工内容</x:v>
      </x:c>
      <x:c r="F84" s="41" t="str">
        <x:v>多行文本</x:v>
      </x:c>
      <x:c r="G84" s="41" t="str">
        <x:v>是</x:v>
      </x:c>
      <x:c r="H84" s="41" t="str">
        <x:v>本次完成事项</x:v>
      </x:c>
      <x:c r="I84" s="41" t="str">
        <x:v>原型/材料已定义</x:v>
      </x:c>
      <x:c r="J84" s="43" t="str">
        <x:v>待确认</x:v>
      </x:c>
      <x:c r="K84" s="43" t="str">
        <x:v>完工单</x:v>
      </x:c>
      <x:c r="L84" s="43" t="str">
        <x:v>完工内容</x:v>
      </x:c>
      <x:c r="M84" s="43" t="str">
        <x:v>多行文本</x:v>
      </x:c>
      <x:c r="N84" s="43" t="str"/>
      <x:c r="O84" s="43" t="str"/>
      <x:c r="P84" s="41" t="str">
        <x:v>待确认</x:v>
      </x:c>
    </x:row>
    <x:row r="85" ht="40" customHeight="1">
      <x:c r="A85" s="41" t="str">
        <x:v>FM11-03</x:v>
      </x:c>
      <x:c r="B85" s="41" t="str">
        <x:v>移动端现场执行</x:v>
      </x:c>
      <x:c r="C85" s="41" t="str">
        <x:v>完工单与客户确认</x:v>
      </x:c>
      <x:c r="D85" s="41" t="str">
        <x:v>材料</x:v>
      </x:c>
      <x:c r="E85" s="41" t="str">
        <x:v>材料明细</x:v>
      </x:c>
      <x:c r="F85" s="41" t="str">
        <x:v>明细表</x:v>
      </x:c>
      <x:c r="G85" s="41" t="str">
        <x:v>否</x:v>
      </x:c>
      <x:c r="H85" s="41" t="str">
        <x:v>物料、数量、备注</x:v>
      </x:c>
      <x:c r="I85" s="41" t="str">
        <x:v>原型/材料已定义</x:v>
      </x:c>
      <x:c r="J85" s="43" t="str">
        <x:v>待确认</x:v>
      </x:c>
      <x:c r="K85" s="43" t="str">
        <x:v>材料</x:v>
      </x:c>
      <x:c r="L85" s="43" t="str">
        <x:v>材料明细</x:v>
      </x:c>
      <x:c r="M85" s="43" t="str">
        <x:v>明细表</x:v>
      </x:c>
      <x:c r="N85" s="43" t="str"/>
      <x:c r="O85" s="43" t="str"/>
      <x:c r="P85" s="41" t="str">
        <x:v>待确认</x:v>
      </x:c>
    </x:row>
    <x:row r="86" ht="40" customHeight="1">
      <x:c r="A86" s="41" t="str">
        <x:v>FM11-04</x:v>
      </x:c>
      <x:c r="B86" s="41" t="str">
        <x:v>移动端现场执行</x:v>
      </x:c>
      <x:c r="C86" s="41" t="str">
        <x:v>完工单与客户确认</x:v>
      </x:c>
      <x:c r="D86" s="41" t="str">
        <x:v>客户确认</x:v>
      </x:c>
      <x:c r="E86" s="41" t="str">
        <x:v>满意度</x:v>
      </x:c>
      <x:c r="F86" s="41" t="str">
        <x:v>评分</x:v>
      </x:c>
      <x:c r="G86" s="41" t="str">
        <x:v>否</x:v>
      </x:c>
      <x:c r="H86" s="41" t="str">
        <x:v>客户评价</x:v>
      </x:c>
      <x:c r="I86" s="41" t="str">
        <x:v>原型/材料已定义</x:v>
      </x:c>
      <x:c r="J86" s="43" t="str">
        <x:v>待确认</x:v>
      </x:c>
      <x:c r="K86" s="43" t="str">
        <x:v>客户确认</x:v>
      </x:c>
      <x:c r="L86" s="43" t="str">
        <x:v>满意度</x:v>
      </x:c>
      <x:c r="M86" s="43" t="str">
        <x:v>评分</x:v>
      </x:c>
      <x:c r="N86" s="43" t="str"/>
      <x:c r="O86" s="43" t="str"/>
      <x:c r="P86" s="41" t="str">
        <x:v>待确认</x:v>
      </x:c>
    </x:row>
    <x:row r="87" ht="40" customHeight="1">
      <x:c r="A87" s="41" t="str">
        <x:v>FM11-05</x:v>
      </x:c>
      <x:c r="B87" s="41" t="str">
        <x:v>移动端现场执行</x:v>
      </x:c>
      <x:c r="C87" s="41" t="str">
        <x:v>完工单与客户确认</x:v>
      </x:c>
      <x:c r="D87" s="41" t="str">
        <x:v>客户确认</x:v>
      </x:c>
      <x:c r="E87" s="41" t="str">
        <x:v>电子签名</x:v>
      </x:c>
      <x:c r="F87" s="41" t="str">
        <x:v>签名</x:v>
      </x:c>
      <x:c r="G87" s="41" t="str">
        <x:v>条件</x:v>
      </x:c>
      <x:c r="H87" s="41" t="str">
        <x:v>或选择客户不在场</x:v>
      </x:c>
      <x:c r="I87" s="41" t="str">
        <x:v>原型/材料已定义</x:v>
      </x:c>
      <x:c r="J87" s="43" t="str">
        <x:v>待确认</x:v>
      </x:c>
      <x:c r="K87" s="43" t="str">
        <x:v>客户确认</x:v>
      </x:c>
      <x:c r="L87" s="43" t="str">
        <x:v>电子签名</x:v>
      </x:c>
      <x:c r="M87" s="43" t="str">
        <x:v>签名</x:v>
      </x:c>
      <x:c r="N87" s="43" t="str"/>
      <x:c r="O87" s="43" t="str"/>
      <x:c r="P87" s="41" t="str">
        <x:v>待确认</x:v>
      </x:c>
    </x:row>
    <x:row r="88" ht="40" customHeight="1">
      <x:c r="A88" s="41" t="str">
        <x:v>FM11-06</x:v>
      </x:c>
      <x:c r="B88" s="41" t="str">
        <x:v>移动端现场执行</x:v>
      </x:c>
      <x:c r="C88" s="41" t="str">
        <x:v>完工单与客户确认</x:v>
      </x:c>
      <x:c r="D88" s="41" t="str">
        <x:v>客户确认</x:v>
      </x:c>
      <x:c r="E88" s="41" t="str">
        <x:v>客户不在场</x:v>
      </x:c>
      <x:c r="F88" s="41" t="str">
        <x:v>布尔</x:v>
      </x:c>
      <x:c r="G88" s="41" t="str">
        <x:v>否</x:v>
      </x:c>
      <x:c r="H88" s="41" t="str">
        <x:v>触发签名豁免</x:v>
      </x:c>
      <x:c r="I88" s="41" t="str">
        <x:v>原型/材料已定义</x:v>
      </x:c>
      <x:c r="J88" s="43" t="str">
        <x:v>待确认</x:v>
      </x:c>
      <x:c r="K88" s="43" t="str">
        <x:v>客户确认</x:v>
      </x:c>
      <x:c r="L88" s="43" t="str">
        <x:v>客户不在场</x:v>
      </x:c>
      <x:c r="M88" s="43" t="str">
        <x:v>布尔</x:v>
      </x:c>
      <x:c r="N88" s="43" t="str"/>
      <x:c r="O88" s="43" t="str"/>
      <x:c r="P88" s="41" t="str">
        <x:v>待确认</x:v>
      </x:c>
    </x:row>
    <x:row r="89" ht="40" customHeight="1">
      <x:c r="A89" s="41" t="str">
        <x:v>FM11-07</x:v>
      </x:c>
      <x:c r="B89" s="41" t="str">
        <x:v>移动端现场执行</x:v>
      </x:c>
      <x:c r="C89" s="41" t="str">
        <x:v>完工单与客户确认</x:v>
      </x:c>
      <x:c r="D89" s="41" t="str">
        <x:v>附件</x:v>
      </x:c>
      <x:c r="E89" s="41" t="str">
        <x:v>完工照片/纸质单照片</x:v>
      </x:c>
      <x:c r="F89" s="41" t="str">
        <x:v>图片</x:v>
      </x:c>
      <x:c r="G89" s="41" t="str">
        <x:v>条件</x:v>
      </x:c>
      <x:c r="H89" s="41" t="str">
        <x:v>按客户规则校验</x:v>
      </x:c>
      <x:c r="I89" s="41" t="str">
        <x:v>原型/材料已定义</x:v>
      </x:c>
      <x:c r="J89" s="43" t="str">
        <x:v>待确认</x:v>
      </x:c>
      <x:c r="K89" s="43" t="str">
        <x:v>附件</x:v>
      </x:c>
      <x:c r="L89" s="43" t="str">
        <x:v>完工照片/纸质单照片</x:v>
      </x:c>
      <x:c r="M89" s="43" t="str">
        <x:v>图片</x:v>
      </x:c>
      <x:c r="N89" s="43" t="str"/>
      <x:c r="O89" s="43" t="str"/>
      <x:c r="P89" s="41" t="str">
        <x:v>待确认</x:v>
      </x:c>
    </x:row>
    <x:row r="90" ht="40" customHeight="1">
      <x:c r="A90" s="41" t="str">
        <x:v>FM11-08</x:v>
      </x:c>
      <x:c r="B90" s="41" t="str">
        <x:v>移动端现场执行</x:v>
      </x:c>
      <x:c r="C90" s="41" t="str">
        <x:v>完工单与客户确认</x:v>
      </x:c>
      <x:c r="D90" s="41" t="str">
        <x:v>提交</x:v>
      </x:c>
      <x:c r="E90" s="41" t="str">
        <x:v>提交备注</x:v>
      </x:c>
      <x:c r="F90" s="41" t="str">
        <x:v>多行文本</x:v>
      </x:c>
      <x:c r="G90" s="41" t="str">
        <x:v>否</x:v>
      </x:c>
      <x:c r="H90" s="41" t="str">
        <x:v>提交说明</x:v>
      </x:c>
      <x:c r="I90" s="41" t="str">
        <x:v>原型/材料已定义</x:v>
      </x:c>
      <x:c r="J90" s="43" t="str">
        <x:v>待确认</x:v>
      </x:c>
      <x:c r="K90" s="43" t="str">
        <x:v>提交</x:v>
      </x:c>
      <x:c r="L90" s="43" t="str">
        <x:v>提交备注</x:v>
      </x:c>
      <x:c r="M90" s="43" t="str">
        <x:v>多行文本</x:v>
      </x:c>
      <x:c r="N90" s="43" t="str"/>
      <x:c r="O90" s="43" t="str"/>
      <x:c r="P90" s="41" t="str">
        <x:v>待确认</x:v>
      </x:c>
    </x:row>
    <x:row r="91" ht="40" customHeight="1">
      <x:c r="A91" s="41" t="str">
        <x:v>FM12-01</x:v>
      </x:c>
      <x:c r="B91" s="41" t="str">
        <x:v>报告与文档</x:v>
      </x:c>
      <x:c r="C91" s="41" t="str">
        <x:v>报告管理/发送</x:v>
      </x:c>
      <x:c r="D91" s="41" t="str">
        <x:v>筛选</x:v>
      </x:c>
      <x:c r="E91" s="41" t="str">
        <x:v>报告类型/状态</x:v>
      </x:c>
      <x:c r="F91" s="41" t="str">
        <x:v>枚举</x:v>
      </x:c>
      <x:c r="G91" s="41" t="str">
        <x:v>否</x:v>
      </x:c>
      <x:c r="H91" s="41" t="str">
        <x:v>SR/完工单</x:v>
      </x:c>
      <x:c r="I91" s="41" t="str">
        <x:v>原型/材料已定义</x:v>
      </x:c>
      <x:c r="J91" s="43" t="str">
        <x:v>待确认</x:v>
      </x:c>
      <x:c r="K91" s="43" t="str">
        <x:v>筛选</x:v>
      </x:c>
      <x:c r="L91" s="43" t="str">
        <x:v>报告类型/状态</x:v>
      </x:c>
      <x:c r="M91" s="43" t="str">
        <x:v>枚举</x:v>
      </x:c>
      <x:c r="N91" s="43" t="str"/>
      <x:c r="O91" s="43" t="str"/>
      <x:c r="P91" s="41" t="str">
        <x:v>待确认</x:v>
      </x:c>
    </x:row>
    <x:row r="92" ht="40" customHeight="1">
      <x:c r="A92" s="41" t="str">
        <x:v>FM12-02</x:v>
      </x:c>
      <x:c r="B92" s="41" t="str">
        <x:v>报告与文档</x:v>
      </x:c>
      <x:c r="C92" s="41" t="str">
        <x:v>报告管理/发送</x:v>
      </x:c>
      <x:c r="D92" s="41" t="str">
        <x:v>筛选</x:v>
      </x:c>
      <x:c r="E92" s="41" t="str">
        <x:v>编号/客户/区域/内容</x:v>
      </x:c>
      <x:c r="F92" s="41" t="str">
        <x:v>文本/选择</x:v>
      </x:c>
      <x:c r="G92" s="41" t="str">
        <x:v>否</x:v>
      </x:c>
      <x:c r="H92" s="41" t="str">
        <x:v>组合查询</x:v>
      </x:c>
      <x:c r="I92" s="41" t="str">
        <x:v>原型/材料已定义</x:v>
      </x:c>
      <x:c r="J92" s="43" t="str">
        <x:v>待确认</x:v>
      </x:c>
      <x:c r="K92" s="43" t="str">
        <x:v>筛选</x:v>
      </x:c>
      <x:c r="L92" s="43" t="str">
        <x:v>编号/客户/区域/内容</x:v>
      </x:c>
      <x:c r="M92" s="43" t="str">
        <x:v>文本/选择</x:v>
      </x:c>
      <x:c r="N92" s="43" t="str"/>
      <x:c r="O92" s="43" t="str"/>
      <x:c r="P92" s="41" t="str">
        <x:v>待确认</x:v>
      </x:c>
    </x:row>
    <x:row r="93" ht="40" customHeight="1">
      <x:c r="A93" s="41" t="str">
        <x:v>FM12-03</x:v>
      </x:c>
      <x:c r="B93" s="41" t="str">
        <x:v>报告与文档</x:v>
      </x:c>
      <x:c r="C93" s="41" t="str">
        <x:v>报告管理/发送</x:v>
      </x:c>
      <x:c r="D93" s="41" t="str">
        <x:v>报告</x:v>
      </x:c>
      <x:c r="E93" s="41" t="str">
        <x:v>报告编号</x:v>
      </x:c>
      <x:c r="F93" s="41" t="str">
        <x:v>文本</x:v>
      </x:c>
      <x:c r="G93" s="41" t="str">
        <x:v>是</x:v>
      </x:c>
      <x:c r="H93" s="41" t="str">
        <x:v>唯一标识</x:v>
      </x:c>
      <x:c r="I93" s="41" t="str">
        <x:v>原型/材料已定义</x:v>
      </x:c>
      <x:c r="J93" s="43" t="str">
        <x:v>待确认</x:v>
      </x:c>
      <x:c r="K93" s="43" t="str">
        <x:v>报告</x:v>
      </x:c>
      <x:c r="L93" s="43" t="str">
        <x:v>报告编号</x:v>
      </x:c>
      <x:c r="M93" s="43" t="str">
        <x:v>文本</x:v>
      </x:c>
      <x:c r="N93" s="43" t="str"/>
      <x:c r="O93" s="43" t="str"/>
      <x:c r="P93" s="41" t="str">
        <x:v>待确认</x:v>
      </x:c>
    </x:row>
    <x:row r="94" ht="40" customHeight="1">
      <x:c r="A94" s="41" t="str">
        <x:v>FM12-04</x:v>
      </x:c>
      <x:c r="B94" s="41" t="str">
        <x:v>报告与文档</x:v>
      </x:c>
      <x:c r="C94" s="41" t="str">
        <x:v>报告管理/发送</x:v>
      </x:c>
      <x:c r="D94" s="41" t="str">
        <x:v>报告</x:v>
      </x:c>
      <x:c r="E94" s="41" t="str">
        <x:v>关联CALL</x:v>
      </x:c>
      <x:c r="F94" s="41" t="str">
        <x:v>关联</x:v>
      </x:c>
      <x:c r="G94" s="41" t="str">
        <x:v>是</x:v>
      </x:c>
      <x:c r="H94" s="41" t="str">
        <x:v>跳转详情</x:v>
      </x:c>
      <x:c r="I94" s="41" t="str">
        <x:v>原型/材料已定义</x:v>
      </x:c>
      <x:c r="J94" s="43" t="str">
        <x:v>待确认</x:v>
      </x:c>
      <x:c r="K94" s="43" t="str">
        <x:v>报告</x:v>
      </x:c>
      <x:c r="L94" s="43" t="str">
        <x:v>关联CALL</x:v>
      </x:c>
      <x:c r="M94" s="43" t="str">
        <x:v>关联</x:v>
      </x:c>
      <x:c r="N94" s="43" t="str"/>
      <x:c r="O94" s="43" t="str"/>
      <x:c r="P94" s="41" t="str">
        <x:v>待确认</x:v>
      </x:c>
    </x:row>
    <x:row r="95" ht="40" customHeight="1">
      <x:c r="A95" s="41" t="str">
        <x:v>FM12-05</x:v>
      </x:c>
      <x:c r="B95" s="41" t="str">
        <x:v>报告与文档</x:v>
      </x:c>
      <x:c r="C95" s="41" t="str">
        <x:v>报告管理/发送</x:v>
      </x:c>
      <x:c r="D95" s="41" t="str">
        <x:v>报告</x:v>
      </x:c>
      <x:c r="E95" s="41" t="str">
        <x:v>客户/签名状态</x:v>
      </x:c>
      <x:c r="F95" s="41" t="str">
        <x:v>文本/状态</x:v>
      </x:c>
      <x:c r="G95" s="41" t="str">
        <x:v>是</x:v>
      </x:c>
      <x:c r="H95" s="41" t="str">
        <x:v>报告信息</x:v>
      </x:c>
      <x:c r="I95" s="41" t="str">
        <x:v>原型/材料已定义</x:v>
      </x:c>
      <x:c r="J95" s="43" t="str">
        <x:v>待确认</x:v>
      </x:c>
      <x:c r="K95" s="43" t="str">
        <x:v>报告</x:v>
      </x:c>
      <x:c r="L95" s="43" t="str">
        <x:v>客户/签名状态</x:v>
      </x:c>
      <x:c r="M95" s="43" t="str">
        <x:v>文本/状态</x:v>
      </x:c>
      <x:c r="N95" s="43" t="str"/>
      <x:c r="O95" s="43" t="str"/>
      <x:c r="P95" s="41" t="str">
        <x:v>待确认</x:v>
      </x:c>
    </x:row>
    <x:row r="96" ht="40" customHeight="1">
      <x:c r="A96" s="41" t="str">
        <x:v>FM12-06</x:v>
      </x:c>
      <x:c r="B96" s="41" t="str">
        <x:v>报告与文档</x:v>
      </x:c>
      <x:c r="C96" s="41" t="str">
        <x:v>报告管理/发送</x:v>
      </x:c>
      <x:c r="D96" s="41" t="str">
        <x:v>发送</x:v>
      </x:c>
      <x:c r="E96" s="41" t="str">
        <x:v>发送渠道</x:v>
      </x:c>
      <x:c r="F96" s="41" t="str">
        <x:v>枚举</x:v>
      </x:c>
      <x:c r="G96" s="41" t="str">
        <x:v>是</x:v>
      </x:c>
      <x:c r="H96" s="41" t="str">
        <x:v>Email/WhatsApp/系统内</x:v>
      </x:c>
      <x:c r="I96" s="41" t="str">
        <x:v>原型/材料已定义</x:v>
      </x:c>
      <x:c r="J96" s="43" t="str">
        <x:v>待确认</x:v>
      </x:c>
      <x:c r="K96" s="43" t="str">
        <x:v>发送</x:v>
      </x:c>
      <x:c r="L96" s="43" t="str">
        <x:v>发送渠道</x:v>
      </x:c>
      <x:c r="M96" s="43" t="str">
        <x:v>枚举</x:v>
      </x:c>
      <x:c r="N96" s="43" t="str"/>
      <x:c r="O96" s="43" t="str"/>
      <x:c r="P96" s="41" t="str">
        <x:v>待确认</x:v>
      </x:c>
    </x:row>
    <x:row r="97" ht="40" customHeight="1">
      <x:c r="A97" s="41" t="str">
        <x:v>FM12-07</x:v>
      </x:c>
      <x:c r="B97" s="41" t="str">
        <x:v>报告与文档</x:v>
      </x:c>
      <x:c r="C97" s="41" t="str">
        <x:v>报告管理/发送</x:v>
      </x:c>
      <x:c r="D97" s="41" t="str">
        <x:v>发送</x:v>
      </x:c>
      <x:c r="E97" s="41" t="str">
        <x:v>收件人</x:v>
      </x:c>
      <x:c r="F97" s="41" t="str">
        <x:v>文本</x:v>
      </x:c>
      <x:c r="G97" s="41" t="str">
        <x:v>是</x:v>
      </x:c>
      <x:c r="H97" s="41" t="str">
        <x:v>地址或号码</x:v>
      </x:c>
      <x:c r="I97" s="41" t="str">
        <x:v>原型/材料已定义</x:v>
      </x:c>
      <x:c r="J97" s="43" t="str">
        <x:v>待确认</x:v>
      </x:c>
      <x:c r="K97" s="43" t="str">
        <x:v>发送</x:v>
      </x:c>
      <x:c r="L97" s="43" t="str">
        <x:v>收件人</x:v>
      </x:c>
      <x:c r="M97" s="43" t="str">
        <x:v>文本</x:v>
      </x:c>
      <x:c r="N97" s="43" t="str"/>
      <x:c r="O97" s="43" t="str"/>
      <x:c r="P97" s="41" t="str">
        <x:v>待确认</x:v>
      </x:c>
    </x:row>
    <x:row r="98" ht="40" customHeight="1">
      <x:c r="A98" s="41" t="str">
        <x:v>FM12-08</x:v>
      </x:c>
      <x:c r="B98" s="41" t="str">
        <x:v>报告与文档</x:v>
      </x:c>
      <x:c r="C98" s="41" t="str">
        <x:v>报告管理/发送</x:v>
      </x:c>
      <x:c r="D98" s="41" t="str">
        <x:v>发送</x:v>
      </x:c>
      <x:c r="E98" s="41" t="str">
        <x:v>发送时间/结果</x:v>
      </x:c>
      <x:c r="F98" s="41" t="str">
        <x:v>日期时间/状态</x:v>
      </x:c>
      <x:c r="G98" s="41" t="str">
        <x:v>是</x:v>
      </x:c>
      <x:c r="H98" s="41" t="str">
        <x:v>日志记录</x:v>
      </x:c>
      <x:c r="I98" s="41" t="str">
        <x:v>原型/材料已定义</x:v>
      </x:c>
      <x:c r="J98" s="43" t="str">
        <x:v>待确认</x:v>
      </x:c>
      <x:c r="K98" s="43" t="str">
        <x:v>发送</x:v>
      </x:c>
      <x:c r="L98" s="43" t="str">
        <x:v>发送时间/结果</x:v>
      </x:c>
      <x:c r="M98" s="43" t="str">
        <x:v>日期时间/状态</x:v>
      </x:c>
      <x:c r="N98" s="43" t="str"/>
      <x:c r="O98" s="43" t="str"/>
      <x:c r="P98" s="41" t="str">
        <x:v>待确认</x:v>
      </x:c>
    </x:row>
    <x:row r="99" ht="40" customHeight="1">
      <x:c r="A99" s="41" t="str">
        <x:v>FM13-01</x:v>
      </x:c>
      <x:c r="B99" s="41" t="str">
        <x:v>报价管理</x:v>
      </x:c>
      <x:c r="C99" s="41" t="str">
        <x:v>报价单/报价明细</x:v>
      </x:c>
      <x:c r="D99" s="41" t="str">
        <x:v>基本</x:v>
      </x:c>
      <x:c r="E99" s="41" t="str">
        <x:v>报价编号</x:v>
      </x:c>
      <x:c r="F99" s="41" t="str">
        <x:v>自动编号</x:v>
      </x:c>
      <x:c r="G99" s="41" t="str">
        <x:v>是</x:v>
      </x:c>
      <x:c r="H99" s="41" t="str">
        <x:v>类别/地区/流水规则</x:v>
      </x:c>
      <x:c r="I99" s="41" t="str">
        <x:v>原型/材料已定义</x:v>
      </x:c>
      <x:c r="J99" s="43" t="str">
        <x:v>待确认</x:v>
      </x:c>
      <x:c r="K99" s="43" t="str">
        <x:v>基本</x:v>
      </x:c>
      <x:c r="L99" s="43" t="str">
        <x:v>报价编号</x:v>
      </x:c>
      <x:c r="M99" s="43" t="str">
        <x:v>自动编号</x:v>
      </x:c>
      <x:c r="N99" s="43" t="str"/>
      <x:c r="O99" s="43" t="str"/>
      <x:c r="P99" s="41" t="str">
        <x:v>待确认</x:v>
      </x:c>
    </x:row>
    <x:row r="100" ht="40" customHeight="1">
      <x:c r="A100" s="41" t="str">
        <x:v>FM13-02</x:v>
      </x:c>
      <x:c r="B100" s="41" t="str">
        <x:v>报价管理</x:v>
      </x:c>
      <x:c r="C100" s="41" t="str">
        <x:v>报价单/报价明细</x:v>
      </x:c>
      <x:c r="D100" s="41" t="str">
        <x:v>基本</x:v>
      </x:c>
      <x:c r="E100" s="41" t="str">
        <x:v>报价标题/类别</x:v>
      </x:c>
      <x:c r="F100" s="41" t="str">
        <x:v>文本/字典</x:v>
      </x:c>
      <x:c r="G100" s="41" t="str">
        <x:v>是</x:v>
      </x:c>
      <x:c r="H100" s="41" t="str">
        <x:v>报价主题</x:v>
      </x:c>
      <x:c r="I100" s="41" t="str">
        <x:v>原型/材料已定义</x:v>
      </x:c>
      <x:c r="J100" s="43" t="str">
        <x:v>待确认</x:v>
      </x:c>
      <x:c r="K100" s="43" t="str">
        <x:v>基本</x:v>
      </x:c>
      <x:c r="L100" s="43" t="str">
        <x:v>报价标题/类别</x:v>
      </x:c>
      <x:c r="M100" s="43" t="str">
        <x:v>文本/字典</x:v>
      </x:c>
      <x:c r="N100" s="43" t="str"/>
      <x:c r="O100" s="43" t="str"/>
      <x:c r="P100" s="41" t="str">
        <x:v>待确认</x:v>
      </x:c>
    </x:row>
    <x:row r="101" ht="40" customHeight="1">
      <x:c r="A101" s="41" t="str">
        <x:v>FM13-03</x:v>
      </x:c>
      <x:c r="B101" s="41" t="str">
        <x:v>报价管理</x:v>
      </x:c>
      <x:c r="C101" s="41" t="str">
        <x:v>报价单/报价明细</x:v>
      </x:c>
      <x:c r="D101" s="41" t="str">
        <x:v>关联</x:v>
      </x:c>
      <x:c r="E101" s="41" t="str">
        <x:v>来源/CALL/SR/客户</x:v>
      </x:c>
      <x:c r="F101" s="41" t="str">
        <x:v>关联选择</x:v>
      </x:c>
      <x:c r="G101" s="41" t="str">
        <x:v>是</x:v>
      </x:c>
      <x:c r="H101" s="41" t="str">
        <x:v>业务来源</x:v>
      </x:c>
      <x:c r="I101" s="41" t="str">
        <x:v>原型/材料已定义</x:v>
      </x:c>
      <x:c r="J101" s="43" t="str">
        <x:v>待确认</x:v>
      </x:c>
      <x:c r="K101" s="43" t="str">
        <x:v>关联</x:v>
      </x:c>
      <x:c r="L101" s="43" t="str">
        <x:v>来源/CALL/SR/客户</x:v>
      </x:c>
      <x:c r="M101" s="43" t="str">
        <x:v>关联选择</x:v>
      </x:c>
      <x:c r="N101" s="43" t="str"/>
      <x:c r="O101" s="43" t="str"/>
      <x:c r="P101" s="41" t="str">
        <x:v>待确认</x:v>
      </x:c>
    </x:row>
    <x:row r="102" ht="40" customHeight="1">
      <x:c r="A102" s="41" t="str">
        <x:v>FM13-04</x:v>
      </x:c>
      <x:c r="B102" s="41" t="str">
        <x:v>报价管理</x:v>
      </x:c>
      <x:c r="C102" s="41" t="str">
        <x:v>报价单/报价明细</x:v>
      </x:c>
      <x:c r="D102" s="41" t="str">
        <x:v>人员</x:v>
      </x:c>
      <x:c r="E102" s="41" t="str">
        <x:v>报价负责人</x:v>
      </x:c>
      <x:c r="F102" s="41" t="str">
        <x:v>人员</x:v>
      </x:c>
      <x:c r="G102" s="41" t="str">
        <x:v>是</x:v>
      </x:c>
      <x:c r="H102" s="41" t="str">
        <x:v>报价组人员</x:v>
      </x:c>
      <x:c r="I102" s="41" t="str">
        <x:v>原型/材料已定义</x:v>
      </x:c>
      <x:c r="J102" s="43" t="str">
        <x:v>待确认</x:v>
      </x:c>
      <x:c r="K102" s="43" t="str">
        <x:v>人员</x:v>
      </x:c>
      <x:c r="L102" s="43" t="str">
        <x:v>报价负责人</x:v>
      </x:c>
      <x:c r="M102" s="43" t="str">
        <x:v>人员</x:v>
      </x:c>
      <x:c r="N102" s="43" t="str"/>
      <x:c r="O102" s="43" t="str"/>
      <x:c r="P102" s="41" t="str">
        <x:v>待确认</x:v>
      </x:c>
    </x:row>
    <x:row r="103" ht="40" customHeight="1">
      <x:c r="A103" s="41" t="str">
        <x:v>FM13-05</x:v>
      </x:c>
      <x:c r="B103" s="41" t="str">
        <x:v>报价管理</x:v>
      </x:c>
      <x:c r="C103" s="41" t="str">
        <x:v>报价单/报价明细</x:v>
      </x:c>
      <x:c r="D103" s="41" t="str">
        <x:v>日期</x:v>
      </x:c>
      <x:c r="E103" s="41" t="str">
        <x:v>报价日期/回覆截止/有效期</x:v>
      </x:c>
      <x:c r="F103" s="41" t="str">
        <x:v>日期</x:v>
      </x:c>
      <x:c r="G103" s="41" t="str">
        <x:v>是</x:v>
      </x:c>
      <x:c r="H103" s="41" t="str">
        <x:v>期限控制</x:v>
      </x:c>
      <x:c r="I103" s="41" t="str">
        <x:v>原型/材料已定义</x:v>
      </x:c>
      <x:c r="J103" s="43" t="str">
        <x:v>待确认</x:v>
      </x:c>
      <x:c r="K103" s="43" t="str">
        <x:v>日期</x:v>
      </x:c>
      <x:c r="L103" s="43" t="str">
        <x:v>报价日期/回覆截止/有效期</x:v>
      </x:c>
      <x:c r="M103" s="43" t="str">
        <x:v>日期</x:v>
      </x:c>
      <x:c r="N103" s="43" t="str"/>
      <x:c r="O103" s="43" t="str"/>
      <x:c r="P103" s="41" t="str">
        <x:v>待确认</x:v>
      </x:c>
    </x:row>
    <x:row r="104" ht="40" customHeight="1">
      <x:c r="A104" s="41" t="str">
        <x:v>FM13-06</x:v>
      </x:c>
      <x:c r="B104" s="41" t="str">
        <x:v>报价管理</x:v>
      </x:c>
      <x:c r="C104" s="41" t="str">
        <x:v>报价单/报价明细</x:v>
      </x:c>
      <x:c r="D104" s="41" t="str">
        <x:v>明细</x:v>
      </x:c>
      <x:c r="E104" s="41" t="str">
        <x:v>物料/描述/数量/单位</x:v>
      </x:c>
      <x:c r="F104" s="41" t="str">
        <x:v>明细表</x:v>
      </x:c>
      <x:c r="G104" s="41" t="str">
        <x:v>是</x:v>
      </x:c>
      <x:c r="H104" s="41" t="str">
        <x:v>报价项目</x:v>
      </x:c>
      <x:c r="I104" s="41" t="str">
        <x:v>原型/材料已定义</x:v>
      </x:c>
      <x:c r="J104" s="43" t="str">
        <x:v>待确认</x:v>
      </x:c>
      <x:c r="K104" s="43" t="str">
        <x:v>明细</x:v>
      </x:c>
      <x:c r="L104" s="43" t="str">
        <x:v>物料/描述/数量/单位</x:v>
      </x:c>
      <x:c r="M104" s="43" t="str">
        <x:v>明细表</x:v>
      </x:c>
      <x:c r="N104" s="43" t="str"/>
      <x:c r="O104" s="43" t="str"/>
      <x:c r="P104" s="41" t="str">
        <x:v>待确认</x:v>
      </x:c>
    </x:row>
    <x:row r="105" ht="40" customHeight="1">
      <x:c r="A105" s="41" t="str">
        <x:v>FM13-07</x:v>
      </x:c>
      <x:c r="B105" s="41" t="str">
        <x:v>报价管理</x:v>
      </x:c>
      <x:c r="C105" s="41" t="str">
        <x:v>报价单/报价明细</x:v>
      </x:c>
      <x:c r="D105" s="41" t="str">
        <x:v>金额</x:v>
      </x:c>
      <x:c r="E105" s="41" t="str">
        <x:v>单价/税率/总金额</x:v>
      </x:c>
      <x:c r="F105" s="41" t="str">
        <x:v>数字</x:v>
      </x:c>
      <x:c r="G105" s="41" t="str">
        <x:v>是</x:v>
      </x:c>
      <x:c r="H105" s="41" t="str">
        <x:v>自动汇总</x:v>
      </x:c>
      <x:c r="I105" s="41" t="str">
        <x:v>原型/材料已定义</x:v>
      </x:c>
      <x:c r="J105" s="43" t="str">
        <x:v>待确认</x:v>
      </x:c>
      <x:c r="K105" s="43" t="str">
        <x:v>金额</x:v>
      </x:c>
      <x:c r="L105" s="43" t="str">
        <x:v>单价/税率/总金额</x:v>
      </x:c>
      <x:c r="M105" s="43" t="str">
        <x:v>数字</x:v>
      </x:c>
      <x:c r="N105" s="43" t="str"/>
      <x:c r="O105" s="43" t="str"/>
      <x:c r="P105" s="41" t="str">
        <x:v>待确认</x:v>
      </x:c>
    </x:row>
    <x:row r="106" ht="40" customHeight="1">
      <x:c r="A106" s="41" t="str">
        <x:v>FM13-08</x:v>
      </x:c>
      <x:c r="B106" s="41" t="str">
        <x:v>报价管理</x:v>
      </x:c>
      <x:c r="C106" s="41" t="str">
        <x:v>报价单/报价明细</x:v>
      </x:c>
      <x:c r="D106" s="41" t="str">
        <x:v>参考</x:v>
      </x:c>
      <x:c r="E106" s="41" t="str">
        <x:v>历史成本/供应商</x:v>
      </x:c>
      <x:c r="F106" s="41" t="str">
        <x:v>参考信息</x:v>
      </x:c>
      <x:c r="G106" s="41" t="str">
        <x:v>否</x:v>
      </x:c>
      <x:c r="H106" s="41" t="str">
        <x:v>不锁库存</x:v>
      </x:c>
      <x:c r="I106" s="41" t="str">
        <x:v>原型/材料已定义</x:v>
      </x:c>
      <x:c r="J106" s="43" t="str">
        <x:v>待确认</x:v>
      </x:c>
      <x:c r="K106" s="43" t="str">
        <x:v>参考</x:v>
      </x:c>
      <x:c r="L106" s="43" t="str">
        <x:v>历史成本/供应商</x:v>
      </x:c>
      <x:c r="M106" s="43" t="str">
        <x:v>参考信息</x:v>
      </x:c>
      <x:c r="N106" s="43" t="str"/>
      <x:c r="O106" s="43" t="str"/>
      <x:c r="P106" s="41" t="str">
        <x:v>待确认</x:v>
      </x:c>
    </x:row>
    <x:row r="107" ht="40" customHeight="1">
      <x:c r="A107" s="41" t="str">
        <x:v>FM13-09</x:v>
      </x:c>
      <x:c r="B107" s="41" t="str">
        <x:v>报价管理</x:v>
      </x:c>
      <x:c r="C107" s="41" t="str">
        <x:v>报价单/报价明细</x:v>
      </x:c>
      <x:c r="D107" s="41" t="str">
        <x:v>状态</x:v>
      </x:c>
      <x:c r="E107" s="41" t="str">
        <x:v>报价状态/中单结果</x:v>
      </x:c>
      <x:c r="F107" s="41" t="str">
        <x:v>枚举</x:v>
      </x:c>
      <x:c r="G107" s="41" t="str">
        <x:v>是</x:v>
      </x:c>
      <x:c r="H107" s="41" t="str">
        <x:v>待报价、报价中、已中单、丢单</x:v>
      </x:c>
      <x:c r="I107" s="41" t="str">
        <x:v>原型/材料已定义</x:v>
      </x:c>
      <x:c r="J107" s="43" t="str">
        <x:v>待确认</x:v>
      </x:c>
      <x:c r="K107" s="43" t="str">
        <x:v>状态</x:v>
      </x:c>
      <x:c r="L107" s="43" t="str">
        <x:v>报价状态/中单结果</x:v>
      </x:c>
      <x:c r="M107" s="43" t="str">
        <x:v>枚举</x:v>
      </x:c>
      <x:c r="N107" s="43" t="str"/>
      <x:c r="O107" s="43" t="str"/>
      <x:c r="P107" s="41" t="str">
        <x:v>待确认</x:v>
      </x:c>
    </x:row>
    <x:row r="108" ht="40" customHeight="1">
      <x:c r="A108" s="41" t="str">
        <x:v>FM13-10</x:v>
      </x:c>
      <x:c r="B108" s="41" t="str">
        <x:v>报价管理</x:v>
      </x:c>
      <x:c r="C108" s="41" t="str">
        <x:v>报价单/报价明细</x:v>
      </x:c>
      <x:c r="D108" s="41" t="str">
        <x:v>版本</x:v>
      </x:c>
      <x:c r="E108" s="41" t="str">
        <x:v>版本/修订记录</x:v>
      </x:c>
      <x:c r="F108" s="41" t="str">
        <x:v>文本/记录</x:v>
      </x:c>
      <x:c r="G108" s="41" t="str">
        <x:v>否</x:v>
      </x:c>
      <x:c r="H108" s="41" t="str">
        <x:v>R1/R2等</x:v>
      </x:c>
      <x:c r="I108" s="41" t="str">
        <x:v>原型/材料已定义</x:v>
      </x:c>
      <x:c r="J108" s="43" t="str">
        <x:v>待确认</x:v>
      </x:c>
      <x:c r="K108" s="43" t="str">
        <x:v>版本</x:v>
      </x:c>
      <x:c r="L108" s="43" t="str">
        <x:v>版本/修订记录</x:v>
      </x:c>
      <x:c r="M108" s="43" t="str">
        <x:v>文本/记录</x:v>
      </x:c>
      <x:c r="N108" s="43" t="str"/>
      <x:c r="O108" s="43" t="str"/>
      <x:c r="P108" s="41" t="str">
        <x:v>待确认</x:v>
      </x:c>
    </x:row>
    <x:row r="109" ht="40" customHeight="1">
      <x:c r="A109" s="41" t="str">
        <x:v>FM13-11</x:v>
      </x:c>
      <x:c r="B109" s="41" t="str">
        <x:v>报价管理</x:v>
      </x:c>
      <x:c r="C109" s="41" t="str">
        <x:v>报价单/报价明细</x:v>
      </x:c>
      <x:c r="D109" s="41" t="str">
        <x:v>附件</x:v>
      </x:c>
      <x:c r="E109" s="41" t="str">
        <x:v>报价附件</x:v>
      </x:c>
      <x:c r="F109" s="41" t="str">
        <x:v>附件</x:v>
      </x:c>
      <x:c r="G109" s="41" t="str">
        <x:v>否</x:v>
      </x:c>
      <x:c r="H109" s="41" t="str">
        <x:v>PDF或客户资料</x:v>
      </x:c>
      <x:c r="I109" s="41" t="str">
        <x:v>原型/材料已定义</x:v>
      </x:c>
      <x:c r="J109" s="43" t="str">
        <x:v>待确认</x:v>
      </x:c>
      <x:c r="K109" s="43" t="str">
        <x:v>附件</x:v>
      </x:c>
      <x:c r="L109" s="43" t="str">
        <x:v>报价附件</x:v>
      </x:c>
      <x:c r="M109" s="43" t="str">
        <x:v>附件</x:v>
      </x:c>
      <x:c r="N109" s="43" t="str"/>
      <x:c r="O109" s="43" t="str"/>
      <x:c r="P109" s="41" t="str">
        <x:v>待确认</x:v>
      </x:c>
    </x:row>
    <x:row r="110" ht="40" customHeight="1">
      <x:c r="A110" s="41" t="str">
        <x:v>FM14-01</x:v>
      </x:c>
      <x:c r="B110" s="41" t="str">
        <x:v>标书管理</x:v>
      </x:c>
      <x:c r="C110" s="41" t="str">
        <x:v>标书表单</x:v>
      </x:c>
      <x:c r="D110" s="41" t="str">
        <x:v>基本</x:v>
      </x:c>
      <x:c r="E110" s="41" t="str">
        <x:v>标书编号/名称</x:v>
      </x:c>
      <x:c r="F110" s="41" t="str">
        <x:v>文本</x:v>
      </x:c>
      <x:c r="G110" s="41" t="str">
        <x:v>是</x:v>
      </x:c>
      <x:c r="H110" s="41" t="str">
        <x:v>标书识别</x:v>
      </x:c>
      <x:c r="I110" s="41" t="str">
        <x:v>原型/材料已定义</x:v>
      </x:c>
      <x:c r="J110" s="43" t="str">
        <x:v>待确认</x:v>
      </x:c>
      <x:c r="K110" s="43" t="str">
        <x:v>基本</x:v>
      </x:c>
      <x:c r="L110" s="43" t="str">
        <x:v>标书编号/名称</x:v>
      </x:c>
      <x:c r="M110" s="43" t="str">
        <x:v>文本</x:v>
      </x:c>
      <x:c r="N110" s="43" t="str"/>
      <x:c r="O110" s="43" t="str"/>
      <x:c r="P110" s="41" t="str">
        <x:v>待确认</x:v>
      </x:c>
    </x:row>
    <x:row r="111" ht="40" customHeight="1">
      <x:c r="A111" s="41" t="str">
        <x:v>FM14-02</x:v>
      </x:c>
      <x:c r="B111" s="41" t="str">
        <x:v>标书管理</x:v>
      </x:c>
      <x:c r="C111" s="41" t="str">
        <x:v>标书表单</x:v>
      </x:c>
      <x:c r="D111" s="41" t="str">
        <x:v>来源</x:v>
      </x:c>
      <x:c r="E111" s="41" t="str">
        <x:v>标书来源</x:v>
      </x:c>
      <x:c r="F111" s="41" t="str">
        <x:v>字典</x:v>
      </x:c>
      <x:c r="G111" s="41" t="str">
        <x:v>是</x:v>
      </x:c>
      <x:c r="H111" s="41" t="str">
        <x:v>主动/邀请等</x:v>
      </x:c>
      <x:c r="I111" s="41" t="str">
        <x:v>原型/材料已定义</x:v>
      </x:c>
      <x:c r="J111" s="43" t="str">
        <x:v>待确认</x:v>
      </x:c>
      <x:c r="K111" s="43" t="str">
        <x:v>来源</x:v>
      </x:c>
      <x:c r="L111" s="43" t="str">
        <x:v>标书来源</x:v>
      </x:c>
      <x:c r="M111" s="43" t="str">
        <x:v>字典</x:v>
      </x:c>
      <x:c r="N111" s="43" t="str"/>
      <x:c r="O111" s="43" t="str"/>
      <x:c r="P111" s="41" t="str">
        <x:v>待确认</x:v>
      </x:c>
    </x:row>
    <x:row r="112" ht="40" customHeight="1">
      <x:c r="A112" s="41" t="str">
        <x:v>FM14-03</x:v>
      </x:c>
      <x:c r="B112" s="41" t="str">
        <x:v>标书管理</x:v>
      </x:c>
      <x:c r="C112" s="41" t="str">
        <x:v>标书表单</x:v>
      </x:c>
      <x:c r="D112" s="41" t="str">
        <x:v>回标</x:v>
      </x:c>
      <x:c r="E112" s="41" t="str">
        <x:v>回标方式</x:v>
      </x:c>
      <x:c r="F112" s="41" t="str">
        <x:v>字典</x:v>
      </x:c>
      <x:c r="G112" s="41" t="str">
        <x:v>是</x:v>
      </x:c>
      <x:c r="H112" s="41" t="str">
        <x:v>邮件/平台/现场</x:v>
      </x:c>
      <x:c r="I112" s="41" t="str">
        <x:v>原型/材料已定义</x:v>
      </x:c>
      <x:c r="J112" s="43" t="str">
        <x:v>待确认</x:v>
      </x:c>
      <x:c r="K112" s="43" t="str">
        <x:v>回标</x:v>
      </x:c>
      <x:c r="L112" s="43" t="str">
        <x:v>回标方式</x:v>
      </x:c>
      <x:c r="M112" s="43" t="str">
        <x:v>字典</x:v>
      </x:c>
      <x:c r="N112" s="43" t="str"/>
      <x:c r="O112" s="43" t="str"/>
      <x:c r="P112" s="41" t="str">
        <x:v>待确认</x:v>
      </x:c>
    </x:row>
    <x:row r="113" ht="40" customHeight="1">
      <x:c r="A113" s="41" t="str">
        <x:v>FM14-04</x:v>
      </x:c>
      <x:c r="B113" s="41" t="str">
        <x:v>标书管理</x:v>
      </x:c>
      <x:c r="C113" s="41" t="str">
        <x:v>标书表单</x:v>
      </x:c>
      <x:c r="D113" s="41" t="str">
        <x:v>日期</x:v>
      </x:c>
      <x:c r="E113" s="41" t="str">
        <x:v>收到日期/截止日期</x:v>
      </x:c>
      <x:c r="F113" s="41" t="str">
        <x:v>日期时间</x:v>
      </x:c>
      <x:c r="G113" s="41" t="str">
        <x:v>是</x:v>
      </x:c>
      <x:c r="H113" s="41" t="str">
        <x:v>倒计时依据</x:v>
      </x:c>
      <x:c r="I113" s="41" t="str">
        <x:v>原型/材料已定义</x:v>
      </x:c>
      <x:c r="J113" s="43" t="str">
        <x:v>待确认</x:v>
      </x:c>
      <x:c r="K113" s="43" t="str">
        <x:v>日期</x:v>
      </x:c>
      <x:c r="L113" s="43" t="str">
        <x:v>收到日期/截止日期</x:v>
      </x:c>
      <x:c r="M113" s="43" t="str">
        <x:v>日期时间</x:v>
      </x:c>
      <x:c r="N113" s="43" t="str"/>
      <x:c r="O113" s="43" t="str"/>
      <x:c r="P113" s="41" t="str">
        <x:v>待确认</x:v>
      </x:c>
    </x:row>
    <x:row r="114" ht="40" customHeight="1">
      <x:c r="A114" s="41" t="str">
        <x:v>FM14-05</x:v>
      </x:c>
      <x:c r="B114" s="41" t="str">
        <x:v>标书管理</x:v>
      </x:c>
      <x:c r="C114" s="41" t="str">
        <x:v>标书表单</x:v>
      </x:c>
      <x:c r="D114" s="41" t="str">
        <x:v>人员</x:v>
      </x:c>
      <x:c r="E114" s="41" t="str">
        <x:v>负责人</x:v>
      </x:c>
      <x:c r="F114" s="41" t="str">
        <x:v>人员</x:v>
      </x:c>
      <x:c r="G114" s="41" t="str">
        <x:v>是</x:v>
      </x:c>
      <x:c r="H114" s="41" t="str">
        <x:v>标书组</x:v>
      </x:c>
      <x:c r="I114" s="41" t="str">
        <x:v>原型/材料已定义</x:v>
      </x:c>
      <x:c r="J114" s="43" t="str">
        <x:v>待确认</x:v>
      </x:c>
      <x:c r="K114" s="43" t="str">
        <x:v>人员</x:v>
      </x:c>
      <x:c r="L114" s="43" t="str">
        <x:v>负责人</x:v>
      </x:c>
      <x:c r="M114" s="43" t="str">
        <x:v>人员</x:v>
      </x:c>
      <x:c r="N114" s="43" t="str"/>
      <x:c r="O114" s="43" t="str"/>
      <x:c r="P114" s="41" t="str">
        <x:v>待确认</x:v>
      </x:c>
    </x:row>
    <x:row r="115" ht="40" customHeight="1">
      <x:c r="A115" s="41" t="str">
        <x:v>FM14-06</x:v>
      </x:c>
      <x:c r="B115" s="41" t="str">
        <x:v>标书管理</x:v>
      </x:c>
      <x:c r="C115" s="41" t="str">
        <x:v>标书表单</x:v>
      </x:c>
      <x:c r="D115" s="41" t="str">
        <x:v>状态</x:v>
      </x:c>
      <x:c r="E115" s="41" t="str">
        <x:v>投标状态/中标结果</x:v>
      </x:c>
      <x:c r="F115" s="41" t="str">
        <x:v>枚举</x:v>
      </x:c>
      <x:c r="G115" s="41" t="str">
        <x:v>是</x:v>
      </x:c>
      <x:c r="H115" s="41" t="str">
        <x:v>待投标/不投标/已中标/未中标</x:v>
      </x:c>
      <x:c r="I115" s="41" t="str">
        <x:v>原型/材料已定义</x:v>
      </x:c>
      <x:c r="J115" s="43" t="str">
        <x:v>待确认</x:v>
      </x:c>
      <x:c r="K115" s="43" t="str">
        <x:v>状态</x:v>
      </x:c>
      <x:c r="L115" s="43" t="str">
        <x:v>投标状态/中标结果</x:v>
      </x:c>
      <x:c r="M115" s="43" t="str">
        <x:v>枚举</x:v>
      </x:c>
      <x:c r="N115" s="43" t="str"/>
      <x:c r="O115" s="43" t="str"/>
      <x:c r="P115" s="41" t="str">
        <x:v>待确认</x:v>
      </x:c>
    </x:row>
    <x:row r="116" ht="40" customHeight="1">
      <x:c r="A116" s="41" t="str">
        <x:v>FM14-07</x:v>
      </x:c>
      <x:c r="B116" s="41" t="str">
        <x:v>标书管理</x:v>
      </x:c>
      <x:c r="C116" s="41" t="str">
        <x:v>标书表单</x:v>
      </x:c>
      <x:c r="D116" s="41" t="str">
        <x:v>附件</x:v>
      </x:c>
      <x:c r="E116" s="41" t="str">
        <x:v>招标文件/往来资料</x:v>
      </x:c>
      <x:c r="F116" s="41" t="str">
        <x:v>附件</x:v>
      </x:c>
      <x:c r="G116" s="41" t="str">
        <x:v>否</x:v>
      </x:c>
      <x:c r="H116" s="41" t="str">
        <x:v>文件管理</x:v>
      </x:c>
      <x:c r="I116" s="41" t="str">
        <x:v>原型/材料已定义</x:v>
      </x:c>
      <x:c r="J116" s="43" t="str">
        <x:v>待确认</x:v>
      </x:c>
      <x:c r="K116" s="43" t="str">
        <x:v>附件</x:v>
      </x:c>
      <x:c r="L116" s="43" t="str">
        <x:v>招标文件/往来资料</x:v>
      </x:c>
      <x:c r="M116" s="43" t="str">
        <x:v>附件</x:v>
      </x:c>
      <x:c r="N116" s="43" t="str"/>
      <x:c r="O116" s="43" t="str"/>
      <x:c r="P116" s="41" t="str">
        <x:v>待确认</x:v>
      </x:c>
    </x:row>
    <x:row r="117" ht="40" customHeight="1">
      <x:c r="A117" s="41" t="str">
        <x:v>FM14-08</x:v>
      </x:c>
      <x:c r="B117" s="41" t="str">
        <x:v>标书管理</x:v>
      </x:c>
      <x:c r="C117" s="41" t="str">
        <x:v>标书表单</x:v>
      </x:c>
      <x:c r="D117" s="41" t="str">
        <x:v>备注</x:v>
      </x:c>
      <x:c r="E117" s="41" t="str">
        <x:v>内部备注</x:v>
      </x:c>
      <x:c r="F117" s="41" t="str">
        <x:v>多行文本</x:v>
      </x:c>
      <x:c r="G117" s="41" t="str">
        <x:v>否</x:v>
      </x:c>
      <x:c r="H117" s="41" t="str">
        <x:v>内部协同</x:v>
      </x:c>
      <x:c r="I117" s="41" t="str">
        <x:v>原型/材料已定义</x:v>
      </x:c>
      <x:c r="J117" s="43" t="str">
        <x:v>待确认</x:v>
      </x:c>
      <x:c r="K117" s="43" t="str">
        <x:v>备注</x:v>
      </x:c>
      <x:c r="L117" s="43" t="str">
        <x:v>内部备注</x:v>
      </x:c>
      <x:c r="M117" s="43" t="str">
        <x:v>多行文本</x:v>
      </x:c>
      <x:c r="N117" s="43" t="str"/>
      <x:c r="O117" s="43" t="str"/>
      <x:c r="P117" s="41" t="str">
        <x:v>待确认</x:v>
      </x:c>
    </x:row>
    <x:row r="118" ht="40" customHeight="1">
      <x:c r="A118" s="41" t="str">
        <x:v>FM15-01</x:v>
      </x:c>
      <x:c r="B118" s="41" t="str">
        <x:v>标书管理</x:v>
      </x:c>
      <x:c r="C118" s="41" t="str">
        <x:v>标书师傅排程</x:v>
      </x:c>
      <x:c r="D118" s="41" t="str">
        <x:v>关联</x:v>
      </x:c>
      <x:c r="E118" s="41" t="str">
        <x:v>标书</x:v>
      </x:c>
      <x:c r="F118" s="41" t="str">
        <x:v>关联选择</x:v>
      </x:c>
      <x:c r="G118" s="41" t="str">
        <x:v>是</x:v>
      </x:c>
      <x:c r="H118" s="41" t="str">
        <x:v>关联标书</x:v>
      </x:c>
      <x:c r="I118" s="41" t="str">
        <x:v>原型/材料已定义</x:v>
      </x:c>
      <x:c r="J118" s="43" t="str">
        <x:v>待确认</x:v>
      </x:c>
      <x:c r="K118" s="43" t="str">
        <x:v>关联</x:v>
      </x:c>
      <x:c r="L118" s="43" t="str">
        <x:v>标书</x:v>
      </x:c>
      <x:c r="M118" s="43" t="str">
        <x:v>关联选择</x:v>
      </x:c>
      <x:c r="N118" s="43" t="str"/>
      <x:c r="O118" s="43" t="str"/>
      <x:c r="P118" s="41" t="str">
        <x:v>待确认</x:v>
      </x:c>
    </x:row>
    <x:row r="119" ht="40" customHeight="1">
      <x:c r="A119" s="41" t="str">
        <x:v>FM15-02</x:v>
      </x:c>
      <x:c r="B119" s="41" t="str">
        <x:v>标书管理</x:v>
      </x:c>
      <x:c r="C119" s="41" t="str">
        <x:v>标书师傅排程</x:v>
      </x:c>
      <x:c r="D119" s="41" t="str">
        <x:v>人员</x:v>
      </x:c>
      <x:c r="E119" s="41" t="str">
        <x:v>师傅</x:v>
      </x:c>
      <x:c r="F119" s="41" t="str">
        <x:v>人员</x:v>
      </x:c>
      <x:c r="G119" s="41" t="str">
        <x:v>是</x:v>
      </x:c>
      <x:c r="H119" s="41" t="str">
        <x:v>按区域/技能筛选</x:v>
      </x:c>
      <x:c r="I119" s="41" t="str">
        <x:v>原型/材料已定义</x:v>
      </x:c>
      <x:c r="J119" s="43" t="str">
        <x:v>待确认</x:v>
      </x:c>
      <x:c r="K119" s="43" t="str">
        <x:v>人员</x:v>
      </x:c>
      <x:c r="L119" s="43" t="str">
        <x:v>师傅</x:v>
      </x:c>
      <x:c r="M119" s="43" t="str">
        <x:v>人员</x:v>
      </x:c>
      <x:c r="N119" s="43" t="str"/>
      <x:c r="O119" s="43" t="str"/>
      <x:c r="P119" s="41" t="str">
        <x:v>待确认</x:v>
      </x:c>
    </x:row>
    <x:row r="120" ht="40" customHeight="1">
      <x:c r="A120" s="41" t="str">
        <x:v>FM15-03</x:v>
      </x:c>
      <x:c r="B120" s="41" t="str">
        <x:v>标书管理</x:v>
      </x:c>
      <x:c r="C120" s="41" t="str">
        <x:v>标书师傅排程</x:v>
      </x:c>
      <x:c r="D120" s="41" t="str">
        <x:v>排程</x:v>
      </x:c>
      <x:c r="E120" s="41" t="str">
        <x:v>开始/结束日期</x:v>
      </x:c>
      <x:c r="F120" s="41" t="str">
        <x:v>日期</x:v>
      </x:c>
      <x:c r="G120" s="41" t="str">
        <x:v>是</x:v>
      </x:c>
      <x:c r="H120" s="41" t="str">
        <x:v>排程范围</x:v>
      </x:c>
      <x:c r="I120" s="41" t="str">
        <x:v>原型/材料已定义</x:v>
      </x:c>
      <x:c r="J120" s="43" t="str">
        <x:v>待确认</x:v>
      </x:c>
      <x:c r="K120" s="43" t="str">
        <x:v>排程</x:v>
      </x:c>
      <x:c r="L120" s="43" t="str">
        <x:v>开始/结束日期</x:v>
      </x:c>
      <x:c r="M120" s="43" t="str">
        <x:v>日期</x:v>
      </x:c>
      <x:c r="N120" s="43" t="str"/>
      <x:c r="O120" s="43" t="str"/>
      <x:c r="P120" s="41" t="str">
        <x:v>待确认</x:v>
      </x:c>
    </x:row>
    <x:row r="121" ht="40" customHeight="1">
      <x:c r="A121" s="41" t="str">
        <x:v>FM15-04</x:v>
      </x:c>
      <x:c r="B121" s="41" t="str">
        <x:v>标书管理</x:v>
      </x:c>
      <x:c r="C121" s="41" t="str">
        <x:v>标书师傅排程</x:v>
      </x:c>
      <x:c r="D121" s="41" t="str">
        <x:v>排程</x:v>
      </x:c>
      <x:c r="E121" s="41" t="str">
        <x:v>重复周期</x:v>
      </x:c>
      <x:c r="F121" s="41" t="str">
        <x:v>枚举</x:v>
      </x:c>
      <x:c r="G121" s="41" t="str">
        <x:v>否</x:v>
      </x:c>
      <x:c r="H121" s="41" t="str">
        <x:v>不重复/周/月</x:v>
      </x:c>
      <x:c r="I121" s="41" t="str">
        <x:v>原型/材料已定义</x:v>
      </x:c>
      <x:c r="J121" s="43" t="str">
        <x:v>待确认</x:v>
      </x:c>
      <x:c r="K121" s="43" t="str">
        <x:v>排程</x:v>
      </x:c>
      <x:c r="L121" s="43" t="str">
        <x:v>重复周期</x:v>
      </x:c>
      <x:c r="M121" s="43" t="str">
        <x:v>枚举</x:v>
      </x:c>
      <x:c r="N121" s="43" t="str"/>
      <x:c r="O121" s="43" t="str"/>
      <x:c r="P121" s="41" t="str">
        <x:v>待确认</x:v>
      </x:c>
    </x:row>
    <x:row r="122" ht="40" customHeight="1">
      <x:c r="A122" s="41" t="str">
        <x:v>FM15-05</x:v>
      </x:c>
      <x:c r="B122" s="41" t="str">
        <x:v>标书管理</x:v>
      </x:c>
      <x:c r="C122" s="41" t="str">
        <x:v>标书师傅排程</x:v>
      </x:c>
      <x:c r="D122" s="41" t="str">
        <x:v>排程</x:v>
      </x:c>
      <x:c r="E122" s="41" t="str">
        <x:v>备注</x:v>
      </x:c>
      <x:c r="F122" s="41" t="str">
        <x:v>多行文本</x:v>
      </x:c>
      <x:c r="G122" s="41" t="str">
        <x:v>否</x:v>
      </x:c>
      <x:c r="H122" s="41" t="str">
        <x:v>安排说明</x:v>
      </x:c>
      <x:c r="I122" s="41" t="str">
        <x:v>原型/材料已定义</x:v>
      </x:c>
      <x:c r="J122" s="43" t="str">
        <x:v>待确认</x:v>
      </x:c>
      <x:c r="K122" s="43" t="str">
        <x:v>排程</x:v>
      </x:c>
      <x:c r="L122" s="43" t="str">
        <x:v>备注</x:v>
      </x:c>
      <x:c r="M122" s="43" t="str">
        <x:v>多行文本</x:v>
      </x:c>
      <x:c r="N122" s="43" t="str"/>
      <x:c r="O122" s="43" t="str"/>
      <x:c r="P122" s="41" t="str">
        <x:v>待确认</x:v>
      </x:c>
    </x:row>
    <x:row r="123" ht="40" customHeight="1">
      <x:c r="A123" s="41" t="str">
        <x:v>FM16-01</x:v>
      </x:c>
      <x:c r="B123" s="41" t="str">
        <x:v>备货与采购</x:v>
      </x:c>
      <x:c r="C123" s="41" t="str">
        <x:v>备货单/采购单</x:v>
      </x:c>
      <x:c r="D123" s="41" t="str">
        <x:v>备货</x:v>
      </x:c>
      <x:c r="E123" s="41" t="str">
        <x:v>备货单编号</x:v>
      </x:c>
      <x:c r="F123" s="41" t="str">
        <x:v>自动编号</x:v>
      </x:c>
      <x:c r="G123" s="41" t="str">
        <x:v>是</x:v>
      </x:c>
      <x:c r="H123" s="41" t="str">
        <x:v>中单报价唯一触发</x:v>
      </x:c>
      <x:c r="I123" s="41" t="str">
        <x:v>原型/材料已定义</x:v>
      </x:c>
      <x:c r="J123" s="43" t="str">
        <x:v>待确认</x:v>
      </x:c>
      <x:c r="K123" s="43" t="str">
        <x:v>备货</x:v>
      </x:c>
      <x:c r="L123" s="43" t="str">
        <x:v>备货单编号</x:v>
      </x:c>
      <x:c r="M123" s="43" t="str">
        <x:v>自动编号</x:v>
      </x:c>
      <x:c r="N123" s="43" t="str"/>
      <x:c r="O123" s="43" t="str"/>
      <x:c r="P123" s="41" t="str">
        <x:v>待确认</x:v>
      </x:c>
    </x:row>
    <x:row r="124" ht="40" customHeight="1">
      <x:c r="A124" s="41" t="str">
        <x:v>FM16-02</x:v>
      </x:c>
      <x:c r="B124" s="41" t="str">
        <x:v>备货与采购</x:v>
      </x:c>
      <x:c r="C124" s="41" t="str">
        <x:v>备货单/采购单</x:v>
      </x:c>
      <x:c r="D124" s="41" t="str">
        <x:v>关联</x:v>
      </x:c>
      <x:c r="E124" s="41" t="str">
        <x:v>报价/CALL/客户</x:v>
      </x:c>
      <x:c r="F124" s="41" t="str">
        <x:v>关联</x:v>
      </x:c>
      <x:c r="G124" s="41" t="str">
        <x:v>是</x:v>
      </x:c>
      <x:c r="H124" s="41" t="str">
        <x:v>来源业务</x:v>
      </x:c>
      <x:c r="I124" s="41" t="str">
        <x:v>原型/材料已定义</x:v>
      </x:c>
      <x:c r="J124" s="43" t="str">
        <x:v>待确认</x:v>
      </x:c>
      <x:c r="K124" s="43" t="str">
        <x:v>关联</x:v>
      </x:c>
      <x:c r="L124" s="43" t="str">
        <x:v>报价/CALL/客户</x:v>
      </x:c>
      <x:c r="M124" s="43" t="str">
        <x:v>关联</x:v>
      </x:c>
      <x:c r="N124" s="43" t="str"/>
      <x:c r="O124" s="43" t="str"/>
      <x:c r="P124" s="41" t="str">
        <x:v>待确认</x:v>
      </x:c>
    </x:row>
    <x:row r="125" ht="40" customHeight="1">
      <x:c r="A125" s="41" t="str">
        <x:v>FM16-03</x:v>
      </x:c>
      <x:c r="B125" s="41" t="str">
        <x:v>备货与采购</x:v>
      </x:c>
      <x:c r="C125" s="41" t="str">
        <x:v>备货单/采购单</x:v>
      </x:c>
      <x:c r="D125" s="41" t="str">
        <x:v>采购</x:v>
      </x:c>
      <x:c r="E125" s="41" t="str">
        <x:v>采购单编号</x:v>
      </x:c>
      <x:c r="F125" s="41" t="str">
        <x:v>自动/文本</x:v>
      </x:c>
      <x:c r="G125" s="41" t="str">
        <x:v>是</x:v>
      </x:c>
      <x:c r="H125" s="41" t="str">
        <x:v>可按供应商拆单</x:v>
      </x:c>
      <x:c r="I125" s="41" t="str">
        <x:v>原型/材料已定义</x:v>
      </x:c>
      <x:c r="J125" s="43" t="str">
        <x:v>待确认</x:v>
      </x:c>
      <x:c r="K125" s="43" t="str">
        <x:v>采购</x:v>
      </x:c>
      <x:c r="L125" s="43" t="str">
        <x:v>采购单编号</x:v>
      </x:c>
      <x:c r="M125" s="43" t="str">
        <x:v>自动/文本</x:v>
      </x:c>
      <x:c r="N125" s="43" t="str"/>
      <x:c r="O125" s="43" t="str"/>
      <x:c r="P125" s="41" t="str">
        <x:v>待确认</x:v>
      </x:c>
    </x:row>
    <x:row r="126" ht="40" customHeight="1">
      <x:c r="A126" s="41" t="str">
        <x:v>FM16-04</x:v>
      </x:c>
      <x:c r="B126" s="41" t="str">
        <x:v>备货与采购</x:v>
      </x:c>
      <x:c r="C126" s="41" t="str">
        <x:v>备货单/采购单</x:v>
      </x:c>
      <x:c r="D126" s="41" t="str">
        <x:v>采购</x:v>
      </x:c>
      <x:c r="E126" s="41" t="str">
        <x:v>供应商</x:v>
      </x:c>
      <x:c r="F126" s="41" t="str">
        <x:v>关联选择</x:v>
      </x:c>
      <x:c r="G126" s="41" t="str">
        <x:v>是</x:v>
      </x:c>
      <x:c r="H126" s="41" t="str">
        <x:v>供应商主数据</x:v>
      </x:c>
      <x:c r="I126" s="41" t="str">
        <x:v>原型/材料已定义</x:v>
      </x:c>
      <x:c r="J126" s="43" t="str">
        <x:v>待确认</x:v>
      </x:c>
      <x:c r="K126" s="43" t="str">
        <x:v>采购</x:v>
      </x:c>
      <x:c r="L126" s="43" t="str">
        <x:v>供应商</x:v>
      </x:c>
      <x:c r="M126" s="43" t="str">
        <x:v>关联选择</x:v>
      </x:c>
      <x:c r="N126" s="43" t="str"/>
      <x:c r="O126" s="43" t="str"/>
      <x:c r="P126" s="41" t="str">
        <x:v>待确认</x:v>
      </x:c>
    </x:row>
    <x:row r="127" ht="40" customHeight="1">
      <x:c r="A127" s="41" t="str">
        <x:v>FM16-05</x:v>
      </x:c>
      <x:c r="B127" s="41" t="str">
        <x:v>备货与采购</x:v>
      </x:c>
      <x:c r="C127" s="41" t="str">
        <x:v>备货单/采购单</x:v>
      </x:c>
      <x:c r="D127" s="41" t="str">
        <x:v>明细</x:v>
      </x:c>
      <x:c r="E127" s="41" t="str">
        <x:v>物料/数量/单位</x:v>
      </x:c>
      <x:c r="F127" s="41" t="str">
        <x:v>明细表</x:v>
      </x:c>
      <x:c r="G127" s="41" t="str">
        <x:v>是</x:v>
      </x:c>
      <x:c r="H127" s="41" t="str">
        <x:v>采购明细</x:v>
      </x:c>
      <x:c r="I127" s="41" t="str">
        <x:v>原型/材料已定义</x:v>
      </x:c>
      <x:c r="J127" s="43" t="str">
        <x:v>待确认</x:v>
      </x:c>
      <x:c r="K127" s="43" t="str">
        <x:v>明细</x:v>
      </x:c>
      <x:c r="L127" s="43" t="str">
        <x:v>物料/数量/单位</x:v>
      </x:c>
      <x:c r="M127" s="43" t="str">
        <x:v>明细表</x:v>
      </x:c>
      <x:c r="N127" s="43" t="str"/>
      <x:c r="O127" s="43" t="str"/>
      <x:c r="P127" s="41" t="str">
        <x:v>待确认</x:v>
      </x:c>
    </x:row>
    <x:row r="128" ht="40" customHeight="1">
      <x:c r="A128" s="41" t="str">
        <x:v>FM16-06</x:v>
      </x:c>
      <x:c r="B128" s="41" t="str">
        <x:v>备货与采购</x:v>
      </x:c>
      <x:c r="C128" s="41" t="str">
        <x:v>备货单/采购单</x:v>
      </x:c>
      <x:c r="D128" s="41" t="str">
        <x:v>日期</x:v>
      </x:c>
      <x:c r="E128" s="41" t="str">
        <x:v>预计/实际到货</x:v>
      </x:c>
      <x:c r="F128" s="41" t="str">
        <x:v>日期</x:v>
      </x:c>
      <x:c r="G128" s="41" t="str">
        <x:v>否</x:v>
      </x:c>
      <x:c r="H128" s="41" t="str">
        <x:v>进度跟踪</x:v>
      </x:c>
      <x:c r="I128" s="41" t="str">
        <x:v>原型/材料已定义</x:v>
      </x:c>
      <x:c r="J128" s="43" t="str">
        <x:v>待确认</x:v>
      </x:c>
      <x:c r="K128" s="43" t="str">
        <x:v>日期</x:v>
      </x:c>
      <x:c r="L128" s="43" t="str">
        <x:v>预计/实际到货</x:v>
      </x:c>
      <x:c r="M128" s="43" t="str">
        <x:v>日期</x:v>
      </x:c>
      <x:c r="N128" s="43" t="str"/>
      <x:c r="O128" s="43" t="str"/>
      <x:c r="P128" s="41" t="str">
        <x:v>待确认</x:v>
      </x:c>
    </x:row>
    <x:row r="129" ht="40" customHeight="1">
      <x:c r="A129" s="41" t="str">
        <x:v>FM16-07</x:v>
      </x:c>
      <x:c r="B129" s="41" t="str">
        <x:v>备货与采购</x:v>
      </x:c>
      <x:c r="C129" s="41" t="str">
        <x:v>备货单/采购单</x:v>
      </x:c>
      <x:c r="D129" s="41" t="str">
        <x:v>状态</x:v>
      </x:c>
      <x:c r="E129" s="41" t="str">
        <x:v>采购状态</x:v>
      </x:c>
      <x:c r="F129" s="41" t="str">
        <x:v>枚举</x:v>
      </x:c>
      <x:c r="G129" s="41" t="str">
        <x:v>是</x:v>
      </x:c>
      <x:c r="H129" s="41" t="str">
        <x:v>待下单/已下单/已发货/到货/验收</x:v>
      </x:c>
      <x:c r="I129" s="41" t="str">
        <x:v>原型/材料已定义</x:v>
      </x:c>
      <x:c r="J129" s="43" t="str">
        <x:v>待确认</x:v>
      </x:c>
      <x:c r="K129" s="43" t="str">
        <x:v>状态</x:v>
      </x:c>
      <x:c r="L129" s="43" t="str">
        <x:v>采购状态</x:v>
      </x:c>
      <x:c r="M129" s="43" t="str">
        <x:v>枚举</x:v>
      </x:c>
      <x:c r="N129" s="43" t="str"/>
      <x:c r="O129" s="43" t="str"/>
      <x:c r="P129" s="41" t="str">
        <x:v>待确认</x:v>
      </x:c>
    </x:row>
    <x:row r="130" ht="40" customHeight="1">
      <x:c r="A130" s="41" t="str">
        <x:v>FM16-08</x:v>
      </x:c>
      <x:c r="B130" s="41" t="str">
        <x:v>备货与采购</x:v>
      </x:c>
      <x:c r="C130" s="41" t="str">
        <x:v>备货单/采购单</x:v>
      </x:c>
      <x:c r="D130" s="41" t="str">
        <x:v>联动</x:v>
      </x:c>
      <x:c r="E130" s="41" t="str">
        <x:v>验收后建CALL</x:v>
      </x:c>
      <x:c r="F130" s="41" t="str">
        <x:v>布尔</x:v>
      </x:c>
      <x:c r="G130" s="41" t="str">
        <x:v>否</x:v>
      </x:c>
      <x:c r="H130" s="41" t="str">
        <x:v>客户确认后启用</x:v>
      </x:c>
      <x:c r="I130" s="41" t="str">
        <x:v>原型/材料已定义</x:v>
      </x:c>
      <x:c r="J130" s="43" t="str">
        <x:v>待确认</x:v>
      </x:c>
      <x:c r="K130" s="43" t="str">
        <x:v>联动</x:v>
      </x:c>
      <x:c r="L130" s="43" t="str">
        <x:v>验收后建CALL</x:v>
      </x:c>
      <x:c r="M130" s="43" t="str">
        <x:v>布尔</x:v>
      </x:c>
      <x:c r="N130" s="43" t="str"/>
      <x:c r="O130" s="43" t="str"/>
      <x:c r="P130" s="41" t="str">
        <x:v>待确认</x:v>
      </x:c>
    </x:row>
    <x:row r="131" ht="40" customHeight="1">
      <x:c r="A131" s="41" t="str">
        <x:v>FM17-01</x:v>
      </x:c>
      <x:c r="B131" s="41" t="str">
        <x:v>备货与采购</x:v>
      </x:c>
      <x:c r="C131" s="41" t="str">
        <x:v>供应商档案</x:v>
      </x:c>
      <x:c r="D131" s="41" t="str">
        <x:v>基本</x:v>
      </x:c>
      <x:c r="E131" s="41" t="str">
        <x:v>供应商编号/名称</x:v>
      </x:c>
      <x:c r="F131" s="41" t="str">
        <x:v>文本</x:v>
      </x:c>
      <x:c r="G131" s="41" t="str">
        <x:v>是</x:v>
      </x:c>
      <x:c r="H131" s="41" t="str">
        <x:v>供应商主键</x:v>
      </x:c>
      <x:c r="I131" s="41" t="str">
        <x:v>原型/材料已定义</x:v>
      </x:c>
      <x:c r="J131" s="43" t="str">
        <x:v>待确认</x:v>
      </x:c>
      <x:c r="K131" s="43" t="str">
        <x:v>基本</x:v>
      </x:c>
      <x:c r="L131" s="43" t="str">
        <x:v>供应商编号/名称</x:v>
      </x:c>
      <x:c r="M131" s="43" t="str">
        <x:v>文本</x:v>
      </x:c>
      <x:c r="N131" s="43" t="str"/>
      <x:c r="O131" s="43" t="str"/>
      <x:c r="P131" s="41" t="str">
        <x:v>待确认</x:v>
      </x:c>
    </x:row>
    <x:row r="132" ht="40" customHeight="1">
      <x:c r="A132" s="41" t="str">
        <x:v>FM17-02</x:v>
      </x:c>
      <x:c r="B132" s="41" t="str">
        <x:v>备货与采购</x:v>
      </x:c>
      <x:c r="C132" s="41" t="str">
        <x:v>供应商档案</x:v>
      </x:c>
      <x:c r="D132" s="41" t="str">
        <x:v>联系</x:v>
      </x:c>
      <x:c r="E132" s="41" t="str">
        <x:v>联系人/电话/邮箱</x:v>
      </x:c>
      <x:c r="F132" s="41" t="str">
        <x:v>文本</x:v>
      </x:c>
      <x:c r="G132" s="41" t="str">
        <x:v>否</x:v>
      </x:c>
      <x:c r="H132" s="41" t="str">
        <x:v>采购联络</x:v>
      </x:c>
      <x:c r="I132" s="41" t="str">
        <x:v>原型/材料已定义</x:v>
      </x:c>
      <x:c r="J132" s="43" t="str">
        <x:v>待确认</x:v>
      </x:c>
      <x:c r="K132" s="43" t="str">
        <x:v>联系</x:v>
      </x:c>
      <x:c r="L132" s="43" t="str">
        <x:v>联系人/电话/邮箱</x:v>
      </x:c>
      <x:c r="M132" s="43" t="str">
        <x:v>文本</x:v>
      </x:c>
      <x:c r="N132" s="43" t="str"/>
      <x:c r="O132" s="43" t="str"/>
      <x:c r="P132" s="41" t="str">
        <x:v>待确认</x:v>
      </x:c>
    </x:row>
    <x:row r="133" ht="40" customHeight="1">
      <x:c r="A133" s="41" t="str">
        <x:v>FM17-03</x:v>
      </x:c>
      <x:c r="B133" s="41" t="str">
        <x:v>备货与采购</x:v>
      </x:c>
      <x:c r="C133" s="41" t="str">
        <x:v>供应商档案</x:v>
      </x:c>
      <x:c r="D133" s="41" t="str">
        <x:v>业务</x:v>
      </x:c>
      <x:c r="E133" s="41" t="str">
        <x:v>供应类别</x:v>
      </x:c>
      <x:c r="F133" s="41" t="str">
        <x:v>字典</x:v>
      </x:c>
      <x:c r="G133" s="41" t="str">
        <x:v>否</x:v>
      </x:c>
      <x:c r="H133" s="41" t="str">
        <x:v>物料/服务范围</x:v>
      </x:c>
      <x:c r="I133" s="41" t="str">
        <x:v>原型/材料已定义</x:v>
      </x:c>
      <x:c r="J133" s="43" t="str">
        <x:v>待确认</x:v>
      </x:c>
      <x:c r="K133" s="43" t="str">
        <x:v>业务</x:v>
      </x:c>
      <x:c r="L133" s="43" t="str">
        <x:v>供应类别</x:v>
      </x:c>
      <x:c r="M133" s="43" t="str">
        <x:v>字典</x:v>
      </x:c>
      <x:c r="N133" s="43" t="str"/>
      <x:c r="O133" s="43" t="str"/>
      <x:c r="P133" s="41" t="str">
        <x:v>待确认</x:v>
      </x:c>
    </x:row>
    <x:row r="134" ht="40" customHeight="1">
      <x:c r="A134" s="41" t="str">
        <x:v>FM17-04</x:v>
      </x:c>
      <x:c r="B134" s="41" t="str">
        <x:v>备货与采购</x:v>
      </x:c>
      <x:c r="C134" s="41" t="str">
        <x:v>供应商档案</x:v>
      </x:c>
      <x:c r="D134" s="41" t="str">
        <x:v>业务</x:v>
      </x:c>
      <x:c r="E134" s="41" t="str">
        <x:v>合作状态</x:v>
      </x:c>
      <x:c r="F134" s="41" t="str">
        <x:v>枚举</x:v>
      </x:c>
      <x:c r="G134" s="41" t="str">
        <x:v>是</x:v>
      </x:c>
      <x:c r="H134" s="41" t="str">
        <x:v>合作中/暂停/停用</x:v>
      </x:c>
      <x:c r="I134" s="41" t="str">
        <x:v>原型/材料已定义</x:v>
      </x:c>
      <x:c r="J134" s="43" t="str">
        <x:v>待确认</x:v>
      </x:c>
      <x:c r="K134" s="43" t="str">
        <x:v>业务</x:v>
      </x:c>
      <x:c r="L134" s="43" t="str">
        <x:v>合作状态</x:v>
      </x:c>
      <x:c r="M134" s="43" t="str">
        <x:v>枚举</x:v>
      </x:c>
      <x:c r="N134" s="43" t="str"/>
      <x:c r="O134" s="43" t="str"/>
      <x:c r="P134" s="41" t="str">
        <x:v>待确认</x:v>
      </x:c>
    </x:row>
    <x:row r="135" ht="40" customHeight="1">
      <x:c r="A135" s="41" t="str">
        <x:v>FM17-05</x:v>
      </x:c>
      <x:c r="B135" s="41" t="str">
        <x:v>备货与采购</x:v>
      </x:c>
      <x:c r="C135" s="41" t="str">
        <x:v>供应商档案</x:v>
      </x:c>
      <x:c r="D135" s="41" t="str">
        <x:v>备注</x:v>
      </x:c>
      <x:c r="E135" s="41" t="str">
        <x:v>备注</x:v>
      </x:c>
      <x:c r="F135" s="41" t="str">
        <x:v>多行文本</x:v>
      </x:c>
      <x:c r="G135" s="41" t="str">
        <x:v>否</x:v>
      </x:c>
      <x:c r="H135" s="41" t="str">
        <x:v>合作说明</x:v>
      </x:c>
      <x:c r="I135" s="41" t="str">
        <x:v>原型/材料已定义</x:v>
      </x:c>
      <x:c r="J135" s="43" t="str">
        <x:v>待确认</x:v>
      </x:c>
      <x:c r="K135" s="43" t="str">
        <x:v>备注</x:v>
      </x:c>
      <x:c r="L135" s="43" t="str">
        <x:v>备注</x:v>
      </x:c>
      <x:c r="M135" s="43" t="str">
        <x:v>多行文本</x:v>
      </x:c>
      <x:c r="N135" s="43" t="str"/>
      <x:c r="O135" s="43" t="str"/>
      <x:c r="P135" s="41" t="str">
        <x:v>待确认</x:v>
      </x:c>
    </x:row>
    <x:row r="136" ht="40" customHeight="1">
      <x:c r="A136" s="41" t="str">
        <x:v>FM18-01</x:v>
      </x:c>
      <x:c r="B136" s="41" t="str">
        <x:v>会计与外部接口</x:v>
      </x:c>
      <x:c r="C136" s="41" t="str">
        <x:v>待开票/发票管理</x:v>
      </x:c>
      <x:c r="D136" s="41" t="str">
        <x:v>关联</x:v>
      </x:c>
      <x:c r="E136" s="41" t="str">
        <x:v>Job Code/客户</x:v>
      </x:c>
      <x:c r="F136" s="41" t="str">
        <x:v>文本/关联</x:v>
      </x:c>
      <x:c r="G136" s="41" t="str">
        <x:v>是</x:v>
      </x:c>
      <x:c r="H136" s="41" t="str">
        <x:v>开票对象</x:v>
      </x:c>
      <x:c r="I136" s="41" t="str">
        <x:v>原型/材料已定义</x:v>
      </x:c>
      <x:c r="J136" s="43" t="str">
        <x:v>待确认</x:v>
      </x:c>
      <x:c r="K136" s="43" t="str">
        <x:v>关联</x:v>
      </x:c>
      <x:c r="L136" s="43" t="str">
        <x:v>Job Code/客户</x:v>
      </x:c>
      <x:c r="M136" s="43" t="str">
        <x:v>文本/关联</x:v>
      </x:c>
      <x:c r="N136" s="43" t="str"/>
      <x:c r="O136" s="43" t="str"/>
      <x:c r="P136" s="41" t="str">
        <x:v>待确认</x:v>
      </x:c>
    </x:row>
    <x:row r="137" ht="40" customHeight="1">
      <x:c r="A137" s="41" t="str">
        <x:v>FM18-02</x:v>
      </x:c>
      <x:c r="B137" s="41" t="str">
        <x:v>会计与外部接口</x:v>
      </x:c>
      <x:c r="C137" s="41" t="str">
        <x:v>待开票/发票管理</x:v>
      </x:c>
      <x:c r="D137" s="41" t="str">
        <x:v>内容</x:v>
      </x:c>
      <x:c r="E137" s="41" t="str">
        <x:v>描述/类型</x:v>
      </x:c>
      <x:c r="F137" s="41" t="str">
        <x:v>文本/枚举</x:v>
      </x:c>
      <x:c r="G137" s="41" t="str">
        <x:v>是</x:v>
      </x:c>
      <x:c r="H137" s="41" t="str">
        <x:v>收费内容</x:v>
      </x:c>
      <x:c r="I137" s="41" t="str">
        <x:v>原型/材料已定义</x:v>
      </x:c>
      <x:c r="J137" s="43" t="str">
        <x:v>待确认</x:v>
      </x:c>
      <x:c r="K137" s="43" t="str">
        <x:v>内容</x:v>
      </x:c>
      <x:c r="L137" s="43" t="str">
        <x:v>描述/类型</x:v>
      </x:c>
      <x:c r="M137" s="43" t="str">
        <x:v>文本/枚举</x:v>
      </x:c>
      <x:c r="N137" s="43" t="str"/>
      <x:c r="O137" s="43" t="str"/>
      <x:c r="P137" s="41" t="str">
        <x:v>待确认</x:v>
      </x:c>
    </x:row>
    <x:row r="138" ht="40" customHeight="1">
      <x:c r="A138" s="41" t="str">
        <x:v>FM18-03</x:v>
      </x:c>
      <x:c r="B138" s="41" t="str">
        <x:v>会计与外部接口</x:v>
      </x:c>
      <x:c r="C138" s="41" t="str">
        <x:v>待开票/发票管理</x:v>
      </x:c>
      <x:c r="D138" s="41" t="str">
        <x:v>金额</x:v>
      </x:c>
      <x:c r="E138" s="41" t="str">
        <x:v>开票金额</x:v>
      </x:c>
      <x:c r="F138" s="41" t="str">
        <x:v>数字</x:v>
      </x:c>
      <x:c r="G138" s="41" t="str">
        <x:v>是</x:v>
      </x:c>
      <x:c r="H138" s="41" t="str">
        <x:v>HKD</x:v>
      </x:c>
      <x:c r="I138" s="41" t="str">
        <x:v>原型/材料已定义</x:v>
      </x:c>
      <x:c r="J138" s="43" t="str">
        <x:v>待确认</x:v>
      </x:c>
      <x:c r="K138" s="43" t="str">
        <x:v>金额</x:v>
      </x:c>
      <x:c r="L138" s="43" t="str">
        <x:v>开票金额</x:v>
      </x:c>
      <x:c r="M138" s="43" t="str">
        <x:v>数字</x:v>
      </x:c>
      <x:c r="N138" s="43" t="str"/>
      <x:c r="O138" s="43" t="str"/>
      <x:c r="P138" s="41" t="str">
        <x:v>待确认</x:v>
      </x:c>
    </x:row>
    <x:row r="139" ht="40" customHeight="1">
      <x:c r="A139" s="41" t="str">
        <x:v>FM18-04</x:v>
      </x:c>
      <x:c r="B139" s="41" t="str">
        <x:v>会计与外部接口</x:v>
      </x:c>
      <x:c r="C139" s="41" t="str">
        <x:v>待开票/发票管理</x:v>
      </x:c>
      <x:c r="D139" s="41" t="str">
        <x:v>期间</x:v>
      </x:c>
      <x:c r="E139" s="41" t="str">
        <x:v>Billing Period</x:v>
      </x:c>
      <x:c r="F139" s="41" t="str">
        <x:v>期间</x:v>
      </x:c>
      <x:c r="G139" s="41" t="str">
        <x:v>是</x:v>
      </x:c>
      <x:c r="H139" s="41" t="str">
        <x:v>服务期间</x:v>
      </x:c>
      <x:c r="I139" s="41" t="str">
        <x:v>原型/材料已定义</x:v>
      </x:c>
      <x:c r="J139" s="43" t="str">
        <x:v>待确认</x:v>
      </x:c>
      <x:c r="K139" s="43" t="str">
        <x:v>期间</x:v>
      </x:c>
      <x:c r="L139" s="43" t="str">
        <x:v>Billing Period</x:v>
      </x:c>
      <x:c r="M139" s="43" t="str">
        <x:v>期间</x:v>
      </x:c>
      <x:c r="N139" s="43" t="str"/>
      <x:c r="O139" s="43" t="str"/>
      <x:c r="P139" s="41" t="str">
        <x:v>待确认</x:v>
      </x:c>
    </x:row>
    <x:row r="140" ht="40" customHeight="1">
      <x:c r="A140" s="41" t="str">
        <x:v>FM18-05</x:v>
      </x:c>
      <x:c r="B140" s="41" t="str">
        <x:v>会计与外部接口</x:v>
      </x:c>
      <x:c r="C140" s="41" t="str">
        <x:v>待开票/发票管理</x:v>
      </x:c>
      <x:c r="D140" s="41" t="str">
        <x:v>日期</x:v>
      </x:c>
      <x:c r="E140" s="41" t="str">
        <x:v>服务起止日期</x:v>
      </x:c>
      <x:c r="F140" s="41" t="str">
        <x:v>日期</x:v>
      </x:c>
      <x:c r="G140" s="41" t="str">
        <x:v>是</x:v>
      </x:c>
      <x:c r="H140" s="41" t="str">
        <x:v>计费范围</x:v>
      </x:c>
      <x:c r="I140" s="41" t="str">
        <x:v>原型/材料已定义</x:v>
      </x:c>
      <x:c r="J140" s="43" t="str">
        <x:v>待确认</x:v>
      </x:c>
      <x:c r="K140" s="43" t="str">
        <x:v>日期</x:v>
      </x:c>
      <x:c r="L140" s="43" t="str">
        <x:v>服务起止日期</x:v>
      </x:c>
      <x:c r="M140" s="43" t="str">
        <x:v>日期</x:v>
      </x:c>
      <x:c r="N140" s="43" t="str"/>
      <x:c r="O140" s="43" t="str"/>
      <x:c r="P140" s="41" t="str">
        <x:v>待确认</x:v>
      </x:c>
    </x:row>
    <x:row r="141" ht="40" customHeight="1">
      <x:c r="A141" s="41" t="str">
        <x:v>FM18-06</x:v>
      </x:c>
      <x:c r="B141" s="41" t="str">
        <x:v>会计与外部接口</x:v>
      </x:c>
      <x:c r="C141" s="41" t="str">
        <x:v>待开票/发票管理</x:v>
      </x:c>
      <x:c r="D141" s="41" t="str">
        <x:v>账期</x:v>
      </x:c>
      <x:c r="E141" s="41" t="str">
        <x:v>付款账期</x:v>
      </x:c>
      <x:c r="F141" s="41" t="str">
        <x:v>枚举</x:v>
      </x:c>
      <x:c r="G141" s="41" t="str">
        <x:v>是</x:v>
      </x:c>
      <x:c r="H141" s="41" t="str">
        <x:v>月结/天数</x:v>
      </x:c>
      <x:c r="I141" s="41" t="str">
        <x:v>原型/材料已定义</x:v>
      </x:c>
      <x:c r="J141" s="43" t="str">
        <x:v>待确认</x:v>
      </x:c>
      <x:c r="K141" s="43" t="str">
        <x:v>账期</x:v>
      </x:c>
      <x:c r="L141" s="43" t="str">
        <x:v>付款账期</x:v>
      </x:c>
      <x:c r="M141" s="43" t="str">
        <x:v>枚举</x:v>
      </x:c>
      <x:c r="N141" s="43" t="str"/>
      <x:c r="O141" s="43" t="str"/>
      <x:c r="P141" s="41" t="str">
        <x:v>待确认</x:v>
      </x:c>
    </x:row>
    <x:row r="142" ht="40" customHeight="1">
      <x:c r="A142" s="41" t="str">
        <x:v>FM18-07</x:v>
      </x:c>
      <x:c r="B142" s="41" t="str">
        <x:v>会计与外部接口</x:v>
      </x:c>
      <x:c r="C142" s="41" t="str">
        <x:v>待开票/发票管理</x:v>
      </x:c>
      <x:c r="D142" s="41" t="str">
        <x:v>附件</x:v>
      </x:c>
      <x:c r="E142" s="41" t="str">
        <x:v>合约/附件</x:v>
      </x:c>
      <x:c r="F142" s="41" t="str">
        <x:v>附件</x:v>
      </x:c>
      <x:c r="G142" s="41" t="str">
        <x:v>否</x:v>
      </x:c>
      <x:c r="H142" s="41" t="str">
        <x:v>开票依据</x:v>
      </x:c>
      <x:c r="I142" s="41" t="str">
        <x:v>原型/材料已定义</x:v>
      </x:c>
      <x:c r="J142" s="43" t="str">
        <x:v>待确认</x:v>
      </x:c>
      <x:c r="K142" s="43" t="str">
        <x:v>附件</x:v>
      </x:c>
      <x:c r="L142" s="43" t="str">
        <x:v>合约/附件</x:v>
      </x:c>
      <x:c r="M142" s="43" t="str">
        <x:v>附件</x:v>
      </x:c>
      <x:c r="N142" s="43" t="str"/>
      <x:c r="O142" s="43" t="str"/>
      <x:c r="P142" s="41" t="str">
        <x:v>待确认</x:v>
      </x:c>
    </x:row>
    <x:row r="143" ht="40" customHeight="1">
      <x:c r="A143" s="41" t="str">
        <x:v>FM18-08</x:v>
      </x:c>
      <x:c r="B143" s="41" t="str">
        <x:v>会计与外部接口</x:v>
      </x:c>
      <x:c r="C143" s="41" t="str">
        <x:v>待开票/发票管理</x:v>
      </x:c>
      <x:c r="D143" s="41" t="str">
        <x:v>状态</x:v>
      </x:c>
      <x:c r="E143" s="41" t="str">
        <x:v>发票/收款状态</x:v>
      </x:c>
      <x:c r="F143" s="41" t="str">
        <x:v>枚举</x:v>
      </x:c>
      <x:c r="G143" s="41" t="str">
        <x:v>是</x:v>
      </x:c>
      <x:c r="H143" s="41" t="str">
        <x:v>待开票/已开票/已收款</x:v>
      </x:c>
      <x:c r="I143" s="41" t="str">
        <x:v>原型/材料已定义</x:v>
      </x:c>
      <x:c r="J143" s="43" t="str">
        <x:v>待确认</x:v>
      </x:c>
      <x:c r="K143" s="43" t="str">
        <x:v>状态</x:v>
      </x:c>
      <x:c r="L143" s="43" t="str">
        <x:v>发票/收款状态</x:v>
      </x:c>
      <x:c r="M143" s="43" t="str">
        <x:v>枚举</x:v>
      </x:c>
      <x:c r="N143" s="43" t="str"/>
      <x:c r="O143" s="43" t="str"/>
      <x:c r="P143" s="41" t="str">
        <x:v>待确认</x:v>
      </x:c>
    </x:row>
    <x:row r="144" ht="40" customHeight="1">
      <x:c r="A144" s="41" t="str">
        <x:v>FM19-01</x:v>
      </x:c>
      <x:c r="B144" s="41" t="str">
        <x:v>会计与外部接口</x:v>
      </x:c>
      <x:c r="C144" s="41" t="str">
        <x:v>收款/收据</x:v>
      </x:c>
      <x:c r="D144" s="41" t="str">
        <x:v>关联</x:v>
      </x:c>
      <x:c r="E144" s="41" t="str">
        <x:v>发票编号/客户</x:v>
      </x:c>
      <x:c r="F144" s="41" t="str">
        <x:v>关联</x:v>
      </x:c>
      <x:c r="G144" s="41" t="str">
        <x:v>是</x:v>
      </x:c>
      <x:c r="H144" s="41" t="str">
        <x:v>收款对象</x:v>
      </x:c>
      <x:c r="I144" s="41" t="str">
        <x:v>原型/材料已定义</x:v>
      </x:c>
      <x:c r="J144" s="43" t="str">
        <x:v>待确认</x:v>
      </x:c>
      <x:c r="K144" s="43" t="str">
        <x:v>关联</x:v>
      </x:c>
      <x:c r="L144" s="43" t="str">
        <x:v>发票编号/客户</x:v>
      </x:c>
      <x:c r="M144" s="43" t="str">
        <x:v>关联</x:v>
      </x:c>
      <x:c r="N144" s="43" t="str"/>
      <x:c r="O144" s="43" t="str"/>
      <x:c r="P144" s="41" t="str">
        <x:v>待确认</x:v>
      </x:c>
    </x:row>
    <x:row r="145" ht="40" customHeight="1">
      <x:c r="A145" s="41" t="str">
        <x:v>FM19-02</x:v>
      </x:c>
      <x:c r="B145" s="41" t="str">
        <x:v>会计与外部接口</x:v>
      </x:c>
      <x:c r="C145" s="41" t="str">
        <x:v>收款/收据</x:v>
      </x:c>
      <x:c r="D145" s="41" t="str">
        <x:v>收款</x:v>
      </x:c>
      <x:c r="E145" s="41" t="str">
        <x:v>收款日期</x:v>
      </x:c>
      <x:c r="F145" s="41" t="str">
        <x:v>日期</x:v>
      </x:c>
      <x:c r="G145" s="41" t="str">
        <x:v>是</x:v>
      </x:c>
      <x:c r="H145" s="41" t="str">
        <x:v>到账日期</x:v>
      </x:c>
      <x:c r="I145" s="41" t="str">
        <x:v>原型/材料已定义</x:v>
      </x:c>
      <x:c r="J145" s="43" t="str">
        <x:v>待确认</x:v>
      </x:c>
      <x:c r="K145" s="43" t="str">
        <x:v>收款</x:v>
      </x:c>
      <x:c r="L145" s="43" t="str">
        <x:v>收款日期</x:v>
      </x:c>
      <x:c r="M145" s="43" t="str">
        <x:v>日期</x:v>
      </x:c>
      <x:c r="N145" s="43" t="str"/>
      <x:c r="O145" s="43" t="str"/>
      <x:c r="P145" s="41" t="str">
        <x:v>待确认</x:v>
      </x:c>
    </x:row>
    <x:row r="146" ht="40" customHeight="1">
      <x:c r="A146" s="41" t="str">
        <x:v>FM19-03</x:v>
      </x:c>
      <x:c r="B146" s="41" t="str">
        <x:v>会计与外部接口</x:v>
      </x:c>
      <x:c r="C146" s="41" t="str">
        <x:v>收款/收据</x:v>
      </x:c>
      <x:c r="D146" s="41" t="str">
        <x:v>收款</x:v>
      </x:c>
      <x:c r="E146" s="41" t="str">
        <x:v>金额</x:v>
      </x:c>
      <x:c r="F146" s="41" t="str">
        <x:v>数字</x:v>
      </x:c>
      <x:c r="G146" s="41" t="str">
        <x:v>是</x:v>
      </x:c>
      <x:c r="H146" s="41" t="str">
        <x:v>不得超过未收金额</x:v>
      </x:c>
      <x:c r="I146" s="41" t="str">
        <x:v>原型/材料已定义</x:v>
      </x:c>
      <x:c r="J146" s="43" t="str">
        <x:v>待确认</x:v>
      </x:c>
      <x:c r="K146" s="43" t="str">
        <x:v>收款</x:v>
      </x:c>
      <x:c r="L146" s="43" t="str">
        <x:v>金额</x:v>
      </x:c>
      <x:c r="M146" s="43" t="str">
        <x:v>数字</x:v>
      </x:c>
      <x:c r="N146" s="43" t="str"/>
      <x:c r="O146" s="43" t="str"/>
      <x:c r="P146" s="41" t="str">
        <x:v>待确认</x:v>
      </x:c>
    </x:row>
    <x:row r="147" ht="40" customHeight="1">
      <x:c r="A147" s="41" t="str">
        <x:v>FM19-04</x:v>
      </x:c>
      <x:c r="B147" s="41" t="str">
        <x:v>会计与外部接口</x:v>
      </x:c>
      <x:c r="C147" s="41" t="str">
        <x:v>收款/收据</x:v>
      </x:c>
      <x:c r="D147" s="41" t="str">
        <x:v>收款</x:v>
      </x:c>
      <x:c r="E147" s="41" t="str">
        <x:v>方式</x:v>
      </x:c>
      <x:c r="F147" s="41" t="str">
        <x:v>枚举</x:v>
      </x:c>
      <x:c r="G147" s="41" t="str">
        <x:v>是</x:v>
      </x:c>
      <x:c r="H147" s="41" t="str">
        <x:v>转账/支票/现金等</x:v>
      </x:c>
      <x:c r="I147" s="41" t="str">
        <x:v>原型/材料已定义</x:v>
      </x:c>
      <x:c r="J147" s="43" t="str">
        <x:v>待确认</x:v>
      </x:c>
      <x:c r="K147" s="43" t="str">
        <x:v>收款</x:v>
      </x:c>
      <x:c r="L147" s="43" t="str">
        <x:v>方式</x:v>
      </x:c>
      <x:c r="M147" s="43" t="str">
        <x:v>枚举</x:v>
      </x:c>
      <x:c r="N147" s="43" t="str"/>
      <x:c r="O147" s="43" t="str"/>
      <x:c r="P147" s="41" t="str">
        <x:v>待确认</x:v>
      </x:c>
    </x:row>
    <x:row r="148" ht="40" customHeight="1">
      <x:c r="A148" s="41" t="str">
        <x:v>FM19-05</x:v>
      </x:c>
      <x:c r="B148" s="41" t="str">
        <x:v>会计与外部接口</x:v>
      </x:c>
      <x:c r="C148" s="41" t="str">
        <x:v>收款/收据</x:v>
      </x:c>
      <x:c r="D148" s="41" t="str">
        <x:v>收据</x:v>
      </x:c>
      <x:c r="E148" s="41" t="str">
        <x:v>收据编号</x:v>
      </x:c>
      <x:c r="F148" s="41" t="str">
        <x:v>自动编号</x:v>
      </x:c>
      <x:c r="G148" s="41" t="str">
        <x:v>是</x:v>
      </x:c>
      <x:c r="H148" s="41" t="str">
        <x:v>唯一编号</x:v>
      </x:c>
      <x:c r="I148" s="41" t="str">
        <x:v>原型/材料已定义</x:v>
      </x:c>
      <x:c r="J148" s="43" t="str">
        <x:v>待确认</x:v>
      </x:c>
      <x:c r="K148" s="43" t="str">
        <x:v>收据</x:v>
      </x:c>
      <x:c r="L148" s="43" t="str">
        <x:v>收据编号</x:v>
      </x:c>
      <x:c r="M148" s="43" t="str">
        <x:v>自动编号</x:v>
      </x:c>
      <x:c r="N148" s="43" t="str"/>
      <x:c r="O148" s="43" t="str"/>
      <x:c r="P148" s="41" t="str">
        <x:v>待确认</x:v>
      </x:c>
    </x:row>
    <x:row r="149" ht="40" customHeight="1">
      <x:c r="A149" s="41" t="str">
        <x:v>FM19-06</x:v>
      </x:c>
      <x:c r="B149" s="41" t="str">
        <x:v>会计与外部接口</x:v>
      </x:c>
      <x:c r="C149" s="41" t="str">
        <x:v>收款/收据</x:v>
      </x:c>
      <x:c r="D149" s="41" t="str">
        <x:v>收据</x:v>
      </x:c>
      <x:c r="E149" s="41" t="str">
        <x:v>打印状态</x:v>
      </x:c>
      <x:c r="F149" s="41" t="str">
        <x:v>状态</x:v>
      </x:c>
      <x:c r="G149" s="41" t="str">
        <x:v>否</x:v>
      </x:c>
      <x:c r="H149" s="41" t="str">
        <x:v>已打印/重印</x:v>
      </x:c>
      <x:c r="I149" s="41" t="str">
        <x:v>原型/材料已定义</x:v>
      </x:c>
      <x:c r="J149" s="43" t="str">
        <x:v>待确认</x:v>
      </x:c>
      <x:c r="K149" s="43" t="str">
        <x:v>收据</x:v>
      </x:c>
      <x:c r="L149" s="43" t="str">
        <x:v>打印状态</x:v>
      </x:c>
      <x:c r="M149" s="43" t="str">
        <x:v>状态</x:v>
      </x:c>
      <x:c r="N149" s="43" t="str"/>
      <x:c r="O149" s="43" t="str"/>
      <x:c r="P149" s="41" t="str">
        <x:v>待确认</x:v>
      </x:c>
    </x:row>
    <x:row r="150" ht="40" customHeight="1">
      <x:c r="A150" s="41" t="str">
        <x:v>FM19-07</x:v>
      </x:c>
      <x:c r="B150" s="41" t="str">
        <x:v>会计与外部接口</x:v>
      </x:c>
      <x:c r="C150" s="41" t="str">
        <x:v>收款/收据</x:v>
      </x:c>
      <x:c r="D150" s="41" t="str">
        <x:v>备注</x:v>
      </x:c>
      <x:c r="E150" s="41" t="str">
        <x:v>备注</x:v>
      </x:c>
      <x:c r="F150" s="41" t="str">
        <x:v>多行文本</x:v>
      </x:c>
      <x:c r="G150" s="41" t="str">
        <x:v>否</x:v>
      </x:c>
      <x:c r="H150" s="41" t="str">
        <x:v>差异说明</x:v>
      </x:c>
      <x:c r="I150" s="41" t="str">
        <x:v>原型/材料已定义</x:v>
      </x:c>
      <x:c r="J150" s="43" t="str">
        <x:v>待确认</x:v>
      </x:c>
      <x:c r="K150" s="43" t="str">
        <x:v>备注</x:v>
      </x:c>
      <x:c r="L150" s="43" t="str">
        <x:v>备注</x:v>
      </x:c>
      <x:c r="M150" s="43" t="str">
        <x:v>多行文本</x:v>
      </x:c>
      <x:c r="N150" s="43" t="str"/>
      <x:c r="O150" s="43" t="str"/>
      <x:c r="P150" s="41" t="str">
        <x:v>待确认</x:v>
      </x:c>
    </x:row>
    <x:row r="151" ht="40" customHeight="1">
      <x:c r="A151" s="41" t="str">
        <x:v>FM20-01</x:v>
      </x:c>
      <x:c r="B151" s="41" t="str">
        <x:v>会计与外部接口</x:v>
      </x:c>
      <x:c r="C151" s="41" t="str">
        <x:v>会计客户/保养合约</x:v>
      </x:c>
      <x:c r="D151" s="41" t="str">
        <x:v>客户</x:v>
      </x:c>
      <x:c r="E151" s="41" t="str">
        <x:v>财务客户编号/名称</x:v>
      </x:c>
      <x:c r="F151" s="41" t="str">
        <x:v>文本</x:v>
      </x:c>
      <x:c r="G151" s="41" t="str">
        <x:v>是</x:v>
      </x:c>
      <x:c r="H151" s="41" t="str">
        <x:v>可关联业务客户</x:v>
      </x:c>
      <x:c r="I151" s="41" t="str">
        <x:v>原型/材料已定义</x:v>
      </x:c>
      <x:c r="J151" s="43" t="str">
        <x:v>待确认</x:v>
      </x:c>
      <x:c r="K151" s="43" t="str">
        <x:v>客户</x:v>
      </x:c>
      <x:c r="L151" s="43" t="str">
        <x:v>财务客户编号/名称</x:v>
      </x:c>
      <x:c r="M151" s="43" t="str">
        <x:v>文本</x:v>
      </x:c>
      <x:c r="N151" s="43" t="str"/>
      <x:c r="O151" s="43" t="str"/>
      <x:c r="P151" s="41" t="str">
        <x:v>待确认</x:v>
      </x:c>
    </x:row>
    <x:row r="152" ht="40" customHeight="1">
      <x:c r="A152" s="41" t="str">
        <x:v>FM20-02</x:v>
      </x:c>
      <x:c r="B152" s="41" t="str">
        <x:v>会计与外部接口</x:v>
      </x:c>
      <x:c r="C152" s="41" t="str">
        <x:v>会计客户/保养合约</x:v>
      </x:c>
      <x:c r="D152" s="41" t="str">
        <x:v>账单</x:v>
      </x:c>
      <x:c r="E152" s="41" t="str">
        <x:v>账单地址/收件人</x:v>
      </x:c>
      <x:c r="F152" s="41" t="str">
        <x:v>文本</x:v>
      </x:c>
      <x:c r="G152" s="41" t="str">
        <x:v>是</x:v>
      </x:c>
      <x:c r="H152" s="41" t="str">
        <x:v>发票寄送</x:v>
      </x:c>
      <x:c r="I152" s="41" t="str">
        <x:v>原型/材料已定义</x:v>
      </x:c>
      <x:c r="J152" s="43" t="str">
        <x:v>待确认</x:v>
      </x:c>
      <x:c r="K152" s="43" t="str">
        <x:v>账单</x:v>
      </x:c>
      <x:c r="L152" s="43" t="str">
        <x:v>账单地址/收件人</x:v>
      </x:c>
      <x:c r="M152" s="43" t="str">
        <x:v>文本</x:v>
      </x:c>
      <x:c r="N152" s="43" t="str"/>
      <x:c r="O152" s="43" t="str"/>
      <x:c r="P152" s="41" t="str">
        <x:v>待确认</x:v>
      </x:c>
    </x:row>
    <x:row r="153" ht="40" customHeight="1">
      <x:c r="A153" s="41" t="str">
        <x:v>FM20-03</x:v>
      </x:c>
      <x:c r="B153" s="41" t="str">
        <x:v>会计与外部接口</x:v>
      </x:c>
      <x:c r="C153" s="41" t="str">
        <x:v>会计客户/保养合约</x:v>
      </x:c>
      <x:c r="D153" s="41" t="str">
        <x:v>账单</x:v>
      </x:c>
      <x:c r="E153" s="41" t="str">
        <x:v>付款账期</x:v>
      </x:c>
      <x:c r="F153" s="41" t="str">
        <x:v>枚举</x:v>
      </x:c>
      <x:c r="G153" s="41" t="str">
        <x:v>是</x:v>
      </x:c>
      <x:c r="H153" s="41" t="str">
        <x:v>月结规则</x:v>
      </x:c>
      <x:c r="I153" s="41" t="str">
        <x:v>原型/材料已定义</x:v>
      </x:c>
      <x:c r="J153" s="43" t="str">
        <x:v>待确认</x:v>
      </x:c>
      <x:c r="K153" s="43" t="str">
        <x:v>账单</x:v>
      </x:c>
      <x:c r="L153" s="43" t="str">
        <x:v>付款账期</x:v>
      </x:c>
      <x:c r="M153" s="43" t="str">
        <x:v>枚举</x:v>
      </x:c>
      <x:c r="N153" s="43" t="str"/>
      <x:c r="O153" s="43" t="str"/>
      <x:c r="P153" s="41" t="str">
        <x:v>待确认</x:v>
      </x:c>
    </x:row>
    <x:row r="154" ht="40" customHeight="1">
      <x:c r="A154" s="41" t="str">
        <x:v>FM20-04</x:v>
      </x:c>
      <x:c r="B154" s="41" t="str">
        <x:v>会计与外部接口</x:v>
      </x:c>
      <x:c r="C154" s="41" t="str">
        <x:v>会计客户/保养合约</x:v>
      </x:c>
      <x:c r="D154" s="41" t="str">
        <x:v>合约</x:v>
      </x:c>
      <x:c r="E154" s="41" t="str">
        <x:v>合约编号</x:v>
      </x:c>
      <x:c r="F154" s="41" t="str">
        <x:v>文本</x:v>
      </x:c>
      <x:c r="G154" s="41" t="str">
        <x:v>是</x:v>
      </x:c>
      <x:c r="H154" s="41" t="str">
        <x:v>保养合约</x:v>
      </x:c>
      <x:c r="I154" s="41" t="str">
        <x:v>原型/材料已定义</x:v>
      </x:c>
      <x:c r="J154" s="43" t="str">
        <x:v>待确认</x:v>
      </x:c>
      <x:c r="K154" s="43" t="str">
        <x:v>合约</x:v>
      </x:c>
      <x:c r="L154" s="43" t="str">
        <x:v>合约编号</x:v>
      </x:c>
      <x:c r="M154" s="43" t="str">
        <x:v>文本</x:v>
      </x:c>
      <x:c r="N154" s="43" t="str"/>
      <x:c r="O154" s="43" t="str"/>
      <x:c r="P154" s="41" t="str">
        <x:v>待确认</x:v>
      </x:c>
    </x:row>
    <x:row r="155" ht="40" customHeight="1">
      <x:c r="A155" s="41" t="str">
        <x:v>FM20-05</x:v>
      </x:c>
      <x:c r="B155" s="41" t="str">
        <x:v>会计与外部接口</x:v>
      </x:c>
      <x:c r="C155" s="41" t="str">
        <x:v>会计客户/保养合约</x:v>
      </x:c>
      <x:c r="D155" s="41" t="str">
        <x:v>合约</x:v>
      </x:c>
      <x:c r="E155" s="41" t="str">
        <x:v>起止日期</x:v>
      </x:c>
      <x:c r="F155" s="41" t="str">
        <x:v>日期</x:v>
      </x:c>
      <x:c r="G155" s="41" t="str">
        <x:v>是</x:v>
      </x:c>
      <x:c r="H155" s="41" t="str">
        <x:v>有效期</x:v>
      </x:c>
      <x:c r="I155" s="41" t="str">
        <x:v>原型/材料已定义</x:v>
      </x:c>
      <x:c r="J155" s="43" t="str">
        <x:v>待确认</x:v>
      </x:c>
      <x:c r="K155" s="43" t="str">
        <x:v>合约</x:v>
      </x:c>
      <x:c r="L155" s="43" t="str">
        <x:v>起止日期</x:v>
      </x:c>
      <x:c r="M155" s="43" t="str">
        <x:v>日期</x:v>
      </x:c>
      <x:c r="N155" s="43" t="str"/>
      <x:c r="O155" s="43" t="str"/>
      <x:c r="P155" s="41" t="str">
        <x:v>待确认</x:v>
      </x:c>
    </x:row>
    <x:row r="156" ht="40" customHeight="1">
      <x:c r="A156" s="41" t="str">
        <x:v>FM20-06</x:v>
      </x:c>
      <x:c r="B156" s="41" t="str">
        <x:v>会计与外部接口</x:v>
      </x:c>
      <x:c r="C156" s="41" t="str">
        <x:v>会计客户/保养合约</x:v>
      </x:c>
      <x:c r="D156" s="41" t="str">
        <x:v>合约</x:v>
      </x:c>
      <x:c r="E156" s="41" t="str">
        <x:v>开单频率</x:v>
      </x:c>
      <x:c r="F156" s="41" t="str">
        <x:v>枚举</x:v>
      </x:c>
      <x:c r="G156" s="41" t="str">
        <x:v>是</x:v>
      </x:c>
      <x:c r="H156" s="41" t="str">
        <x:v>月/季/年</x:v>
      </x:c>
      <x:c r="I156" s="41" t="str">
        <x:v>原型/材料已定义</x:v>
      </x:c>
      <x:c r="J156" s="43" t="str">
        <x:v>待确认</x:v>
      </x:c>
      <x:c r="K156" s="43" t="str">
        <x:v>合约</x:v>
      </x:c>
      <x:c r="L156" s="43" t="str">
        <x:v>开单频率</x:v>
      </x:c>
      <x:c r="M156" s="43" t="str">
        <x:v>枚举</x:v>
      </x:c>
      <x:c r="N156" s="43" t="str"/>
      <x:c r="O156" s="43" t="str"/>
      <x:c r="P156" s="41" t="str">
        <x:v>待确认</x:v>
      </x:c>
    </x:row>
    <x:row r="157" ht="40" customHeight="1">
      <x:c r="A157" s="41" t="str">
        <x:v>FM20-07</x:v>
      </x:c>
      <x:c r="B157" s="41" t="str">
        <x:v>会计与外部接口</x:v>
      </x:c>
      <x:c r="C157" s="41" t="str">
        <x:v>会计客户/保养合约</x:v>
      </x:c>
      <x:c r="D157" s="41" t="str">
        <x:v>合约</x:v>
      </x:c>
      <x:c r="E157" s="41" t="str">
        <x:v>固定金额</x:v>
      </x:c>
      <x:c r="F157" s="41" t="str">
        <x:v>数字</x:v>
      </x:c>
      <x:c r="G157" s="41" t="str">
        <x:v>条件</x:v>
      </x:c>
      <x:c r="H157" s="41" t="str">
        <x:v>自动生成金额</x:v>
      </x:c>
      <x:c r="I157" s="41" t="str">
        <x:v>原型/材料已定义</x:v>
      </x:c>
      <x:c r="J157" s="43" t="str">
        <x:v>待确认</x:v>
      </x:c>
      <x:c r="K157" s="43" t="str">
        <x:v>合约</x:v>
      </x:c>
      <x:c r="L157" s="43" t="str">
        <x:v>固定金额</x:v>
      </x:c>
      <x:c r="M157" s="43" t="str">
        <x:v>数字</x:v>
      </x:c>
      <x:c r="N157" s="43" t="str"/>
      <x:c r="O157" s="43" t="str"/>
      <x:c r="P157" s="41" t="str">
        <x:v>待确认</x:v>
      </x:c>
    </x:row>
    <x:row r="158" ht="40" customHeight="1">
      <x:c r="A158" s="41" t="str">
        <x:v>FM21-01</x:v>
      </x:c>
      <x:c r="B158" s="41" t="str">
        <x:v>会计与外部接口</x:v>
      </x:c>
      <x:c r="C158" s="41" t="str">
        <x:v>Peachtree接口配置</x:v>
      </x:c>
      <x:c r="D158" s="41" t="str">
        <x:v>连接</x:v>
      </x:c>
      <x:c r="E158" s="41" t="str">
        <x:v>系统版本/地址</x:v>
      </x:c>
      <x:c r="F158" s="41" t="str">
        <x:v>文本</x:v>
      </x:c>
      <x:c r="G158" s="41" t="str">
        <x:v>是</x:v>
      </x:c>
      <x:c r="H158" s="41" t="str">
        <x:v>接口能力待确认</x:v>
      </x:c>
      <x:c r="I158" s="41" t="str">
        <x:v>原型/材料已定义</x:v>
      </x:c>
      <x:c r="J158" s="43" t="str">
        <x:v>待确认</x:v>
      </x:c>
      <x:c r="K158" s="43" t="str">
        <x:v>连接</x:v>
      </x:c>
      <x:c r="L158" s="43" t="str">
        <x:v>系统版本/地址</x:v>
      </x:c>
      <x:c r="M158" s="43" t="str">
        <x:v>文本</x:v>
      </x:c>
      <x:c r="N158" s="43" t="str"/>
      <x:c r="O158" s="43" t="str"/>
      <x:c r="P158" s="41" t="str">
        <x:v>待确认</x:v>
      </x:c>
    </x:row>
    <x:row r="159" ht="40" customHeight="1">
      <x:c r="A159" s="41" t="str">
        <x:v>FM21-02</x:v>
      </x:c>
      <x:c r="B159" s="41" t="str">
        <x:v>会计与外部接口</x:v>
      </x:c>
      <x:c r="C159" s="41" t="str">
        <x:v>Peachtree接口配置</x:v>
      </x:c>
      <x:c r="D159" s="41" t="str">
        <x:v>连接</x:v>
      </x:c>
      <x:c r="E159" s="41" t="str">
        <x:v>鉴权方式</x:v>
      </x:c>
      <x:c r="F159" s="41" t="str">
        <x:v>枚举</x:v>
      </x:c>
      <x:c r="G159" s="41" t="str">
        <x:v>是</x:v>
      </x:c>
      <x:c r="H159" s="41" t="str">
        <x:v>凭据不在清单存储</x:v>
      </x:c>
      <x:c r="I159" s="41" t="str">
        <x:v>原型/材料已定义</x:v>
      </x:c>
      <x:c r="J159" s="43" t="str">
        <x:v>待确认</x:v>
      </x:c>
      <x:c r="K159" s="43" t="str">
        <x:v>连接</x:v>
      </x:c>
      <x:c r="L159" s="43" t="str">
        <x:v>鉴权方式</x:v>
      </x:c>
      <x:c r="M159" s="43" t="str">
        <x:v>枚举</x:v>
      </x:c>
      <x:c r="N159" s="43" t="str"/>
      <x:c r="O159" s="43" t="str"/>
      <x:c r="P159" s="41" t="str">
        <x:v>待确认</x:v>
      </x:c>
    </x:row>
    <x:row r="160" ht="40" customHeight="1">
      <x:c r="A160" s="41" t="str">
        <x:v>FM21-03</x:v>
      </x:c>
      <x:c r="B160" s="41" t="str">
        <x:v>会计与外部接口</x:v>
      </x:c>
      <x:c r="C160" s="41" t="str">
        <x:v>Peachtree接口配置</x:v>
      </x:c>
      <x:c r="D160" s="41" t="str">
        <x:v>同步</x:v>
      </x:c>
      <x:c r="E160" s="41" t="str">
        <x:v>数据对象</x:v>
      </x:c>
      <x:c r="F160" s="41" t="str">
        <x:v>多选</x:v>
      </x:c>
      <x:c r="G160" s="41" t="str">
        <x:v>是</x:v>
      </x:c>
      <x:c r="H160" s="41" t="str">
        <x:v>客户/发票/收款</x:v>
      </x:c>
      <x:c r="I160" s="41" t="str">
        <x:v>原型/材料已定义</x:v>
      </x:c>
      <x:c r="J160" s="43" t="str">
        <x:v>待确认</x:v>
      </x:c>
      <x:c r="K160" s="43" t="str">
        <x:v>同步</x:v>
      </x:c>
      <x:c r="L160" s="43" t="str">
        <x:v>数据对象</x:v>
      </x:c>
      <x:c r="M160" s="43" t="str">
        <x:v>多选</x:v>
      </x:c>
      <x:c r="N160" s="43" t="str"/>
      <x:c r="O160" s="43" t="str"/>
      <x:c r="P160" s="41" t="str">
        <x:v>待确认</x:v>
      </x:c>
    </x:row>
    <x:row r="161" ht="40" customHeight="1">
      <x:c r="A161" s="41" t="str">
        <x:v>FM21-04</x:v>
      </x:c>
      <x:c r="B161" s="41" t="str">
        <x:v>会计与外部接口</x:v>
      </x:c>
      <x:c r="C161" s="41" t="str">
        <x:v>Peachtree接口配置</x:v>
      </x:c>
      <x:c r="D161" s="41" t="str">
        <x:v>同步</x:v>
      </x:c>
      <x:c r="E161" s="41" t="str">
        <x:v>同步方向</x:v>
      </x:c>
      <x:c r="F161" s="41" t="str">
        <x:v>枚举</x:v>
      </x:c>
      <x:c r="G161" s="41" t="str">
        <x:v>是</x:v>
      </x:c>
      <x:c r="H161" s="41" t="str">
        <x:v>导入/导出/双向</x:v>
      </x:c>
      <x:c r="I161" s="41" t="str">
        <x:v>原型/材料已定义</x:v>
      </x:c>
      <x:c r="J161" s="43" t="str">
        <x:v>待确认</x:v>
      </x:c>
      <x:c r="K161" s="43" t="str">
        <x:v>同步</x:v>
      </x:c>
      <x:c r="L161" s="43" t="str">
        <x:v>同步方向</x:v>
      </x:c>
      <x:c r="M161" s="43" t="str">
        <x:v>枚举</x:v>
      </x:c>
      <x:c r="N161" s="43" t="str"/>
      <x:c r="O161" s="43" t="str"/>
      <x:c r="P161" s="41" t="str">
        <x:v>待确认</x:v>
      </x:c>
    </x:row>
    <x:row r="162" ht="40" customHeight="1">
      <x:c r="A162" s="41" t="str">
        <x:v>FM21-05</x:v>
      </x:c>
      <x:c r="B162" s="41" t="str">
        <x:v>会计与外部接口</x:v>
      </x:c>
      <x:c r="C162" s="41" t="str">
        <x:v>Peachtree接口配置</x:v>
      </x:c>
      <x:c r="D162" s="41" t="str">
        <x:v>同步</x:v>
      </x:c>
      <x:c r="E162" s="41" t="str">
        <x:v>最后同步时间</x:v>
      </x:c>
      <x:c r="F162" s="41" t="str">
        <x:v>日期时间</x:v>
      </x:c>
      <x:c r="G162" s="41" t="str">
        <x:v>否</x:v>
      </x:c>
      <x:c r="H162" s="41" t="str">
        <x:v>系统记录</x:v>
      </x:c>
      <x:c r="I162" s="41" t="str">
        <x:v>原型/材料已定义</x:v>
      </x:c>
      <x:c r="J162" s="43" t="str">
        <x:v>待确认</x:v>
      </x:c>
      <x:c r="K162" s="43" t="str">
        <x:v>同步</x:v>
      </x:c>
      <x:c r="L162" s="43" t="str">
        <x:v>最后同步时间</x:v>
      </x:c>
      <x:c r="M162" s="43" t="str">
        <x:v>日期时间</x:v>
      </x:c>
      <x:c r="N162" s="43" t="str"/>
      <x:c r="O162" s="43" t="str"/>
      <x:c r="P162" s="41" t="str">
        <x:v>待确认</x:v>
      </x:c>
    </x:row>
    <x:row r="163" ht="40" customHeight="1">
      <x:c r="A163" s="41" t="str">
        <x:v>FM21-06</x:v>
      </x:c>
      <x:c r="B163" s="41" t="str">
        <x:v>会计与外部接口</x:v>
      </x:c>
      <x:c r="C163" s="41" t="str">
        <x:v>Peachtree接口配置</x:v>
      </x:c>
      <x:c r="D163" s="41" t="str">
        <x:v>同步</x:v>
      </x:c>
      <x:c r="E163" s="41" t="str">
        <x:v>结果/错误日志</x:v>
      </x:c>
      <x:c r="F163" s="41" t="str">
        <x:v>记录</x:v>
      </x:c>
      <x:c r="G163" s="41" t="str">
        <x:v>否</x:v>
      </x:c>
      <x:c r="H163" s="41" t="str">
        <x:v>可追踪</x:v>
      </x:c>
      <x:c r="I163" s="41" t="str">
        <x:v>原型/材料已定义</x:v>
      </x:c>
      <x:c r="J163" s="43" t="str">
        <x:v>待确认</x:v>
      </x:c>
      <x:c r="K163" s="43" t="str">
        <x:v>同步</x:v>
      </x:c>
      <x:c r="L163" s="43" t="str">
        <x:v>结果/错误日志</x:v>
      </x:c>
      <x:c r="M163" s="43" t="str">
        <x:v>记录</x:v>
      </x:c>
      <x:c r="N163" s="43" t="str"/>
      <x:c r="O163" s="43" t="str"/>
      <x:c r="P163" s="41" t="str">
        <x:v>待确认</x:v>
      </x:c>
    </x:row>
    <x:row r="164" ht="40" customHeight="1">
      <x:c r="A164" s="41" t="str">
        <x:v>FM22-01</x:v>
      </x:c>
      <x:c r="B164" s="41" t="str">
        <x:v>统计、客户和基础设置</x:v>
      </x:c>
      <x:c r="C164" s="41" t="str">
        <x:v>用户管理</x:v>
      </x:c>
      <x:c r="D164" s="41" t="str">
        <x:v>基本</x:v>
      </x:c>
      <x:c r="E164" s="41" t="str">
        <x:v>姓名/工号</x:v>
      </x:c>
      <x:c r="F164" s="41" t="str">
        <x:v>文本</x:v>
      </x:c>
      <x:c r="G164" s="41" t="str">
        <x:v>是</x:v>
      </x:c>
      <x:c r="H164" s="41" t="str">
        <x:v>人员标识</x:v>
      </x:c>
      <x:c r="I164" s="41" t="str">
        <x:v>原型/材料已定义</x:v>
      </x:c>
      <x:c r="J164" s="43" t="str">
        <x:v>待确认</x:v>
      </x:c>
      <x:c r="K164" s="43" t="str">
        <x:v>基本</x:v>
      </x:c>
      <x:c r="L164" s="43" t="str">
        <x:v>姓名/工号</x:v>
      </x:c>
      <x:c r="M164" s="43" t="str">
        <x:v>文本</x:v>
      </x:c>
      <x:c r="N164" s="43" t="str"/>
      <x:c r="O164" s="43" t="str"/>
      <x:c r="P164" s="41" t="str">
        <x:v>待确认</x:v>
      </x:c>
    </x:row>
    <x:row r="165" ht="40" customHeight="1">
      <x:c r="A165" s="41" t="str">
        <x:v>FM22-02</x:v>
      </x:c>
      <x:c r="B165" s="41" t="str">
        <x:v>统计、客户和基础设置</x:v>
      </x:c>
      <x:c r="C165" s="41" t="str">
        <x:v>用户管理</x:v>
      </x:c>
      <x:c r="D165" s="41" t="str">
        <x:v>联系</x:v>
      </x:c>
      <x:c r="E165" s="41" t="str">
        <x:v>电话/邮箱</x:v>
      </x:c>
      <x:c r="F165" s="41" t="str">
        <x:v>文本</x:v>
      </x:c>
      <x:c r="G165" s="41" t="str">
        <x:v>否</x:v>
      </x:c>
      <x:c r="H165" s="41" t="str">
        <x:v>登录与通知</x:v>
      </x:c>
      <x:c r="I165" s="41" t="str">
        <x:v>原型/材料已定义</x:v>
      </x:c>
      <x:c r="J165" s="43" t="str">
        <x:v>待确认</x:v>
      </x:c>
      <x:c r="K165" s="43" t="str">
        <x:v>联系</x:v>
      </x:c>
      <x:c r="L165" s="43" t="str">
        <x:v>电话/邮箱</x:v>
      </x:c>
      <x:c r="M165" s="43" t="str">
        <x:v>文本</x:v>
      </x:c>
      <x:c r="N165" s="43" t="str"/>
      <x:c r="O165" s="43" t="str"/>
      <x:c r="P165" s="41" t="str">
        <x:v>待确认</x:v>
      </x:c>
    </x:row>
    <x:row r="166" ht="40" customHeight="1">
      <x:c r="A166" s="41" t="str">
        <x:v>FM22-03</x:v>
      </x:c>
      <x:c r="B166" s="41" t="str">
        <x:v>统计、客户和基础设置</x:v>
      </x:c>
      <x:c r="C166" s="41" t="str">
        <x:v>用户管理</x:v>
      </x:c>
      <x:c r="D166" s="41" t="str">
        <x:v>权限</x:v>
      </x:c>
      <x:c r="E166" s="41" t="str">
        <x:v>角色</x:v>
      </x:c>
      <x:c r="F166" s="41" t="str">
        <x:v>多选枚举</x:v>
      </x:c>
      <x:c r="G166" s="41" t="str">
        <x:v>是</x:v>
      </x:c>
      <x:c r="H166" s="41" t="str">
        <x:v>10类角色</x:v>
      </x:c>
      <x:c r="I166" s="41" t="str">
        <x:v>原型/材料已定义</x:v>
      </x:c>
      <x:c r="J166" s="43" t="str">
        <x:v>待确认</x:v>
      </x:c>
      <x:c r="K166" s="43" t="str">
        <x:v>权限</x:v>
      </x:c>
      <x:c r="L166" s="43" t="str">
        <x:v>角色</x:v>
      </x:c>
      <x:c r="M166" s="43" t="str">
        <x:v>多选枚举</x:v>
      </x:c>
      <x:c r="N166" s="43" t="str"/>
      <x:c r="O166" s="43" t="str"/>
      <x:c r="P166" s="41" t="str">
        <x:v>待确认</x:v>
      </x:c>
    </x:row>
    <x:row r="167" ht="40" customHeight="1">
      <x:c r="A167" s="41" t="str">
        <x:v>FM22-04</x:v>
      </x:c>
      <x:c r="B167" s="41" t="str">
        <x:v>统计、客户和基础设置</x:v>
      </x:c>
      <x:c r="C167" s="41" t="str">
        <x:v>用户管理</x:v>
      </x:c>
      <x:c r="D167" s="41" t="str">
        <x:v>权限</x:v>
      </x:c>
      <x:c r="E167" s="41" t="str">
        <x:v>所属区域/主管</x:v>
      </x:c>
      <x:c r="F167" s="41" t="str">
        <x:v>关联选择</x:v>
      </x:c>
      <x:c r="G167" s="41" t="str">
        <x:v>否</x:v>
      </x:c>
      <x:c r="H167" s="41" t="str">
        <x:v>数据范围</x:v>
      </x:c>
      <x:c r="I167" s="41" t="str">
        <x:v>原型/材料已定义</x:v>
      </x:c>
      <x:c r="J167" s="43" t="str">
        <x:v>待确认</x:v>
      </x:c>
      <x:c r="K167" s="43" t="str">
        <x:v>权限</x:v>
      </x:c>
      <x:c r="L167" s="43" t="str">
        <x:v>所属区域/主管</x:v>
      </x:c>
      <x:c r="M167" s="43" t="str">
        <x:v>关联选择</x:v>
      </x:c>
      <x:c r="N167" s="43" t="str"/>
      <x:c r="O167" s="43" t="str"/>
      <x:c r="P167" s="41" t="str">
        <x:v>待确认</x:v>
      </x:c>
    </x:row>
    <x:row r="168" ht="40" customHeight="1">
      <x:c r="A168" s="41" t="str">
        <x:v>FM22-05</x:v>
      </x:c>
      <x:c r="B168" s="41" t="str">
        <x:v>统计、客户和基础设置</x:v>
      </x:c>
      <x:c r="C168" s="41" t="str">
        <x:v>用户管理</x:v>
      </x:c>
      <x:c r="D168" s="41" t="str">
        <x:v>能力</x:v>
      </x:c>
      <x:c r="E168" s="41" t="str">
        <x:v>技能</x:v>
      </x:c>
      <x:c r="F168" s="41" t="str">
        <x:v>多选字典</x:v>
      </x:c>
      <x:c r="G168" s="41" t="str">
        <x:v>否</x:v>
      </x:c>
      <x:c r="H168" s="41" t="str">
        <x:v>师傅人工筛选</x:v>
      </x:c>
      <x:c r="I168" s="41" t="str">
        <x:v>原型/材料已定义</x:v>
      </x:c>
      <x:c r="J168" s="43" t="str">
        <x:v>待确认</x:v>
      </x:c>
      <x:c r="K168" s="43" t="str">
        <x:v>能力</x:v>
      </x:c>
      <x:c r="L168" s="43" t="str">
        <x:v>技能</x:v>
      </x:c>
      <x:c r="M168" s="43" t="str">
        <x:v>多选字典</x:v>
      </x:c>
      <x:c r="N168" s="43" t="str"/>
      <x:c r="O168" s="43" t="str"/>
      <x:c r="P168" s="41" t="str">
        <x:v>待确认</x:v>
      </x:c>
    </x:row>
    <x:row r="169" ht="40" customHeight="1">
      <x:c r="A169" s="41" t="str">
        <x:v>FM22-06</x:v>
      </x:c>
      <x:c r="B169" s="41" t="str">
        <x:v>统计、客户和基础设置</x:v>
      </x:c>
      <x:c r="C169" s="41" t="str">
        <x:v>用户管理</x:v>
      </x:c>
      <x:c r="D169" s="41" t="str">
        <x:v>状态</x:v>
      </x:c>
      <x:c r="E169" s="41" t="str">
        <x:v>启用/禁用/离职</x:v>
      </x:c>
      <x:c r="F169" s="41" t="str">
        <x:v>枚举</x:v>
      </x:c>
      <x:c r="G169" s="41" t="str">
        <x:v>是</x:v>
      </x:c>
      <x:c r="H169" s="41" t="str">
        <x:v>账号状态</x:v>
      </x:c>
      <x:c r="I169" s="41" t="str">
        <x:v>原型/材料已定义</x:v>
      </x:c>
      <x:c r="J169" s="43" t="str">
        <x:v>待确认</x:v>
      </x:c>
      <x:c r="K169" s="43" t="str">
        <x:v>状态</x:v>
      </x:c>
      <x:c r="L169" s="43" t="str">
        <x:v>启用/禁用/离职</x:v>
      </x:c>
      <x:c r="M169" s="43" t="str">
        <x:v>枚举</x:v>
      </x:c>
      <x:c r="N169" s="43" t="str"/>
      <x:c r="O169" s="43" t="str"/>
      <x:c r="P169" s="41" t="str">
        <x:v>待确认</x:v>
      </x:c>
    </x:row>
    <x:row r="170" ht="40" customHeight="1">
      <x:c r="A170" s="41" t="str">
        <x:v>FM22-07</x:v>
      </x:c>
      <x:c r="B170" s="41" t="str">
        <x:v>统计、客户和基础设置</x:v>
      </x:c>
      <x:c r="C170" s="41" t="str">
        <x:v>用户管理</x:v>
      </x:c>
      <x:c r="D170" s="41" t="str">
        <x:v>账号</x:v>
      </x:c>
      <x:c r="E170" s="41" t="str">
        <x:v>最后登录</x:v>
      </x:c>
      <x:c r="F170" s="41" t="str">
        <x:v>日期时间</x:v>
      </x:c>
      <x:c r="G170" s="41" t="str">
        <x:v>否</x:v>
      </x:c>
      <x:c r="H170" s="41" t="str">
        <x:v>审计信息</x:v>
      </x:c>
      <x:c r="I170" s="41" t="str">
        <x:v>原型/材料已定义</x:v>
      </x:c>
      <x:c r="J170" s="43" t="str">
        <x:v>待确认</x:v>
      </x:c>
      <x:c r="K170" s="43" t="str">
        <x:v>账号</x:v>
      </x:c>
      <x:c r="L170" s="43" t="str">
        <x:v>最后登录</x:v>
      </x:c>
      <x:c r="M170" s="43" t="str">
        <x:v>日期时间</x:v>
      </x:c>
      <x:c r="N170" s="43" t="str"/>
      <x:c r="O170" s="43" t="str"/>
      <x:c r="P170" s="41" t="str">
        <x:v>待确认</x:v>
      </x:c>
    </x:row>
    <x:row r="171" ht="40" customHeight="1">
      <x:c r="A171" s="41" t="str">
        <x:v>FM23-01</x:v>
      </x:c>
      <x:c r="B171" s="41" t="str">
        <x:v>统计、客户和基础设置</x:v>
      </x:c>
      <x:c r="C171" s="41" t="str">
        <x:v>客户/联系人/地点管理</x:v>
      </x:c>
      <x:c r="D171" s="41" t="str">
        <x:v>客户</x:v>
      </x:c>
      <x:c r="E171" s="41" t="str">
        <x:v>客户编号/中英文名称</x:v>
      </x:c>
      <x:c r="F171" s="41" t="str">
        <x:v>文本</x:v>
      </x:c>
      <x:c r="G171" s="41" t="str">
        <x:v>是</x:v>
      </x:c>
      <x:c r="H171" s="41" t="str">
        <x:v>客户主键</x:v>
      </x:c>
      <x:c r="I171" s="41" t="str">
        <x:v>原型/材料已定义</x:v>
      </x:c>
      <x:c r="J171" s="43" t="str">
        <x:v>待确认</x:v>
      </x:c>
      <x:c r="K171" s="43" t="str">
        <x:v>客户</x:v>
      </x:c>
      <x:c r="L171" s="43" t="str">
        <x:v>客户编号/中英文名称</x:v>
      </x:c>
      <x:c r="M171" s="43" t="str">
        <x:v>文本</x:v>
      </x:c>
      <x:c r="N171" s="43" t="str"/>
      <x:c r="O171" s="43" t="str"/>
      <x:c r="P171" s="41" t="str">
        <x:v>待确认</x:v>
      </x:c>
    </x:row>
    <x:row r="172" ht="40" customHeight="1">
      <x:c r="A172" s="41" t="str">
        <x:v>FM23-02</x:v>
      </x:c>
      <x:c r="B172" s="41" t="str">
        <x:v>统计、客户和基础设置</x:v>
      </x:c>
      <x:c r="C172" s="41" t="str">
        <x:v>客户/联系人/地点管理</x:v>
      </x:c>
      <x:c r="D172" s="41" t="str">
        <x:v>客户</x:v>
      </x:c>
      <x:c r="E172" s="41" t="str">
        <x:v>客户类型/等级/状态</x:v>
      </x:c>
      <x:c r="F172" s="41" t="str">
        <x:v>枚举</x:v>
      </x:c>
      <x:c r="G172" s="41" t="str">
        <x:v>是</x:v>
      </x:c>
      <x:c r="H172" s="41" t="str">
        <x:v>政府/私人等</x:v>
      </x:c>
      <x:c r="I172" s="41" t="str">
        <x:v>原型/材料已定义</x:v>
      </x:c>
      <x:c r="J172" s="43" t="str">
        <x:v>待确认</x:v>
      </x:c>
      <x:c r="K172" s="43" t="str">
        <x:v>客户</x:v>
      </x:c>
      <x:c r="L172" s="43" t="str">
        <x:v>客户类型/等级/状态</x:v>
      </x:c>
      <x:c r="M172" s="43" t="str">
        <x:v>枚举</x:v>
      </x:c>
      <x:c r="N172" s="43" t="str"/>
      <x:c r="O172" s="43" t="str"/>
      <x:c r="P172" s="41" t="str">
        <x:v>待确认</x:v>
      </x:c>
    </x:row>
    <x:row r="173" ht="40" customHeight="1">
      <x:c r="A173" s="41" t="str">
        <x:v>FM23-03</x:v>
      </x:c>
      <x:c r="B173" s="41" t="str">
        <x:v>统计、客户和基础设置</x:v>
      </x:c>
      <x:c r="C173" s="41" t="str">
        <x:v>客户/联系人/地点管理</x:v>
      </x:c>
      <x:c r="D173" s="41" t="str">
        <x:v>外部</x:v>
      </x:c>
      <x:c r="E173" s="41" t="str">
        <x:v>Peachtree ID</x:v>
      </x:c>
      <x:c r="F173" s="41" t="str">
        <x:v>文本</x:v>
      </x:c>
      <x:c r="G173" s="41" t="str">
        <x:v>否</x:v>
      </x:c>
      <x:c r="H173" s="41" t="str">
        <x:v>财务关联</x:v>
      </x:c>
      <x:c r="I173" s="41" t="str">
        <x:v>原型/材料已定义</x:v>
      </x:c>
      <x:c r="J173" s="43" t="str">
        <x:v>待确认</x:v>
      </x:c>
      <x:c r="K173" s="43" t="str">
        <x:v>外部</x:v>
      </x:c>
      <x:c r="L173" s="43" t="str">
        <x:v>Peachtree ID</x:v>
      </x:c>
      <x:c r="M173" s="43" t="str">
        <x:v>文本</x:v>
      </x:c>
      <x:c r="N173" s="43" t="str"/>
      <x:c r="O173" s="43" t="str"/>
      <x:c r="P173" s="41" t="str">
        <x:v>待确认</x:v>
      </x:c>
    </x:row>
    <x:row r="174" ht="40" customHeight="1">
      <x:c r="A174" s="41" t="str">
        <x:v>FM23-04</x:v>
      </x:c>
      <x:c r="B174" s="41" t="str">
        <x:v>统计、客户和基础设置</x:v>
      </x:c>
      <x:c r="C174" s="41" t="str">
        <x:v>客户/联系人/地点管理</x:v>
      </x:c>
      <x:c r="D174" s="41" t="str">
        <x:v>联系人</x:v>
      </x:c>
      <x:c r="E174" s="41" t="str">
        <x:v>姓名/职位/电话/WhatsApp/邮箱</x:v>
      </x:c>
      <x:c r="F174" s="41" t="str">
        <x:v>文本</x:v>
      </x:c>
      <x:c r="G174" s="41" t="str">
        <x:v>否</x:v>
      </x:c>
      <x:c r="H174" s="41" t="str">
        <x:v>可多条</x:v>
      </x:c>
      <x:c r="I174" s="41" t="str">
        <x:v>原型/材料已定义</x:v>
      </x:c>
      <x:c r="J174" s="43" t="str">
        <x:v>待确认</x:v>
      </x:c>
      <x:c r="K174" s="43" t="str">
        <x:v>联系人</x:v>
      </x:c>
      <x:c r="L174" s="43" t="str">
        <x:v>姓名/职位/电话/WhatsApp/邮箱</x:v>
      </x:c>
      <x:c r="M174" s="43" t="str">
        <x:v>文本</x:v>
      </x:c>
      <x:c r="N174" s="43" t="str"/>
      <x:c r="O174" s="43" t="str"/>
      <x:c r="P174" s="41" t="str">
        <x:v>待确认</x:v>
      </x:c>
    </x:row>
    <x:row r="175" ht="40" customHeight="1">
      <x:c r="A175" s="41" t="str">
        <x:v>FM23-05</x:v>
      </x:c>
      <x:c r="B175" s="41" t="str">
        <x:v>统计、客户和基础设置</x:v>
      </x:c>
      <x:c r="C175" s="41" t="str">
        <x:v>客户/联系人/地点管理</x:v>
      </x:c>
      <x:c r="D175" s="41" t="str">
        <x:v>地点</x:v>
      </x:c>
      <x:c r="E175" s="41" t="str">
        <x:v>区域/中英文地址</x:v>
      </x:c>
      <x:c r="F175" s="41" t="str">
        <x:v>文本/字典</x:v>
      </x:c>
      <x:c r="G175" s="41" t="str">
        <x:v>是</x:v>
      </x:c>
      <x:c r="H175" s="41" t="str">
        <x:v>可多地点</x:v>
      </x:c>
      <x:c r="I175" s="41" t="str">
        <x:v>原型/材料已定义</x:v>
      </x:c>
      <x:c r="J175" s="43" t="str">
        <x:v>待确认</x:v>
      </x:c>
      <x:c r="K175" s="43" t="str">
        <x:v>地点</x:v>
      </x:c>
      <x:c r="L175" s="43" t="str">
        <x:v>区域/中英文地址</x:v>
      </x:c>
      <x:c r="M175" s="43" t="str">
        <x:v>文本/字典</x:v>
      </x:c>
      <x:c r="N175" s="43" t="str"/>
      <x:c r="O175" s="43" t="str"/>
      <x:c r="P175" s="41" t="str">
        <x:v>待确认</x:v>
      </x:c>
    </x:row>
    <x:row r="176" ht="40" customHeight="1">
      <x:c r="A176" s="41" t="str">
        <x:v>FM23-06</x:v>
      </x:c>
      <x:c r="B176" s="41" t="str">
        <x:v>统计、客户和基础设置</x:v>
      </x:c>
      <x:c r="C176" s="41" t="str">
        <x:v>客户/联系人/地点管理</x:v>
      </x:c>
      <x:c r="D176" s="41" t="str">
        <x:v>地点</x:v>
      </x:c>
      <x:c r="E176" s="41" t="str">
        <x:v>默认TL</x:v>
      </x:c>
      <x:c r="F176" s="41" t="str">
        <x:v>人员</x:v>
      </x:c>
      <x:c r="G176" s="41" t="str">
        <x:v>否</x:v>
      </x:c>
      <x:c r="H176" s="41" t="str">
        <x:v>区域负责人</x:v>
      </x:c>
      <x:c r="I176" s="41" t="str">
        <x:v>原型/材料已定义</x:v>
      </x:c>
      <x:c r="J176" s="43" t="str">
        <x:v>待确认</x:v>
      </x:c>
      <x:c r="K176" s="43" t="str">
        <x:v>地点</x:v>
      </x:c>
      <x:c r="L176" s="43" t="str">
        <x:v>默认TL</x:v>
      </x:c>
      <x:c r="M176" s="43" t="str">
        <x:v>人员</x:v>
      </x:c>
      <x:c r="N176" s="43" t="str"/>
      <x:c r="O176" s="43" t="str"/>
      <x:c r="P176" s="41" t="str">
        <x:v>待确认</x:v>
      </x:c>
    </x:row>
    <x:row r="177" ht="40" customHeight="1">
      <x:c r="A177" s="41" t="str">
        <x:v>FM23-07</x:v>
      </x:c>
      <x:c r="B177" s="41" t="str">
        <x:v>统计、客户和基础设置</x:v>
      </x:c>
      <x:c r="C177" s="41" t="str">
        <x:v>客户/联系人/地点管理</x:v>
      </x:c>
      <x:c r="D177" s="41" t="str">
        <x:v>规则</x:v>
      </x:c>
      <x:c r="E177" s="41" t="str">
        <x:v>不可拍照/原因</x:v>
      </x:c>
      <x:c r="F177" s="41" t="str">
        <x:v>布尔/文本</x:v>
      </x:c>
      <x:c r="G177" s="41" t="str">
        <x:v>否</x:v>
      </x:c>
      <x:c r="H177" s="41" t="str">
        <x:v>现场校验</x:v>
      </x:c>
      <x:c r="I177" s="41" t="str">
        <x:v>原型/材料已定义</x:v>
      </x:c>
      <x:c r="J177" s="43" t="str">
        <x:v>待确认</x:v>
      </x:c>
      <x:c r="K177" s="43" t="str">
        <x:v>规则</x:v>
      </x:c>
      <x:c r="L177" s="43" t="str">
        <x:v>不可拍照/原因</x:v>
      </x:c>
      <x:c r="M177" s="43" t="str">
        <x:v>布尔/文本</x:v>
      </x:c>
      <x:c r="N177" s="43" t="str"/>
      <x:c r="O177" s="43" t="str"/>
      <x:c r="P177" s="41" t="str">
        <x:v>待确认</x:v>
      </x:c>
    </x:row>
    <x:row r="178" ht="40" customHeight="1">
      <x:c r="A178" s="41" t="str">
        <x:v>FM23-08</x:v>
      </x:c>
      <x:c r="B178" s="41" t="str">
        <x:v>统计、客户和基础设置</x:v>
      </x:c>
      <x:c r="C178" s="41" t="str">
        <x:v>客户/联系人/地点管理</x:v>
      </x:c>
      <x:c r="D178" s="41" t="str">
        <x:v>合约</x:v>
      </x:c>
      <x:c r="E178" s="41" t="str">
        <x:v>项目/合约编号与周期</x:v>
      </x:c>
      <x:c r="F178" s="41" t="str">
        <x:v>文本/日期</x:v>
      </x:c>
      <x:c r="G178" s="41" t="str">
        <x:v>否</x:v>
      </x:c>
      <x:c r="H178" s="41" t="str">
        <x:v>服务关系</x:v>
      </x:c>
      <x:c r="I178" s="41" t="str">
        <x:v>原型/材料已定义</x:v>
      </x:c>
      <x:c r="J178" s="43" t="str">
        <x:v>待确认</x:v>
      </x:c>
      <x:c r="K178" s="43" t="str">
        <x:v>合约</x:v>
      </x:c>
      <x:c r="L178" s="43" t="str">
        <x:v>项目/合约编号与周期</x:v>
      </x:c>
      <x:c r="M178" s="43" t="str">
        <x:v>文本/日期</x:v>
      </x:c>
      <x:c r="N178" s="43" t="str"/>
      <x:c r="O178" s="43" t="str"/>
      <x:c r="P178" s="41" t="str">
        <x:v>待确认</x:v>
      </x:c>
    </x:row>
    <x:row r="179" ht="40" customHeight="1">
      <x:c r="A179" s="41" t="str">
        <x:v>FM24-01</x:v>
      </x:c>
      <x:c r="B179" s="41" t="str">
        <x:v>统计、客户和基础设置</x:v>
      </x:c>
      <x:c r="C179" s="41" t="str">
        <x:v>业务字典管理</x:v>
      </x:c>
      <x:c r="D179" s="41" t="str">
        <x:v>字典</x:v>
      </x:c>
      <x:c r="E179" s="41" t="str">
        <x:v>字典类别</x:v>
      </x:c>
      <x:c r="F179" s="41" t="str">
        <x:v>枚举</x:v>
      </x:c>
      <x:c r="G179" s="41" t="str">
        <x:v>是</x:v>
      </x:c>
      <x:c r="H179" s="41" t="str">
        <x:v>CALL类型/区域/状态等</x:v>
      </x:c>
      <x:c r="I179" s="41" t="str">
        <x:v>原型/材料已定义</x:v>
      </x:c>
      <x:c r="J179" s="43" t="str">
        <x:v>待确认</x:v>
      </x:c>
      <x:c r="K179" s="43" t="str">
        <x:v>字典</x:v>
      </x:c>
      <x:c r="L179" s="43" t="str">
        <x:v>字典类别</x:v>
      </x:c>
      <x:c r="M179" s="43" t="str">
        <x:v>枚举</x:v>
      </x:c>
      <x:c r="N179" s="43" t="str"/>
      <x:c r="O179" s="43" t="str"/>
      <x:c r="P179" s="41" t="str">
        <x:v>待确认</x:v>
      </x:c>
    </x:row>
    <x:row r="180" ht="40" customHeight="1">
      <x:c r="A180" s="41" t="str">
        <x:v>FM24-02</x:v>
      </x:c>
      <x:c r="B180" s="41" t="str">
        <x:v>统计、客户和基础设置</x:v>
      </x:c>
      <x:c r="C180" s="41" t="str">
        <x:v>业务字典管理</x:v>
      </x:c>
      <x:c r="D180" s="41" t="str">
        <x:v>字典</x:v>
      </x:c>
      <x:c r="E180" s="41" t="str">
        <x:v>代码</x:v>
      </x:c>
      <x:c r="F180" s="41" t="str">
        <x:v>文本</x:v>
      </x:c>
      <x:c r="G180" s="41" t="str">
        <x:v>是</x:v>
      </x:c>
      <x:c r="H180" s="41" t="str">
        <x:v>唯一代码</x:v>
      </x:c>
      <x:c r="I180" s="41" t="str">
        <x:v>原型/材料已定义</x:v>
      </x:c>
      <x:c r="J180" s="43" t="str">
        <x:v>待确认</x:v>
      </x:c>
      <x:c r="K180" s="43" t="str">
        <x:v>字典</x:v>
      </x:c>
      <x:c r="L180" s="43" t="str">
        <x:v>代码</x:v>
      </x:c>
      <x:c r="M180" s="43" t="str">
        <x:v>文本</x:v>
      </x:c>
      <x:c r="N180" s="43" t="str"/>
      <x:c r="O180" s="43" t="str"/>
      <x:c r="P180" s="41" t="str">
        <x:v>待确认</x:v>
      </x:c>
    </x:row>
    <x:row r="181" ht="40" customHeight="1">
      <x:c r="A181" s="41" t="str">
        <x:v>FM24-03</x:v>
      </x:c>
      <x:c r="B181" s="41" t="str">
        <x:v>统计、客户和基础设置</x:v>
      </x:c>
      <x:c r="C181" s="41" t="str">
        <x:v>业务字典管理</x:v>
      </x:c>
      <x:c r="D181" s="41" t="str">
        <x:v>字典</x:v>
      </x:c>
      <x:c r="E181" s="41" t="str">
        <x:v>名称/说明</x:v>
      </x:c>
      <x:c r="F181" s="41" t="str">
        <x:v>文本</x:v>
      </x:c>
      <x:c r="G181" s="41" t="str">
        <x:v>是</x:v>
      </x:c>
      <x:c r="H181" s="41" t="str">
        <x:v>显示内容</x:v>
      </x:c>
      <x:c r="I181" s="41" t="str">
        <x:v>原型/材料已定义</x:v>
      </x:c>
      <x:c r="J181" s="43" t="str">
        <x:v>待确认</x:v>
      </x:c>
      <x:c r="K181" s="43" t="str">
        <x:v>字典</x:v>
      </x:c>
      <x:c r="L181" s="43" t="str">
        <x:v>名称/说明</x:v>
      </x:c>
      <x:c r="M181" s="43" t="str">
        <x:v>文本</x:v>
      </x:c>
      <x:c r="N181" s="43" t="str"/>
      <x:c r="O181" s="43" t="str"/>
      <x:c r="P181" s="41" t="str">
        <x:v>待确认</x:v>
      </x:c>
    </x:row>
    <x:row r="182" ht="40" customHeight="1">
      <x:c r="A182" s="41" t="str">
        <x:v>FM24-04</x:v>
      </x:c>
      <x:c r="B182" s="41" t="str">
        <x:v>统计、客户和基础设置</x:v>
      </x:c>
      <x:c r="C182" s="41" t="str">
        <x:v>业务字典管理</x:v>
      </x:c>
      <x:c r="D182" s="41" t="str">
        <x:v>字典</x:v>
      </x:c>
      <x:c r="E182" s="41" t="str">
        <x:v>排序</x:v>
      </x:c>
      <x:c r="F182" s="41" t="str">
        <x:v>数字</x:v>
      </x:c>
      <x:c r="G182" s="41" t="str">
        <x:v>否</x:v>
      </x:c>
      <x:c r="H182" s="41" t="str">
        <x:v>显示顺序</x:v>
      </x:c>
      <x:c r="I182" s="41" t="str">
        <x:v>原型/材料已定义</x:v>
      </x:c>
      <x:c r="J182" s="43" t="str">
        <x:v>待确认</x:v>
      </x:c>
      <x:c r="K182" s="43" t="str">
        <x:v>字典</x:v>
      </x:c>
      <x:c r="L182" s="43" t="str">
        <x:v>排序</x:v>
      </x:c>
      <x:c r="M182" s="43" t="str">
        <x:v>数字</x:v>
      </x:c>
      <x:c r="N182" s="43" t="str"/>
      <x:c r="O182" s="43" t="str"/>
      <x:c r="P182" s="41" t="str">
        <x:v>待确认</x:v>
      </x:c>
    </x:row>
    <x:row r="183" ht="40" customHeight="1">
      <x:c r="A183" s="41" t="str">
        <x:v>FM24-05</x:v>
      </x:c>
      <x:c r="B183" s="41" t="str">
        <x:v>统计、客户和基础设置</x:v>
      </x:c>
      <x:c r="C183" s="41" t="str">
        <x:v>业务字典管理</x:v>
      </x:c>
      <x:c r="D183" s="41" t="str">
        <x:v>字典</x:v>
      </x:c>
      <x:c r="E183" s="41" t="str">
        <x:v>启用状态</x:v>
      </x:c>
      <x:c r="F183" s="41" t="str">
        <x:v>布尔</x:v>
      </x:c>
      <x:c r="G183" s="41" t="str">
        <x:v>是</x:v>
      </x:c>
      <x:c r="H183" s="41" t="str">
        <x:v>历史兼容</x:v>
      </x:c>
      <x:c r="I183" s="41" t="str">
        <x:v>原型/材料已定义</x:v>
      </x:c>
      <x:c r="J183" s="43" t="str">
        <x:v>待确认</x:v>
      </x:c>
      <x:c r="K183" s="43" t="str">
        <x:v>字典</x:v>
      </x:c>
      <x:c r="L183" s="43" t="str">
        <x:v>启用状态</x:v>
      </x:c>
      <x:c r="M183" s="43" t="str">
        <x:v>布尔</x:v>
      </x:c>
      <x:c r="N183" s="43" t="str"/>
      <x:c r="O183" s="43" t="str"/>
      <x:c r="P183" s="41" t="str">
        <x:v>待确认</x:v>
      </x:c>
    </x:row>
    <x:row r="184" ht="40" customHeight="1">
      <x:c r="A184" s="41" t="str">
        <x:v>FM24-06</x:v>
      </x:c>
      <x:c r="B184" s="41" t="str">
        <x:v>统计、客户和基础设置</x:v>
      </x:c>
      <x:c r="C184" s="41" t="str">
        <x:v>业务字典管理</x:v>
      </x:c>
      <x:c r="D184" s="41" t="str">
        <x:v>规则</x:v>
      </x:c>
      <x:c r="E184" s="41" t="str">
        <x:v>关联通知/负责人</x:v>
      </x:c>
      <x:c r="F184" s="41" t="str">
        <x:v>配置</x:v>
      </x:c>
      <x:c r="G184" s="41" t="str">
        <x:v>否</x:v>
      </x:c>
      <x:c r="H184" s="41" t="str">
        <x:v>按类别使用</x:v>
      </x:c>
      <x:c r="I184" s="41" t="str">
        <x:v>原型/材料已定义</x:v>
      </x:c>
      <x:c r="J184" s="43" t="str">
        <x:v>待确认</x:v>
      </x:c>
      <x:c r="K184" s="43" t="str">
        <x:v>规则</x:v>
      </x:c>
      <x:c r="L184" s="43" t="str">
        <x:v>关联通知/负责人</x:v>
      </x:c>
      <x:c r="M184" s="43" t="str">
        <x:v>配置</x:v>
      </x:c>
      <x:c r="N184" s="43" t="str"/>
      <x:c r="O184" s="43" t="str"/>
      <x:c r="P184" s="41" t="str">
        <x:v>待确认</x:v>
      </x:c>
    </x:row>
    <x:row r="185" ht="40" customHeight="1">
      <x:c r="A185" s="41" t="str">
        <x:v>FM25-01</x:v>
      </x:c>
      <x:c r="B185" s="41" t="str">
        <x:v>统计、客户和基础设置</x:v>
      </x:c>
      <x:c r="C185" s="41" t="str">
        <x:v>Excel导入</x:v>
      </x:c>
      <x:c r="D185" s="41" t="str">
        <x:v>导入</x:v>
      </x:c>
      <x:c r="E185" s="41" t="str">
        <x:v>数据类型</x:v>
      </x:c>
      <x:c r="F185" s="41" t="str">
        <x:v>枚举</x:v>
      </x:c>
      <x:c r="G185" s="41" t="str">
        <x:v>是</x:v>
      </x:c>
      <x:c r="H185" s="41" t="str">
        <x:v>客户/CALL/报价/发票/收款</x:v>
      </x:c>
      <x:c r="I185" s="41" t="str">
        <x:v>原型/材料已定义</x:v>
      </x:c>
      <x:c r="J185" s="43" t="str">
        <x:v>待确认</x:v>
      </x:c>
      <x:c r="K185" s="43" t="str">
        <x:v>导入</x:v>
      </x:c>
      <x:c r="L185" s="43" t="str">
        <x:v>数据类型</x:v>
      </x:c>
      <x:c r="M185" s="43" t="str">
        <x:v>枚举</x:v>
      </x:c>
      <x:c r="N185" s="43" t="str"/>
      <x:c r="O185" s="43" t="str"/>
      <x:c r="P185" s="41" t="str">
        <x:v>待确认</x:v>
      </x:c>
    </x:row>
    <x:row r="186" ht="40" customHeight="1">
      <x:c r="A186" s="41" t="str">
        <x:v>FM25-02</x:v>
      </x:c>
      <x:c r="B186" s="41" t="str">
        <x:v>统计、客户和基础设置</x:v>
      </x:c>
      <x:c r="C186" s="41" t="str">
        <x:v>Excel导入</x:v>
      </x:c>
      <x:c r="D186" s="41" t="str">
        <x:v>导入</x:v>
      </x:c>
      <x:c r="E186" s="41" t="str">
        <x:v>文件</x:v>
      </x:c>
      <x:c r="F186" s="41" t="str">
        <x:v>Excel文件</x:v>
      </x:c>
      <x:c r="G186" s="41" t="str">
        <x:v>是</x:v>
      </x:c>
      <x:c r="H186" s="41" t="str">
        <x:v>模板格式</x:v>
      </x:c>
      <x:c r="I186" s="41" t="str">
        <x:v>原型/材料已定义</x:v>
      </x:c>
      <x:c r="J186" s="43" t="str">
        <x:v>待确认</x:v>
      </x:c>
      <x:c r="K186" s="43" t="str">
        <x:v>导入</x:v>
      </x:c>
      <x:c r="L186" s="43" t="str">
        <x:v>文件</x:v>
      </x:c>
      <x:c r="M186" s="43" t="str">
        <x:v>Excel文件</x:v>
      </x:c>
      <x:c r="N186" s="43" t="str"/>
      <x:c r="O186" s="43" t="str"/>
      <x:c r="P186" s="41" t="str">
        <x:v>待确认</x:v>
      </x:c>
    </x:row>
    <x:row r="187" ht="40" customHeight="1">
      <x:c r="A187" s="41" t="str">
        <x:v>FM25-03</x:v>
      </x:c>
      <x:c r="B187" s="41" t="str">
        <x:v>统计、客户和基础设置</x:v>
      </x:c>
      <x:c r="C187" s="41" t="str">
        <x:v>Excel导入</x:v>
      </x:c>
      <x:c r="D187" s="41" t="str">
        <x:v>导入</x:v>
      </x:c>
      <x:c r="E187" s="41" t="str">
        <x:v>重复处理</x:v>
      </x:c>
      <x:c r="F187" s="41" t="str">
        <x:v>枚举</x:v>
      </x:c>
      <x:c r="G187" s="41" t="str">
        <x:v>是</x:v>
      </x:c>
      <x:c r="H187" s="41" t="str">
        <x:v>跳过/更新/报错</x:v>
      </x:c>
      <x:c r="I187" s="41" t="str">
        <x:v>原型/材料已定义</x:v>
      </x:c>
      <x:c r="J187" s="43" t="str">
        <x:v>待确认</x:v>
      </x:c>
      <x:c r="K187" s="43" t="str">
        <x:v>导入</x:v>
      </x:c>
      <x:c r="L187" s="43" t="str">
        <x:v>重复处理</x:v>
      </x:c>
      <x:c r="M187" s="43" t="str">
        <x:v>枚举</x:v>
      </x:c>
      <x:c r="N187" s="43" t="str"/>
      <x:c r="O187" s="43" t="str"/>
      <x:c r="P187" s="41" t="str">
        <x:v>待确认</x:v>
      </x:c>
    </x:row>
    <x:row r="188" ht="40" customHeight="1">
      <x:c r="A188" s="41" t="str">
        <x:v>FM25-04</x:v>
      </x:c>
      <x:c r="B188" s="41" t="str">
        <x:v>统计、客户和基础设置</x:v>
      </x:c>
      <x:c r="C188" s="41" t="str">
        <x:v>Excel导入</x:v>
      </x:c>
      <x:c r="D188" s="41" t="str">
        <x:v>结果</x:v>
      </x:c>
      <x:c r="E188" s="41" t="str">
        <x:v>总数/成功/失败</x:v>
      </x:c>
      <x:c r="F188" s="41" t="str">
        <x:v>数字</x:v>
      </x:c>
      <x:c r="G188" s="41" t="str">
        <x:v>否</x:v>
      </x:c>
      <x:c r="H188" s="41" t="str">
        <x:v>校验结果</x:v>
      </x:c>
      <x:c r="I188" s="41" t="str">
        <x:v>原型/材料已定义</x:v>
      </x:c>
      <x:c r="J188" s="43" t="str">
        <x:v>待确认</x:v>
      </x:c>
      <x:c r="K188" s="43" t="str">
        <x:v>结果</x:v>
      </x:c>
      <x:c r="L188" s="43" t="str">
        <x:v>总数/成功/失败</x:v>
      </x:c>
      <x:c r="M188" s="43" t="str">
        <x:v>数字</x:v>
      </x:c>
      <x:c r="N188" s="43" t="str"/>
      <x:c r="O188" s="43" t="str"/>
      <x:c r="P188" s="41" t="str">
        <x:v>待确认</x:v>
      </x:c>
    </x:row>
    <x:row r="189" ht="40" customHeight="1">
      <x:c r="A189" s="41" t="str">
        <x:v>FM25-05</x:v>
      </x:c>
      <x:c r="B189" s="41" t="str">
        <x:v>统计、客户和基础设置</x:v>
      </x:c>
      <x:c r="C189" s="41" t="str">
        <x:v>Excel导入</x:v>
      </x:c>
      <x:c r="D189" s="41" t="str">
        <x:v>结果</x:v>
      </x:c>
      <x:c r="E189" s="41" t="str">
        <x:v>错误行/原因</x:v>
      </x:c>
      <x:c r="F189" s="41" t="str">
        <x:v>记录</x:v>
      </x:c>
      <x:c r="G189" s="41" t="str">
        <x:v>否</x:v>
      </x:c>
      <x:c r="H189" s="41" t="str">
        <x:v>可下载错误明细</x:v>
      </x:c>
      <x:c r="I189" s="41" t="str">
        <x:v>原型/材料已定义</x:v>
      </x:c>
      <x:c r="J189" s="43" t="str">
        <x:v>待确认</x:v>
      </x:c>
      <x:c r="K189" s="43" t="str">
        <x:v>结果</x:v>
      </x:c>
      <x:c r="L189" s="43" t="str">
        <x:v>错误行/原因</x:v>
      </x:c>
      <x:c r="M189" s="43" t="str">
        <x:v>记录</x:v>
      </x:c>
      <x:c r="N189" s="43" t="str"/>
      <x:c r="O189" s="43" t="str"/>
      <x:c r="P189" s="41" t="str">
        <x:v>待确认</x:v>
      </x:c>
    </x:row>
    <x:row r="190" ht="40" customHeight="1">
      <x:c r="A190" s="41" t="str">
        <x:v>FM26-01</x:v>
      </x:c>
      <x:c r="B190" s="41" t="str">
        <x:v>统计、客户和基础设置</x:v>
      </x:c>
      <x:c r="C190" s="41" t="str">
        <x:v>附件存储设置</x:v>
      </x:c>
      <x:c r="D190" s="41" t="str">
        <x:v>存储</x:v>
      </x:c>
      <x:c r="E190" s="41" t="str">
        <x:v>存储方式/供应商</x:v>
      </x:c>
      <x:c r="F190" s="41" t="str">
        <x:v>枚举</x:v>
      </x:c>
      <x:c r="G190" s="41" t="str">
        <x:v>是</x:v>
      </x:c>
      <x:c r="H190" s="41" t="str">
        <x:v>待技术选型</x:v>
      </x:c>
      <x:c r="I190" s="41" t="str">
        <x:v>原型/材料已定义</x:v>
      </x:c>
      <x:c r="J190" s="43" t="str">
        <x:v>待确认</x:v>
      </x:c>
      <x:c r="K190" s="43" t="str">
        <x:v>存储</x:v>
      </x:c>
      <x:c r="L190" s="43" t="str">
        <x:v>存储方式/供应商</x:v>
      </x:c>
      <x:c r="M190" s="43" t="str">
        <x:v>枚举</x:v>
      </x:c>
      <x:c r="N190" s="43" t="str"/>
      <x:c r="O190" s="43" t="str"/>
      <x:c r="P190" s="41" t="str">
        <x:v>待确认</x:v>
      </x:c>
    </x:row>
    <x:row r="191" ht="40" customHeight="1">
      <x:c r="A191" s="41" t="str">
        <x:v>FM26-02</x:v>
      </x:c>
      <x:c r="B191" s="41" t="str">
        <x:v>统计、客户和基础设置</x:v>
      </x:c>
      <x:c r="C191" s="41" t="str">
        <x:v>附件存储设置</x:v>
      </x:c>
      <x:c r="D191" s="41" t="str">
        <x:v>文件</x:v>
      </x:c>
      <x:c r="E191" s="41" t="str">
        <x:v>允许类型</x:v>
      </x:c>
      <x:c r="F191" s="41" t="str">
        <x:v>多选</x:v>
      </x:c>
      <x:c r="G191" s="41" t="str">
        <x:v>是</x:v>
      </x:c>
      <x:c r="H191" s="41" t="str">
        <x:v>图片/PDF/文档</x:v>
      </x:c>
      <x:c r="I191" s="41" t="str">
        <x:v>原型/材料已定义</x:v>
      </x:c>
      <x:c r="J191" s="43" t="str">
        <x:v>待确认</x:v>
      </x:c>
      <x:c r="K191" s="43" t="str">
        <x:v>文件</x:v>
      </x:c>
      <x:c r="L191" s="43" t="str">
        <x:v>允许类型</x:v>
      </x:c>
      <x:c r="M191" s="43" t="str">
        <x:v>多选</x:v>
      </x:c>
      <x:c r="N191" s="43" t="str"/>
      <x:c r="O191" s="43" t="str"/>
      <x:c r="P191" s="41" t="str">
        <x:v>待确认</x:v>
      </x:c>
    </x:row>
    <x:row r="192" ht="40" customHeight="1">
      <x:c r="A192" s="41" t="str">
        <x:v>FM26-03</x:v>
      </x:c>
      <x:c r="B192" s="41" t="str">
        <x:v>统计、客户和基础设置</x:v>
      </x:c>
      <x:c r="C192" s="41" t="str">
        <x:v>附件存储设置</x:v>
      </x:c>
      <x:c r="D192" s="41" t="str">
        <x:v>文件</x:v>
      </x:c>
      <x:c r="E192" s="41" t="str">
        <x:v>单文件大小</x:v>
      </x:c>
      <x:c r="F192" s="41" t="str">
        <x:v>数字</x:v>
      </x:c>
      <x:c r="G192" s="41" t="str">
        <x:v>是</x:v>
      </x:c>
      <x:c r="H192" s="41" t="str">
        <x:v>MB</x:v>
      </x:c>
      <x:c r="I192" s="41" t="str">
        <x:v>原型/材料已定义</x:v>
      </x:c>
      <x:c r="J192" s="43" t="str">
        <x:v>待确认</x:v>
      </x:c>
      <x:c r="K192" s="43" t="str">
        <x:v>文件</x:v>
      </x:c>
      <x:c r="L192" s="43" t="str">
        <x:v>单文件大小</x:v>
      </x:c>
      <x:c r="M192" s="43" t="str">
        <x:v>数字</x:v>
      </x:c>
      <x:c r="N192" s="43" t="str"/>
      <x:c r="O192" s="43" t="str"/>
      <x:c r="P192" s="41" t="str">
        <x:v>待确认</x:v>
      </x:c>
    </x:row>
    <x:row r="193" ht="40" customHeight="1">
      <x:c r="A193" s="41" t="str">
        <x:v>FM26-04</x:v>
      </x:c>
      <x:c r="B193" s="41" t="str">
        <x:v>统计、客户和基础设置</x:v>
      </x:c>
      <x:c r="C193" s="41" t="str">
        <x:v>附件存储设置</x:v>
      </x:c>
      <x:c r="D193" s="41" t="str">
        <x:v>容量</x:v>
      </x:c>
      <x:c r="E193" s="41" t="str">
        <x:v>总容量/已用容量</x:v>
      </x:c>
      <x:c r="F193" s="41" t="str">
        <x:v>数字</x:v>
      </x:c>
      <x:c r="G193" s="41" t="str">
        <x:v>是</x:v>
      </x:c>
      <x:c r="H193" s="41" t="str">
        <x:v>GB</x:v>
      </x:c>
      <x:c r="I193" s="41" t="str">
        <x:v>原型/材料已定义</x:v>
      </x:c>
      <x:c r="J193" s="43" t="str">
        <x:v>待确认</x:v>
      </x:c>
      <x:c r="K193" s="43" t="str">
        <x:v>容量</x:v>
      </x:c>
      <x:c r="L193" s="43" t="str">
        <x:v>总容量/已用容量</x:v>
      </x:c>
      <x:c r="M193" s="43" t="str">
        <x:v>数字</x:v>
      </x:c>
      <x:c r="N193" s="43" t="str"/>
      <x:c r="O193" s="43" t="str"/>
      <x:c r="P193" s="41" t="str">
        <x:v>待确认</x:v>
      </x:c>
    </x:row>
    <x:row r="194" ht="40" customHeight="1">
      <x:c r="A194" s="41" t="str">
        <x:v>FM26-05</x:v>
      </x:c>
      <x:c r="B194" s="41" t="str">
        <x:v>统计、客户和基础设置</x:v>
      </x:c>
      <x:c r="C194" s="41" t="str">
        <x:v>附件存储设置</x:v>
      </x:c>
      <x:c r="D194" s="41" t="str">
        <x:v>保留</x:v>
      </x:c>
      <x:c r="E194" s="41" t="str">
        <x:v>在线保留期</x:v>
      </x:c>
      <x:c r="F194" s="41" t="str">
        <x:v>数字</x:v>
      </x:c>
      <x:c r="G194" s="41" t="str">
        <x:v>是</x:v>
      </x:c>
      <x:c r="H194" s="41" t="str">
        <x:v>天/月</x:v>
      </x:c>
      <x:c r="I194" s="41" t="str">
        <x:v>原型/材料已定义</x:v>
      </x:c>
      <x:c r="J194" s="43" t="str">
        <x:v>待确认</x:v>
      </x:c>
      <x:c r="K194" s="43" t="str">
        <x:v>保留</x:v>
      </x:c>
      <x:c r="L194" s="43" t="str">
        <x:v>在线保留期</x:v>
      </x:c>
      <x:c r="M194" s="43" t="str">
        <x:v>数字</x:v>
      </x:c>
      <x:c r="N194" s="43" t="str"/>
      <x:c r="O194" s="43" t="str"/>
      <x:c r="P194" s="41" t="str">
        <x:v>待确认</x:v>
      </x:c>
    </x:row>
    <x:row r="195" ht="40" customHeight="1">
      <x:c r="A195" s="41" t="str">
        <x:v>FM26-06</x:v>
      </x:c>
      <x:c r="B195" s="41" t="str">
        <x:v>统计、客户和基础设置</x:v>
      </x:c>
      <x:c r="C195" s="41" t="str">
        <x:v>附件存储设置</x:v>
      </x:c>
      <x:c r="D195" s="41" t="str">
        <x:v>备份</x:v>
      </x:c>
      <x:c r="E195" s="41" t="str">
        <x:v>备份周期/位置</x:v>
      </x:c>
      <x:c r="F195" s="41" t="str">
        <x:v>配置</x:v>
      </x:c>
      <x:c r="G195" s="41" t="str">
        <x:v>是</x:v>
      </x:c>
      <x:c r="H195" s="41" t="str">
        <x:v>需可恢复</x:v>
      </x:c>
      <x:c r="I195" s="41" t="str">
        <x:v>原型/材料已定义</x:v>
      </x:c>
      <x:c r="J195" s="43" t="str">
        <x:v>待确认</x:v>
      </x:c>
      <x:c r="K195" s="43" t="str">
        <x:v>备份</x:v>
      </x:c>
      <x:c r="L195" s="43" t="str">
        <x:v>备份周期/位置</x:v>
      </x:c>
      <x:c r="M195" s="43" t="str">
        <x:v>配置</x:v>
      </x:c>
      <x:c r="N195" s="43" t="str"/>
      <x:c r="O195" s="43" t="str"/>
      <x:c r="P195" s="41" t="str">
        <x:v>待确认</x:v>
      </x:c>
    </x:row>
    <x:row r="196" ht="40" customHeight="1">
      <x:c r="A196" s="41" t="str">
        <x:v>FM26-07</x:v>
      </x:c>
      <x:c r="B196" s="41" t="str">
        <x:v>统计、客户和基础设置</x:v>
      </x:c>
      <x:c r="C196" s="41" t="str">
        <x:v>附件存储设置</x:v>
      </x:c>
      <x:c r="D196" s="41" t="str">
        <x:v>清理</x:v>
      </x:c>
      <x:c r="E196" s="41" t="str">
        <x:v>清理策略</x:v>
      </x:c>
      <x:c r="F196" s="41" t="str">
        <x:v>配置</x:v>
      </x:c>
      <x:c r="G196" s="41" t="str">
        <x:v>否</x:v>
      </x:c>
      <x:c r="H196" s="41" t="str">
        <x:v>到期归档/删除</x:v>
      </x:c>
      <x:c r="I196" s="41" t="str">
        <x:v>原型/材料已定义</x:v>
      </x:c>
      <x:c r="J196" s="43" t="str">
        <x:v>待确认</x:v>
      </x:c>
      <x:c r="K196" s="43" t="str">
        <x:v>清理</x:v>
      </x:c>
      <x:c r="L196" s="43" t="str">
        <x:v>清理策略</x:v>
      </x:c>
      <x:c r="M196" s="43" t="str">
        <x:v>配置</x:v>
      </x:c>
      <x:c r="N196" s="43" t="str"/>
      <x:c r="O196" s="43" t="str"/>
      <x:c r="P196" s="41" t="str">
        <x:v>待确认</x:v>
      </x:c>
    </x:row>
    <x:row r="197" ht="40" customHeight="1">
      <x:c r="A197" s="41" t="str">
        <x:v>FM27-01</x:v>
      </x:c>
      <x:c r="B197" s="41" t="str">
        <x:v>统计、客户和基础设置</x:v>
      </x:c>
      <x:c r="C197" s="41" t="str">
        <x:v>统计报表</x:v>
      </x:c>
      <x:c r="D197" s="41" t="str">
        <x:v>范围</x:v>
      </x:c>
      <x:c r="E197" s="41" t="str">
        <x:v>统计日期范围</x:v>
      </x:c>
      <x:c r="F197" s="41" t="str">
        <x:v>日期范围</x:v>
      </x:c>
      <x:c r="G197" s="41" t="str">
        <x:v>否</x:v>
      </x:c>
      <x:c r="H197" s="41" t="str">
        <x:v>默认当前周期</x:v>
      </x:c>
      <x:c r="I197" s="41" t="str">
        <x:v>原型/材料已定义</x:v>
      </x:c>
      <x:c r="J197" s="43" t="str">
        <x:v>待确认</x:v>
      </x:c>
      <x:c r="K197" s="43" t="str">
        <x:v>范围</x:v>
      </x:c>
      <x:c r="L197" s="43" t="str">
        <x:v>统计日期范围</x:v>
      </x:c>
      <x:c r="M197" s="43" t="str">
        <x:v>日期范围</x:v>
      </x:c>
      <x:c r="N197" s="43" t="str"/>
      <x:c r="O197" s="43" t="str"/>
      <x:c r="P197" s="41" t="str">
        <x:v>待确认</x:v>
      </x:c>
    </x:row>
    <x:row r="198" ht="40" customHeight="1">
      <x:c r="A198" s="41" t="str">
        <x:v>FM27-02</x:v>
      </x:c>
      <x:c r="B198" s="41" t="str">
        <x:v>统计、客户和基础设置</x:v>
      </x:c>
      <x:c r="C198" s="41" t="str">
        <x:v>统计报表</x:v>
      </x:c>
      <x:c r="D198" s="41" t="str">
        <x:v>维度</x:v>
      </x:c>
      <x:c r="E198" s="41" t="str">
        <x:v>状态/类型/区域/师傅/客户</x:v>
      </x:c>
      <x:c r="F198" s="41" t="str">
        <x:v>枚举</x:v>
      </x:c>
      <x:c r="G198" s="41" t="str">
        <x:v>是</x:v>
      </x:c>
      <x:c r="H198" s="41" t="str">
        <x:v>切换维度</x:v>
      </x:c>
      <x:c r="I198" s="41" t="str">
        <x:v>原型/材料已定义</x:v>
      </x:c>
      <x:c r="J198" s="43" t="str">
        <x:v>待确认</x:v>
      </x:c>
      <x:c r="K198" s="43" t="str">
        <x:v>维度</x:v>
      </x:c>
      <x:c r="L198" s="43" t="str">
        <x:v>状态/类型/区域/师傅/客户</x:v>
      </x:c>
      <x:c r="M198" s="43" t="str">
        <x:v>枚举</x:v>
      </x:c>
      <x:c r="N198" s="43" t="str"/>
      <x:c r="O198" s="43" t="str"/>
      <x:c r="P198" s="41" t="str">
        <x:v>待确认</x:v>
      </x:c>
    </x:row>
    <x:row r="199" ht="40" customHeight="1">
      <x:c r="A199" s="41" t="str">
        <x:v>FM27-03</x:v>
      </x:c>
      <x:c r="B199" s="41" t="str">
        <x:v>统计、客户和基础设置</x:v>
      </x:c>
      <x:c r="C199" s="41" t="str">
        <x:v>统计报表</x:v>
      </x:c>
      <x:c r="D199" s="41" t="str">
        <x:v>指标</x:v>
      </x:c>
      <x:c r="E199" s="41" t="str">
        <x:v>CALL数量</x:v>
      </x:c>
      <x:c r="F199" s="41" t="str">
        <x:v>计算</x:v>
      </x:c>
      <x:c r="G199" s="41" t="str">
        <x:v>是</x:v>
      </x:c>
      <x:c r="H199" s="41" t="str">
        <x:v>按权限口径</x:v>
      </x:c>
      <x:c r="I199" s="41" t="str">
        <x:v>原型/材料已定义</x:v>
      </x:c>
      <x:c r="J199" s="43" t="str">
        <x:v>待确认</x:v>
      </x:c>
      <x:c r="K199" s="43" t="str">
        <x:v>指标</x:v>
      </x:c>
      <x:c r="L199" s="43" t="str">
        <x:v>CALL数量</x:v>
      </x:c>
      <x:c r="M199" s="43" t="str">
        <x:v>计算</x:v>
      </x:c>
      <x:c r="N199" s="43" t="str"/>
      <x:c r="O199" s="43" t="str"/>
      <x:c r="P199" s="41" t="str">
        <x:v>待确认</x:v>
      </x:c>
    </x:row>
    <x:row r="200" ht="40" customHeight="1">
      <x:c r="A200" s="41" t="str">
        <x:v>FM27-04</x:v>
      </x:c>
      <x:c r="B200" s="41" t="str">
        <x:v>统计、客户和基础设置</x:v>
      </x:c>
      <x:c r="C200" s="41" t="str">
        <x:v>统计报表</x:v>
      </x:c>
      <x:c r="D200" s="41" t="str">
        <x:v>指标</x:v>
      </x:c>
      <x:c r="E200" s="41" t="str">
        <x:v>最近7天趋势</x:v>
      </x:c>
      <x:c r="F200" s="41" t="str">
        <x:v>计算</x:v>
      </x:c>
      <x:c r="G200" s="41" t="str">
        <x:v>否</x:v>
      </x:c>
      <x:c r="H200" s="41" t="str">
        <x:v>日维度</x:v>
      </x:c>
      <x:c r="I200" s="41" t="str">
        <x:v>原型/材料已定义</x:v>
      </x:c>
      <x:c r="J200" s="43" t="str">
        <x:v>待确认</x:v>
      </x:c>
      <x:c r="K200" s="43" t="str">
        <x:v>指标</x:v>
      </x:c>
      <x:c r="L200" s="43" t="str">
        <x:v>最近7天趋势</x:v>
      </x:c>
      <x:c r="M200" s="43" t="str">
        <x:v>计算</x:v>
      </x:c>
      <x:c r="N200" s="43" t="str"/>
      <x:c r="O200" s="43" t="str"/>
      <x:c r="P200" s="41" t="str">
        <x:v>待确认</x:v>
      </x:c>
    </x:row>
    <x:row r="201" ht="40" customHeight="1">
      <x:c r="A201" s="41" t="str">
        <x:v>FM27-05</x:v>
      </x:c>
      <x:c r="B201" s="41" t="str">
        <x:v>统计、客户和基础设置</x:v>
      </x:c>
      <x:c r="C201" s="41" t="str">
        <x:v>统计报表</x:v>
      </x:c>
      <x:c r="D201" s="41" t="str">
        <x:v>提醒</x:v>
      </x:c>
      <x:c r="E201" s="41" t="str">
        <x:v>未完成/SR待签名/资料缺失</x:v>
      </x:c>
      <x:c r="F201" s="41" t="str">
        <x:v>计算</x:v>
      </x:c>
      <x:c r="G201" s="41" t="str">
        <x:v>否</x:v>
      </x:c>
      <x:c r="H201" s="41" t="str">
        <x:v>Outstanding规则</x:v>
      </x:c>
      <x:c r="I201" s="41" t="str">
        <x:v>原型/材料已定义</x:v>
      </x:c>
      <x:c r="J201" s="43" t="str">
        <x:v>待确认</x:v>
      </x:c>
      <x:c r="K201" s="43" t="str">
        <x:v>提醒</x:v>
      </x:c>
      <x:c r="L201" s="43" t="str">
        <x:v>未完成/SR待签名/资料缺失</x:v>
      </x:c>
      <x:c r="M201" s="43" t="str">
        <x:v>计算</x:v>
      </x:c>
      <x:c r="N201" s="43" t="str"/>
      <x:c r="O201" s="43" t="str"/>
      <x:c r="P201" s="41" t="str">
        <x:v>待确认</x:v>
      </x:c>
    </x:row>
    <x:row r="202" ht="40" customHeight="1">
      <x:c r="A202" s="41" t="str">
        <x:v>FM27-06</x:v>
      </x:c>
      <x:c r="B202" s="41" t="str">
        <x:v>统计、客户和基础设置</x:v>
      </x:c>
      <x:c r="C202" s="41" t="str">
        <x:v>统计报表</x:v>
      </x:c>
      <x:c r="D202" s="41" t="str">
        <x:v>报价</x:v>
      </x:c>
      <x:c r="E202" s="41" t="str">
        <x:v>报价总数/中单数/中单率</x:v>
      </x:c>
      <x:c r="F202" s="41" t="str">
        <x:v>计算</x:v>
      </x:c>
      <x:c r="G202" s="41" t="str">
        <x:v>否</x:v>
      </x:c>
      <x:c r="H202" s="41" t="str">
        <x:v>扩展模块指标</x:v>
      </x:c>
      <x:c r="I202" s="41" t="str">
        <x:v>原型/材料已定义</x:v>
      </x:c>
      <x:c r="J202" s="43" t="str">
        <x:v>待确认</x:v>
      </x:c>
      <x:c r="K202" s="43" t="str">
        <x:v>报价</x:v>
      </x:c>
      <x:c r="L202" s="43" t="str">
        <x:v>报价总数/中单数/中单率</x:v>
      </x:c>
      <x:c r="M202" s="43" t="str">
        <x:v>计算</x:v>
      </x:c>
      <x:c r="N202" s="43" t="str"/>
      <x:c r="O202" s="43" t="str"/>
      <x:c r="P202" s="41" t="str">
        <x:v>待确认</x:v>
      </x:c>
    </x:row>
    <x:row r="203" ht="40" customHeight="1">
      <x:c r="A203" s="41" t="str">
        <x:v>FM28-01</x:v>
      </x:c>
      <x:c r="B203" s="41" t="str">
        <x:v>统计、客户和基础设置</x:v>
      </x:c>
      <x:c r="C203" s="41" t="str">
        <x:v>登录与角色切换</x:v>
      </x:c>
      <x:c r="D203" s="41" t="str">
        <x:v>登录</x:v>
      </x:c>
      <x:c r="E203" s="41" t="str">
        <x:v>账号/人员</x:v>
      </x:c>
      <x:c r="F203" s="41" t="str">
        <x:v>文本/选择</x:v>
      </x:c>
      <x:c r="G203" s="41" t="str">
        <x:v>是</x:v>
      </x:c>
      <x:c r="H203" s="41" t="str">
        <x:v>原型按人员选择</x:v>
      </x:c>
      <x:c r="I203" s="41" t="str">
        <x:v>原型/材料已定义</x:v>
      </x:c>
      <x:c r="J203" s="43" t="str">
        <x:v>待确认</x:v>
      </x:c>
      <x:c r="K203" s="43" t="str">
        <x:v>登录</x:v>
      </x:c>
      <x:c r="L203" s="43" t="str">
        <x:v>账号/人员</x:v>
      </x:c>
      <x:c r="M203" s="43" t="str">
        <x:v>文本/选择</x:v>
      </x:c>
      <x:c r="N203" s="43" t="str"/>
      <x:c r="O203" s="43" t="str"/>
      <x:c r="P203" s="41" t="str">
        <x:v>待确认</x:v>
      </x:c>
    </x:row>
    <x:row r="204" ht="40" customHeight="1">
      <x:c r="A204" s="41" t="str">
        <x:v>FM28-02</x:v>
      </x:c>
      <x:c r="B204" s="41" t="str">
        <x:v>统计、客户和基础设置</x:v>
      </x:c>
      <x:c r="C204" s="41" t="str">
        <x:v>登录与角色切换</x:v>
      </x:c>
      <x:c r="D204" s="41" t="str">
        <x:v>登录</x:v>
      </x:c>
      <x:c r="E204" s="41" t="str">
        <x:v>密码</x:v>
      </x:c>
      <x:c r="F204" s="41" t="str">
        <x:v>密码</x:v>
      </x:c>
      <x:c r="G204" s="41" t="str">
        <x:v>生产必填</x:v>
      </x:c>
      <x:c r="H204" s="41" t="str">
        <x:v>原型不代表正式鉴权</x:v>
      </x:c>
      <x:c r="I204" s="41" t="str">
        <x:v>原型/材料已定义</x:v>
      </x:c>
      <x:c r="J204" s="43" t="str">
        <x:v>待确认</x:v>
      </x:c>
      <x:c r="K204" s="43" t="str">
        <x:v>登录</x:v>
      </x:c>
      <x:c r="L204" s="43" t="str">
        <x:v>密码</x:v>
      </x:c>
      <x:c r="M204" s="43" t="str">
        <x:v>密码</x:v>
      </x:c>
      <x:c r="N204" s="43" t="str"/>
      <x:c r="O204" s="43" t="str"/>
      <x:c r="P204" s="41" t="str">
        <x:v>待确认</x:v>
      </x:c>
    </x:row>
    <x:row r="205" ht="40" customHeight="1">
      <x:c r="A205" s="41" t="str">
        <x:v>FM28-03</x:v>
      </x:c>
      <x:c r="B205" s="41" t="str">
        <x:v>统计、客户和基础设置</x:v>
      </x:c>
      <x:c r="C205" s="41" t="str">
        <x:v>登录与角色切换</x:v>
      </x:c>
      <x:c r="D205" s="41" t="str">
        <x:v>身份</x:v>
      </x:c>
      <x:c r="E205" s="41" t="str">
        <x:v>当前角色</x:v>
      </x:c>
      <x:c r="F205" s="41" t="str">
        <x:v>枚举</x:v>
      </x:c>
      <x:c r="G205" s="41" t="str">
        <x:v>是</x:v>
      </x:c>
      <x:c r="H205" s="41" t="str">
        <x:v>10类角色</x:v>
      </x:c>
      <x:c r="I205" s="41" t="str">
        <x:v>原型/材料已定义</x:v>
      </x:c>
      <x:c r="J205" s="43" t="str">
        <x:v>待确认</x:v>
      </x:c>
      <x:c r="K205" s="43" t="str">
        <x:v>身份</x:v>
      </x:c>
      <x:c r="L205" s="43" t="str">
        <x:v>当前角色</x:v>
      </x:c>
      <x:c r="M205" s="43" t="str">
        <x:v>枚举</x:v>
      </x:c>
      <x:c r="N205" s="43" t="str"/>
      <x:c r="O205" s="43" t="str"/>
      <x:c r="P205" s="41" t="str">
        <x:v>待确认</x:v>
      </x:c>
    </x:row>
    <x:row r="206" ht="40" customHeight="1">
      <x:c r="A206" s="41" t="str">
        <x:v>FM28-04</x:v>
      </x:c>
      <x:c r="B206" s="41" t="str">
        <x:v>统计、客户和基础设置</x:v>
      </x:c>
      <x:c r="C206" s="41" t="str">
        <x:v>登录与角色切换</x:v>
      </x:c>
      <x:c r="D206" s="41" t="str">
        <x:v>权限</x:v>
      </x:c>
      <x:c r="E206" s="41" t="str">
        <x:v>允许页面</x:v>
      </x:c>
      <x:c r="F206" s="41" t="str">
        <x:v>计算</x:v>
      </x:c>
      <x:c r="G206" s="41" t="str">
        <x:v>是</x:v>
      </x:c>
      <x:c r="H206" s="41" t="str">
        <x:v>按角色菜单</x:v>
      </x:c>
      <x:c r="I206" s="41" t="str">
        <x:v>原型/材料已定义</x:v>
      </x:c>
      <x:c r="J206" s="43" t="str">
        <x:v>待确认</x:v>
      </x:c>
      <x:c r="K206" s="43" t="str">
        <x:v>权限</x:v>
      </x:c>
      <x:c r="L206" s="43" t="str">
        <x:v>允许页面</x:v>
      </x:c>
      <x:c r="M206" s="43" t="str">
        <x:v>计算</x:v>
      </x:c>
      <x:c r="N206" s="43" t="str"/>
      <x:c r="O206" s="43" t="str"/>
      <x:c r="P206" s="41" t="str">
        <x:v>待确认</x:v>
      </x:c>
    </x:row>
    <x:row r="207" ht="40" customHeight="1">
      <x:c r="A207" s="41" t="str">
        <x:v>FM28-05</x:v>
      </x:c>
      <x:c r="B207" s="41" t="str">
        <x:v>统计、客户和基础设置</x:v>
      </x:c>
      <x:c r="C207" s="41" t="str">
        <x:v>登录与角色切换</x:v>
      </x:c>
      <x:c r="D207" s="41" t="str">
        <x:v>权限</x:v>
      </x:c>
      <x:c r="E207" s="41" t="str">
        <x:v>数据范围</x:v>
      </x:c>
      <x:c r="F207" s="41" t="str">
        <x:v>计算</x:v>
      </x:c>
      <x:c r="G207" s="41" t="str">
        <x:v>是</x:v>
      </x:c>
      <x:c r="H207" s="41" t="str">
        <x:v>本人/团队/区域/全局</x:v>
      </x:c>
      <x:c r="I207" s="41" t="str">
        <x:v>原型/材料已定义</x:v>
      </x:c>
      <x:c r="J207" s="43" t="str">
        <x:v>待确认</x:v>
      </x:c>
      <x:c r="K207" s="43" t="str">
        <x:v>权限</x:v>
      </x:c>
      <x:c r="L207" s="43" t="str">
        <x:v>数据范围</x:v>
      </x:c>
      <x:c r="M207" s="43" t="str">
        <x:v>计算</x:v>
      </x:c>
      <x:c r="N207" s="43" t="str"/>
      <x:c r="O207" s="43" t="str"/>
      <x:c r="P207" s="41" t="str">
        <x:v>待确认</x:v>
      </x:c>
    </x:row>
    <x:row r="208" ht="40" customHeight="1">
      <x:c r="A208" s="41" t="str">
        <x:v>FM29-01</x:v>
      </x:c>
      <x:c r="B208" s="41" t="str">
        <x:v>原需求补充与上线约束</x:v>
      </x:c>
      <x:c r="C208" s="41" t="str">
        <x:v>编号规则配置</x:v>
      </x:c>
      <x:c r="D208" s="41" t="str">
        <x:v>规则</x:v>
      </x:c>
      <x:c r="E208" s="41" t="str">
        <x:v>编号对象</x:v>
      </x:c>
      <x:c r="F208" s="41" t="str">
        <x:v>枚举</x:v>
      </x:c>
      <x:c r="G208" s="41" t="str">
        <x:v>是</x:v>
      </x:c>
      <x:c r="H208" s="41" t="str">
        <x:v>CALL/任务/项目/外部Reference</x:v>
      </x:c>
      <x:c r="I208" s="41" t="str">
        <x:v>原型/材料已定义</x:v>
      </x:c>
      <x:c r="J208" s="43" t="str">
        <x:v>待确认</x:v>
      </x:c>
      <x:c r="K208" s="43" t="str">
        <x:v>规则</x:v>
      </x:c>
      <x:c r="L208" s="43" t="str">
        <x:v>编号对象</x:v>
      </x:c>
      <x:c r="M208" s="43" t="str">
        <x:v>枚举</x:v>
      </x:c>
      <x:c r="N208" s="43" t="str"/>
      <x:c r="O208" s="43" t="str"/>
      <x:c r="P208" s="41" t="str">
        <x:v>待确认</x:v>
      </x:c>
    </x:row>
    <x:row r="209" ht="40" customHeight="1">
      <x:c r="A209" s="41" t="str">
        <x:v>FM29-02</x:v>
      </x:c>
      <x:c r="B209" s="41" t="str">
        <x:v>原需求补充与上线约束</x:v>
      </x:c>
      <x:c r="C209" s="41" t="str">
        <x:v>编号规则配置</x:v>
      </x:c>
      <x:c r="D209" s="41" t="str">
        <x:v>规则</x:v>
      </x:c>
      <x:c r="E209" s="41" t="str">
        <x:v>客户类别</x:v>
      </x:c>
      <x:c r="F209" s="41" t="str">
        <x:v>枚举</x:v>
      </x:c>
      <x:c r="G209" s="41" t="str">
        <x:v>否</x:v>
      </x:c>
      <x:c r="H209" s="41" t="str">
        <x:v>普通/政府</x:v>
      </x:c>
      <x:c r="I209" s="41" t="str">
        <x:v>原型/材料已定义</x:v>
      </x:c>
      <x:c r="J209" s="43" t="str">
        <x:v>待确认</x:v>
      </x:c>
      <x:c r="K209" s="43" t="str">
        <x:v>规则</x:v>
      </x:c>
      <x:c r="L209" s="43" t="str">
        <x:v>客户类别</x:v>
      </x:c>
      <x:c r="M209" s="43" t="str">
        <x:v>枚举</x:v>
      </x:c>
      <x:c r="N209" s="43" t="str"/>
      <x:c r="O209" s="43" t="str"/>
      <x:c r="P209" s="41" t="str">
        <x:v>待确认</x:v>
      </x:c>
    </x:row>
    <x:row r="210" ht="40" customHeight="1">
      <x:c r="A210" s="41" t="str">
        <x:v>FM29-03</x:v>
      </x:c>
      <x:c r="B210" s="41" t="str">
        <x:v>原需求补充与上线约束</x:v>
      </x:c>
      <x:c r="C210" s="41" t="str">
        <x:v>编号规则配置</x:v>
      </x:c>
      <x:c r="D210" s="41" t="str">
        <x:v>规则</x:v>
      </x:c>
      <x:c r="E210" s="41" t="str">
        <x:v>前缀/日期格式</x:v>
      </x:c>
      <x:c r="F210" s="41" t="str">
        <x:v>文本</x:v>
      </x:c>
      <x:c r="G210" s="41" t="str">
        <x:v>是</x:v>
      </x:c>
      <x:c r="H210" s="41" t="str">
        <x:v>如WO-YYYYMMDD</x:v>
      </x:c>
      <x:c r="I210" s="41" t="str">
        <x:v>原型/材料已定义</x:v>
      </x:c>
      <x:c r="J210" s="43" t="str">
        <x:v>待确认</x:v>
      </x:c>
      <x:c r="K210" s="43" t="str">
        <x:v>规则</x:v>
      </x:c>
      <x:c r="L210" s="43" t="str">
        <x:v>前缀/日期格式</x:v>
      </x:c>
      <x:c r="M210" s="43" t="str">
        <x:v>文本</x:v>
      </x:c>
      <x:c r="N210" s="43" t="str"/>
      <x:c r="O210" s="43" t="str"/>
      <x:c r="P210" s="41" t="str">
        <x:v>待确认</x:v>
      </x:c>
    </x:row>
    <x:row r="211" ht="40" customHeight="1">
      <x:c r="A211" s="41" t="str">
        <x:v>FM29-04</x:v>
      </x:c>
      <x:c r="B211" s="41" t="str">
        <x:v>原需求补充与上线约束</x:v>
      </x:c>
      <x:c r="C211" s="41" t="str">
        <x:v>编号规则配置</x:v>
      </x:c>
      <x:c r="D211" s="41" t="str">
        <x:v>规则</x:v>
      </x:c>
      <x:c r="E211" s="41" t="str">
        <x:v>流水位数</x:v>
      </x:c>
      <x:c r="F211" s="41" t="str">
        <x:v>数字</x:v>
      </x:c>
      <x:c r="G211" s="41" t="str">
        <x:v>是</x:v>
      </x:c>
      <x:c r="H211" s="41" t="str">
        <x:v>每日或全局流水</x:v>
      </x:c>
      <x:c r="I211" s="41" t="str">
        <x:v>原型/材料已定义</x:v>
      </x:c>
      <x:c r="J211" s="43" t="str">
        <x:v>待确认</x:v>
      </x:c>
      <x:c r="K211" s="43" t="str">
        <x:v>规则</x:v>
      </x:c>
      <x:c r="L211" s="43" t="str">
        <x:v>流水位数</x:v>
      </x:c>
      <x:c r="M211" s="43" t="str">
        <x:v>数字</x:v>
      </x:c>
      <x:c r="N211" s="43" t="str"/>
      <x:c r="O211" s="43" t="str"/>
      <x:c r="P211" s="41" t="str">
        <x:v>待确认</x:v>
      </x:c>
    </x:row>
    <x:row r="212" ht="40" customHeight="1">
      <x:c r="A212" s="41" t="str">
        <x:v>FM29-05</x:v>
      </x:c>
      <x:c r="B212" s="41" t="str">
        <x:v>原需求补充与上线约束</x:v>
      </x:c>
      <x:c r="C212" s="41" t="str">
        <x:v>编号规则配置</x:v>
      </x:c>
      <x:c r="D212" s="41" t="str">
        <x:v>规则</x:v>
      </x:c>
      <x:c r="E212" s="41" t="str">
        <x:v>启用状态</x:v>
      </x:c>
      <x:c r="F212" s="41" t="str">
        <x:v>布尔</x:v>
      </x:c>
      <x:c r="G212" s="41" t="str">
        <x:v>是</x:v>
      </x:c>
      <x:c r="H212" s="41" t="str">
        <x:v>历史规则保留</x:v>
      </x:c>
      <x:c r="I212" s="41" t="str">
        <x:v>原型/材料已定义</x:v>
      </x:c>
      <x:c r="J212" s="43" t="str">
        <x:v>待确认</x:v>
      </x:c>
      <x:c r="K212" s="43" t="str">
        <x:v>规则</x:v>
      </x:c>
      <x:c r="L212" s="43" t="str">
        <x:v>启用状态</x:v>
      </x:c>
      <x:c r="M212" s="43" t="str">
        <x:v>布尔</x:v>
      </x:c>
      <x:c r="N212" s="43" t="str"/>
      <x:c r="O212" s="43" t="str"/>
      <x:c r="P212" s="41" t="str">
        <x:v>待确认</x:v>
      </x:c>
    </x:row>
    <x:row r="213" ht="40" customHeight="1">
      <x:c r="A213" s="41" t="str">
        <x:v>FM30-01</x:v>
      </x:c>
      <x:c r="B213" s="41" t="str">
        <x:v>原需求补充与上线约束</x:v>
      </x:c>
      <x:c r="C213" s="41" t="str">
        <x:v>不可拍照豁免</x:v>
      </x:c>
      <x:c r="D213" s="41" t="str">
        <x:v>范围</x:v>
      </x:c>
      <x:c r="E213" s="41" t="str">
        <x:v>客户/地点</x:v>
      </x:c>
      <x:c r="F213" s="41" t="str">
        <x:v>关联选择</x:v>
      </x:c>
      <x:c r="G213" s="41" t="str">
        <x:v>是</x:v>
      </x:c>
      <x:c r="H213" s="41" t="str">
        <x:v>豁免对象</x:v>
      </x:c>
      <x:c r="I213" s="41" t="str">
        <x:v>原型/材料已定义</x:v>
      </x:c>
      <x:c r="J213" s="43" t="str">
        <x:v>待确认</x:v>
      </x:c>
      <x:c r="K213" s="43" t="str">
        <x:v>范围</x:v>
      </x:c>
      <x:c r="L213" s="43" t="str">
        <x:v>客户/地点</x:v>
      </x:c>
      <x:c r="M213" s="43" t="str">
        <x:v>关联选择</x:v>
      </x:c>
      <x:c r="N213" s="43" t="str"/>
      <x:c r="O213" s="43" t="str"/>
      <x:c r="P213" s="41" t="str">
        <x:v>待确认</x:v>
      </x:c>
    </x:row>
    <x:row r="214" ht="40" customHeight="1">
      <x:c r="A214" s="41" t="str">
        <x:v>FM30-02</x:v>
      </x:c>
      <x:c r="B214" s="41" t="str">
        <x:v>原需求补充与上线约束</x:v>
      </x:c>
      <x:c r="C214" s="41" t="str">
        <x:v>不可拍照豁免</x:v>
      </x:c>
      <x:c r="D214" s="41" t="str">
        <x:v>规则</x:v>
      </x:c>
      <x:c r="E214" s="41" t="str">
        <x:v>不可拍照</x:v>
      </x:c>
      <x:c r="F214" s="41" t="str">
        <x:v>布尔</x:v>
      </x:c>
      <x:c r="G214" s="41" t="str">
        <x:v>是</x:v>
      </x:c>
      <x:c r="H214" s="41" t="str">
        <x:v>启用豁免</x:v>
      </x:c>
      <x:c r="I214" s="41" t="str">
        <x:v>原型/材料已定义</x:v>
      </x:c>
      <x:c r="J214" s="43" t="str">
        <x:v>待确认</x:v>
      </x:c>
      <x:c r="K214" s="43" t="str">
        <x:v>规则</x:v>
      </x:c>
      <x:c r="L214" s="43" t="str">
        <x:v>不可拍照</x:v>
      </x:c>
      <x:c r="M214" s="43" t="str">
        <x:v>布尔</x:v>
      </x:c>
      <x:c r="N214" s="43" t="str"/>
      <x:c r="O214" s="43" t="str"/>
      <x:c r="P214" s="41" t="str">
        <x:v>待确认</x:v>
      </x:c>
    </x:row>
    <x:row r="215" ht="40" customHeight="1">
      <x:c r="A215" s="41" t="str">
        <x:v>FM30-03</x:v>
      </x:c>
      <x:c r="B215" s="41" t="str">
        <x:v>原需求补充与上线约束</x:v>
      </x:c>
      <x:c r="C215" s="41" t="str">
        <x:v>不可拍照豁免</x:v>
      </x:c>
      <x:c r="D215" s="41" t="str">
        <x:v>规则</x:v>
      </x:c>
      <x:c r="E215" s="41" t="str">
        <x:v>原因</x:v>
      </x:c>
      <x:c r="F215" s="41" t="str">
        <x:v>多行文本</x:v>
      </x:c>
      <x:c r="G215" s="41" t="str">
        <x:v>是</x:v>
      </x:c>
      <x:c r="H215" s="41" t="str">
        <x:v>合规依据</x:v>
      </x:c>
      <x:c r="I215" s="41" t="str">
        <x:v>原型/材料已定义</x:v>
      </x:c>
      <x:c r="J215" s="43" t="str">
        <x:v>待确认</x:v>
      </x:c>
      <x:c r="K215" s="43" t="str">
        <x:v>规则</x:v>
      </x:c>
      <x:c r="L215" s="43" t="str">
        <x:v>原因</x:v>
      </x:c>
      <x:c r="M215" s="43" t="str">
        <x:v>多行文本</x:v>
      </x:c>
      <x:c r="N215" s="43" t="str"/>
      <x:c r="O215" s="43" t="str"/>
      <x:c r="P215" s="41" t="str">
        <x:v>待确认</x:v>
      </x:c>
    </x:row>
    <x:row r="216" ht="40" customHeight="1">
      <x:c r="A216" s="41" t="str">
        <x:v>FM30-04</x:v>
      </x:c>
      <x:c r="B216" s="41" t="str">
        <x:v>原需求补充与上线约束</x:v>
      </x:c>
      <x:c r="C216" s="41" t="str">
        <x:v>不可拍照豁免</x:v>
      </x:c>
      <x:c r="D216" s="41" t="str">
        <x:v>规则</x:v>
      </x:c>
      <x:c r="E216" s="41" t="str">
        <x:v>替代证明</x:v>
      </x:c>
      <x:c r="F216" s="41" t="str">
        <x:v>枚举/附件</x:v>
      </x:c>
      <x:c r="G216" s="41" t="str">
        <x:v>否</x:v>
      </x:c>
      <x:c r="H216" s="41" t="str">
        <x:v>文字/文件</x:v>
      </x:c>
      <x:c r="I216" s="41" t="str">
        <x:v>原型/材料已定义</x:v>
      </x:c>
      <x:c r="J216" s="43" t="str">
        <x:v>待确认</x:v>
      </x:c>
      <x:c r="K216" s="43" t="str">
        <x:v>规则</x:v>
      </x:c>
      <x:c r="L216" s="43" t="str">
        <x:v>替代证明</x:v>
      </x:c>
      <x:c r="M216" s="43" t="str">
        <x:v>枚举/附件</x:v>
      </x:c>
      <x:c r="N216" s="43" t="str"/>
      <x:c r="O216" s="43" t="str"/>
      <x:c r="P216" s="41" t="str">
        <x:v>待确认</x:v>
      </x:c>
    </x:row>
    <x:row r="217" ht="40" customHeight="1">
      <x:c r="A217" s="41" t="str">
        <x:v>FM30-05</x:v>
      </x:c>
      <x:c r="B217" s="41" t="str">
        <x:v>原需求补充与上线约束</x:v>
      </x:c>
      <x:c r="C217" s="41" t="str">
        <x:v>不可拍照豁免</x:v>
      </x:c>
      <x:c r="D217" s="41" t="str">
        <x:v>规则</x:v>
      </x:c>
      <x:c r="E217" s="41" t="str">
        <x:v>有效期</x:v>
      </x:c>
      <x:c r="F217" s="41" t="str">
        <x:v>日期范围</x:v>
      </x:c>
      <x:c r="G217" s="41" t="str">
        <x:v>否</x:v>
      </x:c>
      <x:c r="H217" s="41" t="str">
        <x:v>到期复核</x:v>
      </x:c>
      <x:c r="I217" s="41" t="str">
        <x:v>原型/材料已定义</x:v>
      </x:c>
      <x:c r="J217" s="43" t="str">
        <x:v>待确认</x:v>
      </x:c>
      <x:c r="K217" s="43" t="str">
        <x:v>规则</x:v>
      </x:c>
      <x:c r="L217" s="43" t="str">
        <x:v>有效期</x:v>
      </x:c>
      <x:c r="M217" s="43" t="str">
        <x:v>日期范围</x:v>
      </x:c>
      <x:c r="N217" s="43" t="str"/>
      <x:c r="O217" s="43" t="str"/>
      <x:c r="P217" s="41" t="str">
        <x:v>待确认</x:v>
      </x:c>
    </x:row>
    <x:row r="218" ht="40" customHeight="1">
      <x:c r="A218" s="41" t="str">
        <x:v>FM31-01</x:v>
      </x:c>
      <x:c r="B218" s="41" t="str">
        <x:v>原需求补充与上线约束</x:v>
      </x:c>
      <x:c r="C218" s="41" t="str">
        <x:v>SLA与提醒规则</x:v>
      </x:c>
      <x:c r="D218" s="41" t="str">
        <x:v>规则</x:v>
      </x:c>
      <x:c r="E218" s="41" t="str">
        <x:v>业务事件</x:v>
      </x:c>
      <x:c r="F218" s="41" t="str">
        <x:v>枚举</x:v>
      </x:c>
      <x:c r="G218" s="41" t="str">
        <x:v>是</x:v>
      </x:c>
      <x:c r="H218" s="41" t="str">
        <x:v>未接单/未到场/超时/采购停滞</x:v>
      </x:c>
      <x:c r="I218" s="41" t="str">
        <x:v>原型/材料已定义</x:v>
      </x:c>
      <x:c r="J218" s="43" t="str">
        <x:v>待确认</x:v>
      </x:c>
      <x:c r="K218" s="43" t="str">
        <x:v>规则</x:v>
      </x:c>
      <x:c r="L218" s="43" t="str">
        <x:v>业务事件</x:v>
      </x:c>
      <x:c r="M218" s="43" t="str">
        <x:v>枚举</x:v>
      </x:c>
      <x:c r="N218" s="43" t="str"/>
      <x:c r="O218" s="43" t="str"/>
      <x:c r="P218" s="41" t="str">
        <x:v>待确认</x:v>
      </x:c>
    </x:row>
    <x:row r="219" ht="40" customHeight="1">
      <x:c r="A219" s="41" t="str">
        <x:v>FM31-02</x:v>
      </x:c>
      <x:c r="B219" s="41" t="str">
        <x:v>原需求补充与上线约束</x:v>
      </x:c>
      <x:c r="C219" s="41" t="str">
        <x:v>SLA与提醒规则</x:v>
      </x:c>
      <x:c r="D219" s="41" t="str">
        <x:v>规则</x:v>
      </x:c>
      <x:c r="E219" s="41" t="str">
        <x:v>阈值</x:v>
      </x:c>
      <x:c r="F219" s="41" t="str">
        <x:v>数字+单位</x:v>
      </x:c>
      <x:c r="G219" s="41" t="str">
        <x:v>是</x:v>
      </x:c>
      <x:c r="H219" s="41" t="str">
        <x:v>分钟/小时/天</x:v>
      </x:c>
      <x:c r="I219" s="41" t="str">
        <x:v>原型/材料已定义</x:v>
      </x:c>
      <x:c r="J219" s="43" t="str">
        <x:v>待确认</x:v>
      </x:c>
      <x:c r="K219" s="43" t="str">
        <x:v>规则</x:v>
      </x:c>
      <x:c r="L219" s="43" t="str">
        <x:v>阈值</x:v>
      </x:c>
      <x:c r="M219" s="43" t="str">
        <x:v>数字+单位</x:v>
      </x:c>
      <x:c r="N219" s="43" t="str"/>
      <x:c r="O219" s="43" t="str"/>
      <x:c r="P219" s="41" t="str">
        <x:v>待确认</x:v>
      </x:c>
    </x:row>
    <x:row r="220" ht="40" customHeight="1">
      <x:c r="A220" s="41" t="str">
        <x:v>FM31-03</x:v>
      </x:c>
      <x:c r="B220" s="41" t="str">
        <x:v>原需求补充与上线约束</x:v>
      </x:c>
      <x:c r="C220" s="41" t="str">
        <x:v>SLA与提醒规则</x:v>
      </x:c>
      <x:c r="D220" s="41" t="str">
        <x:v>接收</x:v>
      </x:c>
      <x:c r="E220" s="41" t="str">
        <x:v>接收角色/人员</x:v>
      </x:c>
      <x:c r="F220" s="41" t="str">
        <x:v>多选</x:v>
      </x:c>
      <x:c r="G220" s="41" t="str">
        <x:v>是</x:v>
      </x:c>
      <x:c r="H220" s="41" t="str">
        <x:v>负责人及升级对象</x:v>
      </x:c>
      <x:c r="I220" s="41" t="str">
        <x:v>原型/材料已定义</x:v>
      </x:c>
      <x:c r="J220" s="43" t="str">
        <x:v>待确认</x:v>
      </x:c>
      <x:c r="K220" s="43" t="str">
        <x:v>接收</x:v>
      </x:c>
      <x:c r="L220" s="43" t="str">
        <x:v>接收角色/人员</x:v>
      </x:c>
      <x:c r="M220" s="43" t="str">
        <x:v>多选</x:v>
      </x:c>
      <x:c r="N220" s="43" t="str"/>
      <x:c r="O220" s="43" t="str"/>
      <x:c r="P220" s="41" t="str">
        <x:v>待确认</x:v>
      </x:c>
    </x:row>
    <x:row r="221" ht="40" customHeight="1">
      <x:c r="A221" s="41" t="str">
        <x:v>FM31-04</x:v>
      </x:c>
      <x:c r="B221" s="41" t="str">
        <x:v>原需求补充与上线约束</x:v>
      </x:c>
      <x:c r="C221" s="41" t="str">
        <x:v>SLA与提醒规则</x:v>
      </x:c>
      <x:c r="D221" s="41" t="str">
        <x:v>渠道</x:v>
      </x:c>
      <x:c r="E221" s="41" t="str">
        <x:v>通知渠道</x:v>
      </x:c>
      <x:c r="F221" s="41" t="str">
        <x:v>多选</x:v>
      </x:c>
      <x:c r="G221" s="41" t="str">
        <x:v>是</x:v>
      </x:c>
      <x:c r="H221" s="41" t="str">
        <x:v>系统内/钉钉/邮件</x:v>
      </x:c>
      <x:c r="I221" s="41" t="str">
        <x:v>原型/材料已定义</x:v>
      </x:c>
      <x:c r="J221" s="43" t="str">
        <x:v>待确认</x:v>
      </x:c>
      <x:c r="K221" s="43" t="str">
        <x:v>渠道</x:v>
      </x:c>
      <x:c r="L221" s="43" t="str">
        <x:v>通知渠道</x:v>
      </x:c>
      <x:c r="M221" s="43" t="str">
        <x:v>多选</x:v>
      </x:c>
      <x:c r="N221" s="43" t="str"/>
      <x:c r="O221" s="43" t="str"/>
      <x:c r="P221" s="41" t="str">
        <x:v>待确认</x:v>
      </x:c>
    </x:row>
    <x:row r="222" ht="40" customHeight="1">
      <x:c r="A222" s="41" t="str">
        <x:v>FM31-05</x:v>
      </x:c>
      <x:c r="B222" s="41" t="str">
        <x:v>原需求补充与上线约束</x:v>
      </x:c>
      <x:c r="C222" s="41" t="str">
        <x:v>SLA与提醒规则</x:v>
      </x:c>
      <x:c r="D222" s="41" t="str">
        <x:v>状态</x:v>
      </x:c>
      <x:c r="E222" s="41" t="str">
        <x:v>启用状态</x:v>
      </x:c>
      <x:c r="F222" s="41" t="str">
        <x:v>布尔</x:v>
      </x:c>
      <x:c r="G222" s="41" t="str">
        <x:v>是</x:v>
      </x:c>
      <x:c r="H222" s="41" t="str">
        <x:v>规则开关</x:v>
      </x:c>
      <x:c r="I222" s="41" t="str">
        <x:v>原型/材料已定义</x:v>
      </x:c>
      <x:c r="J222" s="43" t="str">
        <x:v>待确认</x:v>
      </x:c>
      <x:c r="K222" s="43" t="str">
        <x:v>状态</x:v>
      </x:c>
      <x:c r="L222" s="43" t="str">
        <x:v>启用状态</x:v>
      </x:c>
      <x:c r="M222" s="43" t="str">
        <x:v>布尔</x:v>
      </x:c>
      <x:c r="N222" s="43" t="str"/>
      <x:c r="O222" s="43" t="str"/>
      <x:c r="P222" s="41" t="str">
        <x:v>待确认</x:v>
      </x:c>
    </x:row>
    <x:row r="223" ht="40" customHeight="1">
      <x:c r="A223" s="41" t="str">
        <x:v>FM32-01</x:v>
      </x:c>
      <x:c r="B223" s="41" t="str">
        <x:v>原需求补充与上线约束</x:v>
      </x:c>
      <x:c r="C223" s="41" t="str">
        <x:v>工单池</x:v>
      </x:c>
      <x:c r="D223" s="41" t="str">
        <x:v>任务</x:v>
      </x:c>
      <x:c r="E223" s="41" t="str">
        <x:v>任务编号/区域/类型</x:v>
      </x:c>
      <x:c r="F223" s="41" t="str">
        <x:v>文本/枚举</x:v>
      </x:c>
      <x:c r="G223" s="41" t="str">
        <x:v>是</x:v>
      </x:c>
      <x:c r="H223" s="41" t="str">
        <x:v>开放任务</x:v>
      </x:c>
      <x:c r="I223" s="41" t="str">
        <x:v>原型/材料已定义</x:v>
      </x:c>
      <x:c r="J223" s="43" t="str">
        <x:v>待确认</x:v>
      </x:c>
      <x:c r="K223" s="43" t="str">
        <x:v>任务</x:v>
      </x:c>
      <x:c r="L223" s="43" t="str">
        <x:v>任务编号/区域/类型</x:v>
      </x:c>
      <x:c r="M223" s="43" t="str">
        <x:v>文本/枚举</x:v>
      </x:c>
      <x:c r="N223" s="43" t="str"/>
      <x:c r="O223" s="43" t="str"/>
      <x:c r="P223" s="41" t="str">
        <x:v>待确认</x:v>
      </x:c>
    </x:row>
    <x:row r="224" ht="40" customHeight="1">
      <x:c r="A224" s="41" t="str">
        <x:v>FM32-02</x:v>
      </x:c>
      <x:c r="B224" s="41" t="str">
        <x:v>原需求补充与上线约束</x:v>
      </x:c>
      <x:c r="C224" s="41" t="str">
        <x:v>工单池</x:v>
      </x:c>
      <x:c r="D224" s="41" t="str">
        <x:v>资格</x:v>
      </x:c>
      <x:c r="E224" s="41" t="str">
        <x:v>可申请范围</x:v>
      </x:c>
      <x:c r="F224" s="41" t="str">
        <x:v>规则</x:v>
      </x:c>
      <x:c r="G224" s="41" t="str">
        <x:v>是</x:v>
      </x:c>
      <x:c r="H224" s="41" t="str">
        <x:v>区域/角色/状态</x:v>
      </x:c>
      <x:c r="I224" s="41" t="str">
        <x:v>原型/材料已定义</x:v>
      </x:c>
      <x:c r="J224" s="43" t="str">
        <x:v>待确认</x:v>
      </x:c>
      <x:c r="K224" s="43" t="str">
        <x:v>资格</x:v>
      </x:c>
      <x:c r="L224" s="43" t="str">
        <x:v>可申请范围</x:v>
      </x:c>
      <x:c r="M224" s="43" t="str">
        <x:v>规则</x:v>
      </x:c>
      <x:c r="N224" s="43" t="str"/>
      <x:c r="O224" s="43" t="str"/>
      <x:c r="P224" s="41" t="str">
        <x:v>待确认</x:v>
      </x:c>
    </x:row>
    <x:row r="225" ht="40" customHeight="1">
      <x:c r="A225" s="41" t="str">
        <x:v>FM32-03</x:v>
      </x:c>
      <x:c r="B225" s="41" t="str">
        <x:v>原需求补充与上线约束</x:v>
      </x:c>
      <x:c r="C225" s="41" t="str">
        <x:v>工单池</x:v>
      </x:c>
      <x:c r="D225" s="41" t="str">
        <x:v>申请</x:v>
      </x:c>
      <x:c r="E225" s="41" t="str">
        <x:v>申请师傅/时间</x:v>
      </x:c>
      <x:c r="F225" s="41" t="str">
        <x:v>人员/日期时间</x:v>
      </x:c>
      <x:c r="G225" s="41" t="str">
        <x:v>是</x:v>
      </x:c>
      <x:c r="H225" s="41" t="str">
        <x:v>申请记录</x:v>
      </x:c>
      <x:c r="I225" s="41" t="str">
        <x:v>原型/材料已定义</x:v>
      </x:c>
      <x:c r="J225" s="43" t="str">
        <x:v>待确认</x:v>
      </x:c>
      <x:c r="K225" s="43" t="str">
        <x:v>申请</x:v>
      </x:c>
      <x:c r="L225" s="43" t="str">
        <x:v>申请师傅/时间</x:v>
      </x:c>
      <x:c r="M225" s="43" t="str">
        <x:v>人员/日期时间</x:v>
      </x:c>
      <x:c r="N225" s="43" t="str"/>
      <x:c r="O225" s="43" t="str"/>
      <x:c r="P225" s="41" t="str">
        <x:v>待确认</x:v>
      </x:c>
    </x:row>
    <x:row r="226" ht="40" customHeight="1">
      <x:c r="A226" s="41" t="str">
        <x:v>FM32-04</x:v>
      </x:c>
      <x:c r="B226" s="41" t="str">
        <x:v>原需求补充与上线约束</x:v>
      </x:c>
      <x:c r="C226" s="41" t="str">
        <x:v>工单池</x:v>
      </x:c>
      <x:c r="D226" s="41" t="str">
        <x:v>申请</x:v>
      </x:c>
      <x:c r="E226" s="41" t="str">
        <x:v>申请说明</x:v>
      </x:c>
      <x:c r="F226" s="41" t="str">
        <x:v>多行文本</x:v>
      </x:c>
      <x:c r="G226" s="41" t="str">
        <x:v>否</x:v>
      </x:c>
      <x:c r="H226" s="41" t="str">
        <x:v>接单说明</x:v>
      </x:c>
      <x:c r="I226" s="41" t="str">
        <x:v>原型/材料已定义</x:v>
      </x:c>
      <x:c r="J226" s="43" t="str">
        <x:v>待确认</x:v>
      </x:c>
      <x:c r="K226" s="43" t="str">
        <x:v>申请</x:v>
      </x:c>
      <x:c r="L226" s="43" t="str">
        <x:v>申请说明</x:v>
      </x:c>
      <x:c r="M226" s="43" t="str">
        <x:v>多行文本</x:v>
      </x:c>
      <x:c r="N226" s="43" t="str"/>
      <x:c r="O226" s="43" t="str"/>
      <x:c r="P226" s="41" t="str">
        <x:v>待确认</x:v>
      </x:c>
    </x:row>
    <x:row r="227" ht="40" customHeight="1">
      <x:c r="A227" s="41" t="str">
        <x:v>FM32-05</x:v>
      </x:c>
      <x:c r="B227" s="41" t="str">
        <x:v>原需求补充与上线约束</x:v>
      </x:c>
      <x:c r="C227" s="41" t="str">
        <x:v>工单池</x:v>
      </x:c>
      <x:c r="D227" s="41" t="str">
        <x:v>审批</x:v>
      </x:c>
      <x:c r="E227" s="41" t="str">
        <x:v>结果/意见</x:v>
      </x:c>
      <x:c r="F227" s="41" t="str">
        <x:v>枚举/文本</x:v>
      </x:c>
      <x:c r="G227" s="41" t="str">
        <x:v>是</x:v>
      </x:c>
      <x:c r="H227" s="41" t="str">
        <x:v>主管确认</x:v>
      </x:c>
      <x:c r="I227" s="41" t="str">
        <x:v>原型/材料已定义</x:v>
      </x:c>
      <x:c r="J227" s="43" t="str">
        <x:v>待确认</x:v>
      </x:c>
      <x:c r="K227" s="43" t="str">
        <x:v>审批</x:v>
      </x:c>
      <x:c r="L227" s="43" t="str">
        <x:v>结果/意见</x:v>
      </x:c>
      <x:c r="M227" s="43" t="str">
        <x:v>枚举/文本</x:v>
      </x:c>
      <x:c r="N227" s="43" t="str"/>
      <x:c r="O227" s="43" t="str"/>
      <x:c r="P227" s="41" t="str">
        <x:v>待确认</x:v>
      </x:c>
    </x:row>
    <x:row r="228" ht="40" customHeight="1">
      <x:c r="A228" s="41" t="str">
        <x:v>FM33-01</x:v>
      </x:c>
      <x:c r="B228" s="41" t="str">
        <x:v>原需求补充与上线约束</x:v>
      </x:c>
      <x:c r="C228" s="41" t="str">
        <x:v>简版报销关联</x:v>
      </x:c>
      <x:c r="D228" s="41" t="str">
        <x:v>报销</x:v>
      </x:c>
      <x:c r="E228" s="41" t="str">
        <x:v>报销编号</x:v>
      </x:c>
      <x:c r="F228" s="41" t="str">
        <x:v>自动编号</x:v>
      </x:c>
      <x:c r="G228" s="41" t="str">
        <x:v>是</x:v>
      </x:c>
      <x:c r="H228" s="41" t="str">
        <x:v>记录标识</x:v>
      </x:c>
      <x:c r="I228" s="41" t="str">
        <x:v>原型/材料已定义</x:v>
      </x:c>
      <x:c r="J228" s="43" t="str">
        <x:v>待确认</x:v>
      </x:c>
      <x:c r="K228" s="43" t="str">
        <x:v>报销</x:v>
      </x:c>
      <x:c r="L228" s="43" t="str">
        <x:v>报销编号</x:v>
      </x:c>
      <x:c r="M228" s="43" t="str">
        <x:v>自动编号</x:v>
      </x:c>
      <x:c r="N228" s="43" t="str"/>
      <x:c r="O228" s="43" t="str"/>
      <x:c r="P228" s="41" t="str">
        <x:v>待确认</x:v>
      </x:c>
    </x:row>
    <x:row r="229" ht="40" customHeight="1">
      <x:c r="A229" s="41" t="str">
        <x:v>FM33-02</x:v>
      </x:c>
      <x:c r="B229" s="41" t="str">
        <x:v>原需求补充与上线约束</x:v>
      </x:c>
      <x:c r="C229" s="41" t="str">
        <x:v>简版报销关联</x:v>
      </x:c>
      <x:c r="D229" s="41" t="str">
        <x:v>人员</x:v>
      </x:c>
      <x:c r="E229" s="41" t="str">
        <x:v>报销人</x:v>
      </x:c>
      <x:c r="F229" s="41" t="str">
        <x:v>人员</x:v>
      </x:c>
      <x:c r="G229" s="41" t="str">
        <x:v>是</x:v>
      </x:c>
      <x:c r="H229" s="41" t="str">
        <x:v>当前用户</x:v>
      </x:c>
      <x:c r="I229" s="41" t="str">
        <x:v>原型/材料已定义</x:v>
      </x:c>
      <x:c r="J229" s="43" t="str">
        <x:v>待确认</x:v>
      </x:c>
      <x:c r="K229" s="43" t="str">
        <x:v>人员</x:v>
      </x:c>
      <x:c r="L229" s="43" t="str">
        <x:v>报销人</x:v>
      </x:c>
      <x:c r="M229" s="43" t="str">
        <x:v>人员</x:v>
      </x:c>
      <x:c r="N229" s="43" t="str"/>
      <x:c r="O229" s="43" t="str"/>
      <x:c r="P229" s="41" t="str">
        <x:v>待确认</x:v>
      </x:c>
    </x:row>
    <x:row r="230" ht="40" customHeight="1">
      <x:c r="A230" s="41" t="str">
        <x:v>FM33-03</x:v>
      </x:c>
      <x:c r="B230" s="41" t="str">
        <x:v>原需求补充与上线约束</x:v>
      </x:c>
      <x:c r="C230" s="41" t="str">
        <x:v>简版报销关联</x:v>
      </x:c>
      <x:c r="D230" s="41" t="str">
        <x:v>关联</x:v>
      </x:c>
      <x:c r="E230" s="41" t="str">
        <x:v>已完成CALL</x:v>
      </x:c>
      <x:c r="F230" s="41" t="str">
        <x:v>多选关联</x:v>
      </x:c>
      <x:c r="G230" s="41" t="str">
        <x:v>是</x:v>
      </x:c>
      <x:c r="H230" s="41" t="str">
        <x:v>可多张</x:v>
      </x:c>
      <x:c r="I230" s="41" t="str">
        <x:v>原型/材料已定义</x:v>
      </x:c>
      <x:c r="J230" s="43" t="str">
        <x:v>待确认</x:v>
      </x:c>
      <x:c r="K230" s="43" t="str">
        <x:v>关联</x:v>
      </x:c>
      <x:c r="L230" s="43" t="str">
        <x:v>已完成CALL</x:v>
      </x:c>
      <x:c r="M230" s="43" t="str">
        <x:v>多选关联</x:v>
      </x:c>
      <x:c r="N230" s="43" t="str"/>
      <x:c r="O230" s="43" t="str"/>
      <x:c r="P230" s="41" t="str">
        <x:v>待确认</x:v>
      </x:c>
    </x:row>
    <x:row r="231" ht="40" customHeight="1">
      <x:c r="A231" s="41" t="str">
        <x:v>FM33-04</x:v>
      </x:c>
      <x:c r="B231" s="41" t="str">
        <x:v>原需求补充与上线约束</x:v>
      </x:c>
      <x:c r="C231" s="41" t="str">
        <x:v>简版报销关联</x:v>
      </x:c>
      <x:c r="D231" s="41" t="str">
        <x:v>费用</x:v>
      </x:c>
      <x:c r="E231" s="41" t="str">
        <x:v>费用类型/金额</x:v>
      </x:c>
      <x:c r="F231" s="41" t="str">
        <x:v>枚举/数字</x:v>
      </x:c>
      <x:c r="G231" s="41" t="str">
        <x:v>是</x:v>
      </x:c>
      <x:c r="H231" s="41" t="str">
        <x:v>金额合计</x:v>
      </x:c>
      <x:c r="I231" s="41" t="str">
        <x:v>原型/材料已定义</x:v>
      </x:c>
      <x:c r="J231" s="43" t="str">
        <x:v>待确认</x:v>
      </x:c>
      <x:c r="K231" s="43" t="str">
        <x:v>费用</x:v>
      </x:c>
      <x:c r="L231" s="43" t="str">
        <x:v>费用类型/金额</x:v>
      </x:c>
      <x:c r="M231" s="43" t="str">
        <x:v>枚举/数字</x:v>
      </x:c>
      <x:c r="N231" s="43" t="str"/>
      <x:c r="O231" s="43" t="str"/>
      <x:c r="P231" s="41" t="str">
        <x:v>待确认</x:v>
      </x:c>
    </x:row>
    <x:row r="232" ht="40" customHeight="1">
      <x:c r="A232" s="41" t="str">
        <x:v>FM33-05</x:v>
      </x:c>
      <x:c r="B232" s="41" t="str">
        <x:v>原需求补充与上线约束</x:v>
      </x:c>
      <x:c r="C232" s="41" t="str">
        <x:v>简版报销关联</x:v>
      </x:c>
      <x:c r="D232" s="41" t="str">
        <x:v>附件</x:v>
      </x:c>
      <x:c r="E232" s="41" t="str">
        <x:v>票据附件</x:v>
      </x:c>
      <x:c r="F232" s="41" t="str">
        <x:v>附件</x:v>
      </x:c>
      <x:c r="G232" s="41" t="str">
        <x:v>是</x:v>
      </x:c>
      <x:c r="H232" s="41" t="str">
        <x:v>不含OCR</x:v>
      </x:c>
      <x:c r="I232" s="41" t="str">
        <x:v>原型/材料已定义</x:v>
      </x:c>
      <x:c r="J232" s="43" t="str">
        <x:v>待确认</x:v>
      </x:c>
      <x:c r="K232" s="43" t="str">
        <x:v>附件</x:v>
      </x:c>
      <x:c r="L232" s="43" t="str">
        <x:v>票据附件</x:v>
      </x:c>
      <x:c r="M232" s="43" t="str">
        <x:v>附件</x:v>
      </x:c>
      <x:c r="N232" s="43" t="str"/>
      <x:c r="O232" s="43" t="str"/>
      <x:c r="P232" s="41" t="str">
        <x:v>待确认</x:v>
      </x:c>
    </x:row>
    <x:row r="233" ht="40" customHeight="1">
      <x:c r="A233" s="41" t="str">
        <x:v>FM33-06</x:v>
      </x:c>
      <x:c r="B233" s="41" t="str">
        <x:v>原需求补充与上线约束</x:v>
      </x:c>
      <x:c r="C233" s="41" t="str">
        <x:v>简版报销关联</x:v>
      </x:c>
      <x:c r="D233" s="41" t="str">
        <x:v>备注</x:v>
      </x:c>
      <x:c r="E233" s="41" t="str">
        <x:v>说明</x:v>
      </x:c>
      <x:c r="F233" s="41" t="str">
        <x:v>多行文本</x:v>
      </x:c>
      <x:c r="G233" s="41" t="str">
        <x:v>否</x:v>
      </x:c>
      <x:c r="H233" s="41" t="str">
        <x:v>补充说明</x:v>
      </x:c>
      <x:c r="I233" s="41" t="str">
        <x:v>原型/材料已定义</x:v>
      </x:c>
      <x:c r="J233" s="43" t="str">
        <x:v>待确认</x:v>
      </x:c>
      <x:c r="K233" s="43" t="str">
        <x:v>备注</x:v>
      </x:c>
      <x:c r="L233" s="43" t="str">
        <x:v>说明</x:v>
      </x:c>
      <x:c r="M233" s="43" t="str">
        <x:v>多行文本</x:v>
      </x:c>
      <x:c r="N233" s="43" t="str"/>
      <x:c r="O233" s="43" t="str"/>
      <x:c r="P233" s="41" t="str">
        <x:v>待确认</x:v>
      </x:c>
    </x:row>
    <x:row r="234" ht="40" customHeight="1">
      <x:c r="A234" s="41" t="str">
        <x:v>FM34-01</x:v>
      </x:c>
      <x:c r="B234" s="41" t="str">
        <x:v>原需求补充与上线约束</x:v>
      </x:c>
      <x:c r="C234" s="41" t="str">
        <x:v>PM/CM分类映射</x:v>
      </x:c>
      <x:c r="D234" s="41" t="str">
        <x:v>原分类</x:v>
      </x:c>
      <x:c r="E234" s="41" t="str">
        <x:v>PM/CM分类</x:v>
      </x:c>
      <x:c r="F234" s="41" t="str">
        <x:v>枚举</x:v>
      </x:c>
      <x:c r="G234" s="41" t="str">
        <x:v>是</x:v>
      </x:c>
      <x:c r="H234" s="41" t="str">
        <x:v>历史口径</x:v>
      </x:c>
      <x:c r="I234" s="41" t="str">
        <x:v>原型/材料已定义</x:v>
      </x:c>
      <x:c r="J234" s="43" t="str">
        <x:v>待确认</x:v>
      </x:c>
      <x:c r="K234" s="43" t="str">
        <x:v>原分类</x:v>
      </x:c>
      <x:c r="L234" s="43" t="str">
        <x:v>PM/CM分类</x:v>
      </x:c>
      <x:c r="M234" s="43" t="str">
        <x:v>枚举</x:v>
      </x:c>
      <x:c r="N234" s="43" t="str"/>
      <x:c r="O234" s="43" t="str"/>
      <x:c r="P234" s="41" t="str">
        <x:v>待确认</x:v>
      </x:c>
    </x:row>
    <x:row r="235" ht="40" customHeight="1">
      <x:c r="A235" s="41" t="str">
        <x:v>FM34-02</x:v>
      </x:c>
      <x:c r="B235" s="41" t="str">
        <x:v>原需求补充与上线约束</x:v>
      </x:c>
      <x:c r="C235" s="41" t="str">
        <x:v>PM/CM分类映射</x:v>
      </x:c>
      <x:c r="D235" s="41" t="str">
        <x:v>新分类</x:v>
      </x:c>
      <x:c r="E235" s="41" t="str">
        <x:v>CALL类型</x:v>
      </x:c>
      <x:c r="F235" s="41" t="str">
        <x:v>字典</x:v>
      </x:c>
      <x:c r="G235" s="41" t="str">
        <x:v>是</x:v>
      </x:c>
      <x:c r="H235" s="41" t="str">
        <x:v>当前五类</x:v>
      </x:c>
      <x:c r="I235" s="41" t="str">
        <x:v>原型/材料已定义</x:v>
      </x:c>
      <x:c r="J235" s="43" t="str">
        <x:v>待确认</x:v>
      </x:c>
      <x:c r="K235" s="43" t="str">
        <x:v>新分类</x:v>
      </x:c>
      <x:c r="L235" s="43" t="str">
        <x:v>CALL类型</x:v>
      </x:c>
      <x:c r="M235" s="43" t="str">
        <x:v>字典</x:v>
      </x:c>
      <x:c r="N235" s="43" t="str"/>
      <x:c r="O235" s="43" t="str"/>
      <x:c r="P235" s="41" t="str">
        <x:v>待确认</x:v>
      </x:c>
    </x:row>
    <x:row r="236" ht="40" customHeight="1">
      <x:c r="A236" s="41" t="str">
        <x:v>FM34-03</x:v>
      </x:c>
      <x:c r="B236" s="41" t="str">
        <x:v>原需求补充与上线约束</x:v>
      </x:c>
      <x:c r="C236" s="41" t="str">
        <x:v>PM/CM分类映射</x:v>
      </x:c>
      <x:c r="D236" s="41" t="str">
        <x:v>规则</x:v>
      </x:c>
      <x:c r="E236" s="41" t="str">
        <x:v>映射说明</x:v>
      </x:c>
      <x:c r="F236" s="41" t="str">
        <x:v>多行文本</x:v>
      </x:c>
      <x:c r="G236" s="41" t="str">
        <x:v>是</x:v>
      </x:c>
      <x:c r="H236" s="41" t="str">
        <x:v>边界与示例</x:v>
      </x:c>
      <x:c r="I236" s="41" t="str">
        <x:v>原型/材料已定义</x:v>
      </x:c>
      <x:c r="J236" s="43" t="str">
        <x:v>待确认</x:v>
      </x:c>
      <x:c r="K236" s="43" t="str">
        <x:v>规则</x:v>
      </x:c>
      <x:c r="L236" s="43" t="str">
        <x:v>映射说明</x:v>
      </x:c>
      <x:c r="M236" s="43" t="str">
        <x:v>多行文本</x:v>
      </x:c>
      <x:c r="N236" s="43" t="str"/>
      <x:c r="O236" s="43" t="str"/>
      <x:c r="P236" s="41" t="str">
        <x:v>待确认</x:v>
      </x:c>
    </x:row>
    <x:row r="237" ht="40" customHeight="1">
      <x:c r="A237" s="41" t="str">
        <x:v>FM34-04</x:v>
      </x:c>
      <x:c r="B237" s="41" t="str">
        <x:v>原需求补充与上线约束</x:v>
      </x:c>
      <x:c r="C237" s="41" t="str">
        <x:v>PM/CM分类映射</x:v>
      </x:c>
      <x:c r="D237" s="41" t="str">
        <x:v>规则</x:v>
      </x:c>
      <x:c r="E237" s="41" t="str">
        <x:v>启用日期</x:v>
      </x:c>
      <x:c r="F237" s="41" t="str">
        <x:v>日期</x:v>
      </x:c>
      <x:c r="G237" s="41" t="str">
        <x:v>是</x:v>
      </x:c>
      <x:c r="H237" s="41" t="str">
        <x:v>版本生效</x:v>
      </x:c>
      <x:c r="I237" s="41" t="str">
        <x:v>原型/材料已定义</x:v>
      </x:c>
      <x:c r="J237" s="43" t="str">
        <x:v>待确认</x:v>
      </x:c>
      <x:c r="K237" s="43" t="str">
        <x:v>规则</x:v>
      </x:c>
      <x:c r="L237" s="43" t="str">
        <x:v>启用日期</x:v>
      </x:c>
      <x:c r="M237" s="43" t="str">
        <x:v>日期</x:v>
      </x:c>
      <x:c r="N237" s="43" t="str"/>
      <x:c r="O237" s="43" t="str"/>
      <x:c r="P237" s="41" t="str">
        <x:v>待确认</x:v>
      </x:c>
    </x:row>
    <x:row r="238" ht="40" customHeight="1">
      <x:c r="A238" s="41" t="str">
        <x:v>FM34-05</x:v>
      </x:c>
      <x:c r="B238" s="41" t="str">
        <x:v>原需求补充与上线约束</x:v>
      </x:c>
      <x:c r="C238" s="41" t="str">
        <x:v>PM/CM分类映射</x:v>
      </x:c>
      <x:c r="D238" s="41" t="str">
        <x:v>状态</x:v>
      </x:c>
      <x:c r="E238" s="41" t="str">
        <x:v>启用状态</x:v>
      </x:c>
      <x:c r="F238" s="41" t="str">
        <x:v>布尔</x:v>
      </x:c>
      <x:c r="G238" s="41" t="str">
        <x:v>是</x:v>
      </x:c>
      <x:c r="H238" s="41" t="str">
        <x:v>保留历史</x:v>
      </x:c>
      <x:c r="I238" s="41" t="str">
        <x:v>原型/材料已定义</x:v>
      </x:c>
      <x:c r="J238" s="43" t="str">
        <x:v>待确认</x:v>
      </x:c>
      <x:c r="K238" s="43" t="str">
        <x:v>状态</x:v>
      </x:c>
      <x:c r="L238" s="43" t="str">
        <x:v>启用状态</x:v>
      </x:c>
      <x:c r="M238" s="43" t="str">
        <x:v>布尔</x:v>
      </x:c>
      <x:c r="N238" s="43" t="str"/>
      <x:c r="O238" s="43" t="str"/>
      <x:c r="P238" s="41" t="str">
        <x:v>待确认</x:v>
      </x:c>
    </x:row>
    <x:row r="239" ht="40" customHeight="1">
      <x:c r="A239" s="41" t="str">
        <x:v>FM35-01</x:v>
      </x:c>
      <x:c r="B239" s="41" t="str">
        <x:v>原需求补充与上线约束</x:v>
      </x:c>
      <x:c r="C239" s="41" t="str">
        <x:v>编号关联查询</x:v>
      </x:c>
      <x:c r="D239" s="41" t="str">
        <x:v>编号</x:v>
      </x:c>
      <x:c r="E239" s="41" t="str">
        <x:v>项目编号</x:v>
      </x:c>
      <x:c r="F239" s="41" t="str">
        <x:v>文本</x:v>
      </x:c>
      <x:c r="G239" s="41" t="str">
        <x:v>否</x:v>
      </x:c>
      <x:c r="H239" s="41" t="str">
        <x:v>项目维度</x:v>
      </x:c>
      <x:c r="I239" s="41" t="str">
        <x:v>原型/材料已定义</x:v>
      </x:c>
      <x:c r="J239" s="43" t="str">
        <x:v>待确认</x:v>
      </x:c>
      <x:c r="K239" s="43" t="str">
        <x:v>编号</x:v>
      </x:c>
      <x:c r="L239" s="43" t="str">
        <x:v>项目编号</x:v>
      </x:c>
      <x:c r="M239" s="43" t="str">
        <x:v>文本</x:v>
      </x:c>
      <x:c r="N239" s="43" t="str"/>
      <x:c r="O239" s="43" t="str"/>
      <x:c r="P239" s="41" t="str">
        <x:v>待确认</x:v>
      </x:c>
    </x:row>
    <x:row r="240" ht="40" customHeight="1">
      <x:c r="A240" s="41" t="str">
        <x:v>FM35-02</x:v>
      </x:c>
      <x:c r="B240" s="41" t="str">
        <x:v>原需求补充与上线约束</x:v>
      </x:c>
      <x:c r="C240" s="41" t="str">
        <x:v>编号关联查询</x:v>
      </x:c>
      <x:c r="D240" s="41" t="str">
        <x:v>编号</x:v>
      </x:c>
      <x:c r="E240" s="41" t="str">
        <x:v>CALL编号</x:v>
      </x:c>
      <x:c r="F240" s="41" t="str">
        <x:v>文本</x:v>
      </x:c>
      <x:c r="G240" s="41" t="str">
        <x:v>是</x:v>
      </x:c>
      <x:c r="H240" s="41" t="str">
        <x:v>主业务编号</x:v>
      </x:c>
      <x:c r="I240" s="41" t="str">
        <x:v>原型/材料已定义</x:v>
      </x:c>
      <x:c r="J240" s="43" t="str">
        <x:v>待确认</x:v>
      </x:c>
      <x:c r="K240" s="43" t="str">
        <x:v>编号</x:v>
      </x:c>
      <x:c r="L240" s="43" t="str">
        <x:v>CALL编号</x:v>
      </x:c>
      <x:c r="M240" s="43" t="str">
        <x:v>文本</x:v>
      </x:c>
      <x:c r="N240" s="43" t="str"/>
      <x:c r="O240" s="43" t="str"/>
      <x:c r="P240" s="41" t="str">
        <x:v>待确认</x:v>
      </x:c>
    </x:row>
    <x:row r="241" ht="40" customHeight="1">
      <x:c r="A241" s="41" t="str">
        <x:v>FM35-03</x:v>
      </x:c>
      <x:c r="B241" s="41" t="str">
        <x:v>原需求补充与上线约束</x:v>
      </x:c>
      <x:c r="C241" s="41" t="str">
        <x:v>编号关联查询</x:v>
      </x:c>
      <x:c r="D241" s="41" t="str">
        <x:v>编号</x:v>
      </x:c>
      <x:c r="E241" s="41" t="str">
        <x:v>任务编号</x:v>
      </x:c>
      <x:c r="F241" s="41" t="str">
        <x:v>文本</x:v>
      </x:c>
      <x:c r="G241" s="41" t="str">
        <x:v>条件</x:v>
      </x:c>
      <x:c r="H241" s="41" t="str">
        <x:v>分派流水</x:v>
      </x:c>
      <x:c r="I241" s="41" t="str">
        <x:v>原型/材料已定义</x:v>
      </x:c>
      <x:c r="J241" s="43" t="str">
        <x:v>待确认</x:v>
      </x:c>
      <x:c r="K241" s="43" t="str">
        <x:v>编号</x:v>
      </x:c>
      <x:c r="L241" s="43" t="str">
        <x:v>任务编号</x:v>
      </x:c>
      <x:c r="M241" s="43" t="str">
        <x:v>文本</x:v>
      </x:c>
      <x:c r="N241" s="43" t="str"/>
      <x:c r="O241" s="43" t="str"/>
      <x:c r="P241" s="41" t="str">
        <x:v>待确认</x:v>
      </x:c>
    </x:row>
    <x:row r="242" ht="40" customHeight="1">
      <x:c r="A242" s="41" t="str">
        <x:v>FM35-04</x:v>
      </x:c>
      <x:c r="B242" s="41" t="str">
        <x:v>原需求补充与上线约束</x:v>
      </x:c>
      <x:c r="C242" s="41" t="str">
        <x:v>编号关联查询</x:v>
      </x:c>
      <x:c r="D242" s="41" t="str">
        <x:v>编号</x:v>
      </x:c>
      <x:c r="E242" s="41" t="str">
        <x:v>外部Reference</x:v>
      </x:c>
      <x:c r="F242" s="41" t="str">
        <x:v>文本</x:v>
      </x:c>
      <x:c r="G242" s="41" t="str">
        <x:v>否</x:v>
      </x:c>
      <x:c r="H242" s="41" t="str">
        <x:v>客户/外部系统编号</x:v>
      </x:c>
      <x:c r="I242" s="41" t="str">
        <x:v>原型/材料已定义</x:v>
      </x:c>
      <x:c r="J242" s="43" t="str">
        <x:v>待确认</x:v>
      </x:c>
      <x:c r="K242" s="43" t="str">
        <x:v>编号</x:v>
      </x:c>
      <x:c r="L242" s="43" t="str">
        <x:v>外部Reference</x:v>
      </x:c>
      <x:c r="M242" s="43" t="str">
        <x:v>文本</x:v>
      </x:c>
      <x:c r="N242" s="43" t="str"/>
      <x:c r="O242" s="43" t="str"/>
      <x:c r="P242" s="41" t="str">
        <x:v>待确认</x:v>
      </x:c>
    </x:row>
    <x:row r="243" ht="40" customHeight="1">
      <x:c r="A243" s="41" t="str">
        <x:v>FM35-05</x:v>
      </x:c>
      <x:c r="B243" s="41" t="str">
        <x:v>原需求补充与上线约束</x:v>
      </x:c>
      <x:c r="C243" s="41" t="str">
        <x:v>编号关联查询</x:v>
      </x:c>
      <x:c r="D243" s="41" t="str">
        <x:v>关系</x:v>
      </x:c>
      <x:c r="E243" s="41" t="str">
        <x:v>关联类型</x:v>
      </x:c>
      <x:c r="F243" s="41" t="str">
        <x:v>枚举</x:v>
      </x:c>
      <x:c r="G243" s="41" t="str">
        <x:v>是</x:v>
      </x:c>
      <x:c r="H243" s="41" t="str">
        <x:v>一对一/一对多</x:v>
      </x:c>
      <x:c r="I243" s="41" t="str">
        <x:v>原型/材料已定义</x:v>
      </x:c>
      <x:c r="J243" s="43" t="str">
        <x:v>待确认</x:v>
      </x:c>
      <x:c r="K243" s="43" t="str">
        <x:v>关系</x:v>
      </x:c>
      <x:c r="L243" s="43" t="str">
        <x:v>关联类型</x:v>
      </x:c>
      <x:c r="M243" s="43" t="str">
        <x:v>枚举</x:v>
      </x:c>
      <x:c r="N243" s="43" t="str"/>
      <x:c r="O243" s="43" t="str"/>
      <x:c r="P243" s="41" t="str">
        <x:v>待确认</x:v>
      </x:c>
    </x:row>
    <x:row r="244" ht="40" customHeight="1">
      <x:c r="A244" s="41" t="str">
        <x:v>FM36-01</x:v>
      </x:c>
      <x:c r="B244" s="41" t="str">
        <x:v>原需求补充与上线约束</x:v>
      </x:c>
      <x:c r="C244" s="41" t="str">
        <x:v>归档与恢复规则</x:v>
      </x:c>
      <x:c r="D244" s="41" t="str">
        <x:v>范围</x:v>
      </x:c>
      <x:c r="E244" s="41" t="str">
        <x:v>归档对象</x:v>
      </x:c>
      <x:c r="F244" s="41" t="str">
        <x:v>多选</x:v>
      </x:c>
      <x:c r="G244" s="41" t="str">
        <x:v>是</x:v>
      </x:c>
      <x:c r="H244" s="41" t="str">
        <x:v>CALL/报告/附件</x:v>
      </x:c>
      <x:c r="I244" s="41" t="str">
        <x:v>原型/材料已定义</x:v>
      </x:c>
      <x:c r="J244" s="43" t="str">
        <x:v>待确认</x:v>
      </x:c>
      <x:c r="K244" s="43" t="str">
        <x:v>范围</x:v>
      </x:c>
      <x:c r="L244" s="43" t="str">
        <x:v>归档对象</x:v>
      </x:c>
      <x:c r="M244" s="43" t="str">
        <x:v>多选</x:v>
      </x:c>
      <x:c r="N244" s="43" t="str"/>
      <x:c r="O244" s="43" t="str"/>
      <x:c r="P244" s="41" t="str">
        <x:v>待确认</x:v>
      </x:c>
    </x:row>
    <x:row r="245" ht="40" customHeight="1">
      <x:c r="A245" s="41" t="str">
        <x:v>FM36-02</x:v>
      </x:c>
      <x:c r="B245" s="41" t="str">
        <x:v>原需求补充与上线约束</x:v>
      </x:c>
      <x:c r="C245" s="41" t="str">
        <x:v>归档与恢复规则</x:v>
      </x:c>
      <x:c r="D245" s="41" t="str">
        <x:v>条件</x:v>
      </x:c>
      <x:c r="E245" s="41" t="str">
        <x:v>状态/时间条件</x:v>
      </x:c>
      <x:c r="F245" s="41" t="str">
        <x:v>规则</x:v>
      </x:c>
      <x:c r="G245" s="41" t="str">
        <x:v>是</x:v>
      </x:c>
      <x:c r="H245" s="41" t="str">
        <x:v>完成/取消后N天</x:v>
      </x:c>
      <x:c r="I245" s="41" t="str">
        <x:v>原型/材料已定义</x:v>
      </x:c>
      <x:c r="J245" s="43" t="str">
        <x:v>待确认</x:v>
      </x:c>
      <x:c r="K245" s="43" t="str">
        <x:v>条件</x:v>
      </x:c>
      <x:c r="L245" s="43" t="str">
        <x:v>状态/时间条件</x:v>
      </x:c>
      <x:c r="M245" s="43" t="str">
        <x:v>规则</x:v>
      </x:c>
      <x:c r="N245" s="43" t="str"/>
      <x:c r="O245" s="43" t="str"/>
      <x:c r="P245" s="41" t="str">
        <x:v>待确认</x:v>
      </x:c>
    </x:row>
    <x:row r="246" ht="40" customHeight="1">
      <x:c r="A246" s="41" t="str">
        <x:v>FM36-03</x:v>
      </x:c>
      <x:c r="B246" s="41" t="str">
        <x:v>原需求补充与上线约束</x:v>
      </x:c>
      <x:c r="C246" s="41" t="str">
        <x:v>归档与恢复规则</x:v>
      </x:c>
      <x:c r="D246" s="41" t="str">
        <x:v>保留</x:v>
      </x:c>
      <x:c r="E246" s="41" t="str">
        <x:v>在线/归档保留期</x:v>
      </x:c>
      <x:c r="F246" s="41" t="str">
        <x:v>数字+单位</x:v>
      </x:c>
      <x:c r="G246" s="41" t="str">
        <x:v>是</x:v>
      </x:c>
      <x:c r="H246" s="41" t="str">
        <x:v>需合规确认</x:v>
      </x:c>
      <x:c r="I246" s="41" t="str">
        <x:v>原型/材料已定义</x:v>
      </x:c>
      <x:c r="J246" s="43" t="str">
        <x:v>待确认</x:v>
      </x:c>
      <x:c r="K246" s="43" t="str">
        <x:v>保留</x:v>
      </x:c>
      <x:c r="L246" s="43" t="str">
        <x:v>在线/归档保留期</x:v>
      </x:c>
      <x:c r="M246" s="43" t="str">
        <x:v>数字+单位</x:v>
      </x:c>
      <x:c r="N246" s="43" t="str"/>
      <x:c r="O246" s="43" t="str"/>
      <x:c r="P246" s="41" t="str">
        <x:v>待确认</x:v>
      </x:c>
    </x:row>
    <x:row r="247" ht="40" customHeight="1">
      <x:c r="A247" s="41" t="str">
        <x:v>FM36-04</x:v>
      </x:c>
      <x:c r="B247" s="41" t="str">
        <x:v>原需求补充与上线约束</x:v>
      </x:c>
      <x:c r="C247" s="41" t="str">
        <x:v>归档与恢复规则</x:v>
      </x:c>
      <x:c r="D247" s="41" t="str">
        <x:v>备份</x:v>
      </x:c>
      <x:c r="E247" s="41" t="str">
        <x:v>备份位置/周期</x:v>
      </x:c>
      <x:c r="F247" s="41" t="str">
        <x:v>配置</x:v>
      </x:c>
      <x:c r="G247" s="41" t="str">
        <x:v>是</x:v>
      </x:c>
      <x:c r="H247" s="41" t="str">
        <x:v>灾备要求</x:v>
      </x:c>
      <x:c r="I247" s="41" t="str">
        <x:v>原型/材料已定义</x:v>
      </x:c>
      <x:c r="J247" s="43" t="str">
        <x:v>待确认</x:v>
      </x:c>
      <x:c r="K247" s="43" t="str">
        <x:v>备份</x:v>
      </x:c>
      <x:c r="L247" s="43" t="str">
        <x:v>备份位置/周期</x:v>
      </x:c>
      <x:c r="M247" s="43" t="str">
        <x:v>配置</x:v>
      </x:c>
      <x:c r="N247" s="43" t="str"/>
      <x:c r="O247" s="43" t="str"/>
      <x:c r="P247" s="41" t="str">
        <x:v>待确认</x:v>
      </x:c>
    </x:row>
    <x:row r="248" ht="40" customHeight="1">
      <x:c r="A248" s="41" t="str">
        <x:v>FM36-05</x:v>
      </x:c>
      <x:c r="B248" s="41" t="str">
        <x:v>原需求补充与上线约束</x:v>
      </x:c>
      <x:c r="C248" s="41" t="str">
        <x:v>归档与恢复规则</x:v>
      </x:c>
      <x:c r="D248" s="41" t="str">
        <x:v>恢复</x:v>
      </x:c>
      <x:c r="E248" s="41" t="str">
        <x:v>恢复申请/结果</x:v>
      </x:c>
      <x:c r="F248" s="41" t="str">
        <x:v>记录</x:v>
      </x:c>
      <x:c r="G248" s="41" t="str">
        <x:v>否</x:v>
      </x:c>
      <x:c r="H248" s="41" t="str">
        <x:v>审计日志</x:v>
      </x:c>
      <x:c r="I248" s="41" t="str">
        <x:v>原型/材料已定义</x:v>
      </x:c>
      <x:c r="J248" s="43" t="str">
        <x:v>待确认</x:v>
      </x:c>
      <x:c r="K248" s="43" t="str">
        <x:v>恢复</x:v>
      </x:c>
      <x:c r="L248" s="43" t="str">
        <x:v>恢复申请/结果</x:v>
      </x:c>
      <x:c r="M248" s="43" t="str">
        <x:v>记录</x:v>
      </x:c>
      <x:c r="N248" s="43" t="str"/>
      <x:c r="O248" s="43" t="str"/>
      <x:c r="P248" s="41" t="str">
        <x:v>待确认</x:v>
      </x:c>
    </x:row>
  </x:sheetData>
  <x:mergeCells>
    <x:mergeCell ref="A1:P1"/>
    <x:mergeCell ref="A2:P2"/>
  </x:mergeCells>
  <x:conditionalFormatting sqref="J5:J248">
    <x:cfRule type="containsText" dxfId="42" priority="1" operator="containsText" text="已确认"/>
    <x:cfRule type="containsText" dxfId="43" priority="2" operator="containsText" text="已批准"/>
    <x:cfRule type="containsText" dxfId="44" priority="3" operator="containsText" text="评审中"/>
    <x:cfRule type="containsText" dxfId="45" priority="4" operator="containsText" text="有条件确认"/>
    <x:cfRule type="containsText" dxfId="46" priority="5" operator="containsText" text="待确认"/>
    <x:cfRule type="containsText" dxfId="47" priority="6" operator="containsText" text="需调整"/>
    <x:cfRule type="containsText" dxfId="48" priority="7" operator="containsText" text="不纳入"/>
  </x:conditionalFormatting>
  <x:dataValidations count="2">
    <x:dataValidation type="list" sqref="J5:J248">
      <x:formula1>"待确认,已确认,有条件确认,需调整,删除"</x:formula1>
    </x:dataValidation>
    <x:dataValidation type="list" sqref="M5:M248">
      <x:formula1>"是,否,条件必填,系统生成,只读"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84cd09fe11400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0" hidden="0" customWidth="1"/>
    <x:col min="4" max="4" width="38" hidden="0" customWidth="1"/>
    <x:col min="5" max="5" width="28" hidden="0" customWidth="1"/>
    <x:col min="6" max="6" width="42" hidden="0" customWidth="1"/>
    <x:col min="7" max="7" width="34" hidden="0" customWidth="1"/>
    <x:col min="8" max="8" width="16" hidden="0" customWidth="1"/>
    <x:col min="9" max="9" width="36" hidden="0" customWidth="1"/>
    <x:col min="10" max="10" width="36" hidden="0" customWidth="1"/>
  </x:cols>
  <x:sheetData>
    <x:row r="1" ht="28" customHeight="1">
      <x:c r="A1" s="2" t="str">
        <x:v>角色权限确认</x:v>
      </x:c>
      <x:c r="B1" s="59"/>
      <x:c r="C1" s="59"/>
      <x:c r="D1" s="59"/>
      <x:c r="E1" s="59"/>
      <x:c r="F1" s="59"/>
      <x:c r="G1" s="59"/>
      <x:c r="H1" s="59"/>
      <x:c r="I1" s="59"/>
      <x:c r="J1" s="59"/>
    </x:row>
    <x:row r="2" ht="24" customHeight="1">
      <x:c r="A2" s="5" t="str">
        <x:v>把角色责任和数据范围单独拿出来确认，避免流程里出现“谁都能做”的隐性假设。</x:v>
      </x:c>
      <x:c r="B2" s="59"/>
      <x:c r="C2" s="59"/>
      <x:c r="D2" s="59"/>
      <x:c r="E2" s="59"/>
      <x:c r="F2" s="59"/>
      <x:c r="G2" s="59"/>
      <x:c r="H2" s="59"/>
      <x:c r="I2" s="59"/>
      <x:c r="J2" s="59"/>
    </x:row>
    <x:row r="3">
      <x:c r="A3" s="59"/>
      <x:c r="B3" s="59"/>
      <x:c r="C3" s="59"/>
      <x:c r="D3" s="59"/>
      <x:c r="E3" s="59"/>
      <x:c r="F3" s="59"/>
      <x:c r="G3" s="59"/>
      <x:c r="H3" s="59"/>
      <x:c r="I3" s="59"/>
      <x:c r="J3" s="59"/>
    </x:row>
    <x:row r="4">
      <x:c r="A4" s="25" t="str">
        <x:v>角色编码</x:v>
      </x:c>
      <x:c r="B4" s="26" t="str">
        <x:v>角色名称</x:v>
      </x:c>
      <x:c r="C4" s="26" t="str">
        <x:v>部门/定位</x:v>
      </x:c>
      <x:c r="D4" s="26" t="str">
        <x:v>当前可见页面</x:v>
      </x:c>
      <x:c r="E4" s="26" t="str">
        <x:v>当前数据范围</x:v>
      </x:c>
      <x:c r="F4" s="26" t="str">
        <x:v>核心操作</x:v>
      </x:c>
      <x:c r="G4" s="26" t="str">
        <x:v>明确限制</x:v>
      </x:c>
      <x:c r="H4" s="26" t="str">
        <x:v>客户确认</x:v>
      </x:c>
      <x:c r="I4" s="26" t="str">
        <x:v>定稿权限</x:v>
      </x:c>
      <x:c r="J4" s="27" t="str">
        <x:v>客户意见</x:v>
      </x:c>
    </x:row>
    <x:row r="5" ht="58" customHeight="1">
      <x:c r="A5" s="40" t="str">
        <x:v>CS</x:v>
      </x:c>
      <x:c r="B5" s="40" t="str">
        <x:v>客户服务</x:v>
      </x:c>
      <x:c r="C5" s="40" t="str">
        <x:v>工单入口</x:v>
      </x:c>
      <x:c r="D5" s="40" t="str">
        <x:v>首页、CALL管理、报告</x:v>
      </x:c>
      <x:c r="E5" s="40" t="str">
        <x:v>本人创建及授权范围</x:v>
      </x:c>
      <x:c r="F5" s="40" t="str">
        <x:v>记录来电、建单、补资料、催单、查看报告</x:v>
      </x:c>
      <x:c r="G5" s="40" t="str">
        <x:v>不负责现场处理和财务操作</x:v>
      </x:c>
      <x:c r="H5" s="42" t="str">
        <x:v>待确认</x:v>
      </x:c>
      <x:c r="I5" s="42" t="str"/>
      <x:c r="J5" s="42" t="str"/>
    </x:row>
    <x:row r="6" ht="58" customHeight="1">
      <x:c r="A6" s="41" t="str">
        <x:v>CR</x:v>
      </x:c>
      <x:c r="B6" s="41" t="str">
        <x:v>客户关系</x:v>
      </x:c>
      <x:c r="C6" s="41" t="str">
        <x:v>客户协调</x:v>
      </x:c>
      <x:c r="D6" s="41" t="str">
        <x:v>首页、CALL、分派、报价、备货、统计</x:v>
      </x:c>
      <x:c r="E6" s="41" t="str">
        <x:v>对应区域客户及工单</x:v>
      </x:c>
      <x:c r="F6" s="41" t="str">
        <x:v>客户协调、直接分派、查看报价和采购进度</x:v>
      </x:c>
      <x:c r="G6" s="41" t="str">
        <x:v>不编制财务单据</x:v>
      </x:c>
      <x:c r="H6" s="43" t="str">
        <x:v>待确认</x:v>
      </x:c>
      <x:c r="I6" s="43" t="str"/>
      <x:c r="J6" s="43" t="str"/>
    </x:row>
    <x:row r="7" ht="58" customHeight="1">
      <x:c r="A7" s="41" t="str">
        <x:v>TL</x:v>
      </x:c>
      <x:c r="B7" s="41" t="str">
        <x:v>主管</x:v>
      </x:c>
      <x:c r="C7" s="41" t="str">
        <x:v>区域/团队负责人</x:v>
      </x:c>
      <x:c r="D7" s="41" t="str">
        <x:v>首页、CALL、分派、报告、统计、移动端</x:v>
      </x:c>
      <x:c r="E7" s="41" t="str">
        <x:v>本人团队/区域</x:v>
      </x:c>
      <x:c r="F7" s="41" t="str">
        <x:v>分派、改派、审批接单申请、确认/退回结果</x:v>
      </x:c>
      <x:c r="G7" s="41" t="str">
        <x:v>不可越权查看其他区域</x:v>
      </x:c>
      <x:c r="H7" s="43" t="str">
        <x:v>待确认</x:v>
      </x:c>
      <x:c r="I7" s="43" t="str"/>
      <x:c r="J7" s="43" t="str"/>
    </x:row>
    <x:row r="8" ht="58" customHeight="1">
      <x:c r="A8" s="41" t="str">
        <x:v>MASTER</x:v>
      </x:c>
      <x:c r="B8" s="41" t="str">
        <x:v>师傅</x:v>
      </x:c>
      <x:c r="C8" s="41" t="str">
        <x:v>现场执行</x:v>
      </x:c>
      <x:c r="D8" s="41" t="str">
        <x:v>首页、移动端、报告</x:v>
      </x:c>
      <x:c r="E8" s="41" t="str">
        <x:v>本人任务及开放任务</x:v>
      </x:c>
      <x:c r="F8" s="41" t="str">
        <x:v>接单/拒单、签到、处理、照片签名、提交</x:v>
      </x:c>
      <x:c r="G8" s="41" t="str">
        <x:v>不进入后台配置和财务模块</x:v>
      </x:c>
      <x:c r="H8" s="43" t="str">
        <x:v>待确认</x:v>
      </x:c>
      <x:c r="I8" s="43" t="str"/>
      <x:c r="J8" s="43" t="str"/>
    </x:row>
    <x:row r="9" ht="58" customHeight="1">
      <x:c r="A9" s="41" t="str">
        <x:v>QUO</x:v>
      </x:c>
      <x:c r="B9" s="41" t="str">
        <x:v>报价组</x:v>
      </x:c>
      <x:c r="C9" s="41" t="str">
        <x:v>报价处理</x:v>
      </x:c>
      <x:c r="D9" s="41" t="str">
        <x:v>首页、报价管理</x:v>
      </x:c>
      <x:c r="E9" s="41" t="str">
        <x:v>相关报价及关联CALL</x:v>
      </x:c>
      <x:c r="F9" s="41" t="str">
        <x:v>编制、修订、发出报价、维护中单结果</x:v>
      </x:c>
      <x:c r="G9" s="41" t="str">
        <x:v>默认不进入标书管理</x:v>
      </x:c>
      <x:c r="H9" s="43" t="str">
        <x:v>待确认</x:v>
      </x:c>
      <x:c r="I9" s="43" t="str"/>
      <x:c r="J9" s="43" t="str"/>
    </x:row>
    <x:row r="10" ht="58" customHeight="1">
      <x:c r="A10" s="41" t="str">
        <x:v>TENDER</x:v>
      </x:c>
      <x:c r="B10" s="41" t="str">
        <x:v>标书组</x:v>
      </x:c>
      <x:c r="C10" s="41" t="str">
        <x:v>招投标管理</x:v>
      </x:c>
      <x:c r="D10" s="41" t="str">
        <x:v>首页、报价、标书</x:v>
      </x:c>
      <x:c r="E10" s="41" t="str">
        <x:v>相关标书及报价</x:v>
      </x:c>
      <x:c r="F10" s="41" t="str">
        <x:v>导入标书、维护截止、附件、排程</x:v>
      </x:c>
      <x:c r="G10" s="41" t="str">
        <x:v>不处理会计和系统配置</x:v>
      </x:c>
      <x:c r="H10" s="43" t="str">
        <x:v>待确认</x:v>
      </x:c>
      <x:c r="I10" s="43" t="str"/>
      <x:c r="J10" s="43" t="str"/>
    </x:row>
    <x:row r="11" ht="58" customHeight="1">
      <x:c r="A11" s="41" t="str">
        <x:v>PURCHASE</x:v>
      </x:c>
      <x:c r="B11" s="41" t="str">
        <x:v>采购/仓库</x:v>
      </x:c>
      <x:c r="C11" s="41" t="str">
        <x:v>物料与库存</x:v>
      </x:c>
      <x:c r="D11" s="41" t="str">
        <x:v>首页、备货、采购</x:v>
      </x:c>
      <x:c r="E11" s="41" t="str">
        <x:v>相关物料、采购和库存</x:v>
      </x:c>
      <x:c r="F11" s="41" t="str">
        <x:v>查看库存、采购申请、接收仓库状态</x:v>
      </x:c>
      <x:c r="G11" s="41" t="str">
        <x:v>仓库库存以外部系统为准</x:v>
      </x:c>
      <x:c r="H11" s="43" t="str">
        <x:v>待确认</x:v>
      </x:c>
      <x:c r="I11" s="43" t="str"/>
      <x:c r="J11" s="43" t="str"/>
    </x:row>
    <x:row r="12" ht="58" customHeight="1">
      <x:c r="A12" s="41" t="str">
        <x:v>FIN</x:v>
      </x:c>
      <x:c r="B12" s="41" t="str">
        <x:v>会计/财务</x:v>
      </x:c>
      <x:c r="C12" s="41" t="str">
        <x:v>结算管理</x:v>
      </x:c>
      <x:c r="D12" s="41" t="str">
        <x:v>首页、会计、报告</x:v>
      </x:c>
      <x:c r="E12" s="41" t="str">
        <x:v>相关客户和账单</x:v>
      </x:c>
      <x:c r="F12" s="41" t="str">
        <x:v>发票、收款、账期、对账</x:v>
      </x:c>
      <x:c r="G12" s="41" t="str">
        <x:v>不修改现场处理结果</x:v>
      </x:c>
      <x:c r="H12" s="43" t="str">
        <x:v>待确认</x:v>
      </x:c>
      <x:c r="I12" s="43" t="str"/>
      <x:c r="J12" s="43" t="str"/>
    </x:row>
    <x:row r="13" ht="58" customHeight="1">
      <x:c r="A13" s="41" t="str">
        <x:v>ADMIN</x:v>
      </x:c>
      <x:c r="B13" s="41" t="str">
        <x:v>系统管理员</x:v>
      </x:c>
      <x:c r="C13" s="41" t="str">
        <x:v>系统配置</x:v>
      </x:c>
      <x:c r="D13" s="41" t="str">
        <x:v>全部页面</x:v>
      </x:c>
      <x:c r="E13" s="41" t="str">
        <x:v>全量数据</x:v>
      </x:c>
      <x:c r="F13" s="41" t="str">
        <x:v>用户、字典、权限、接口、配置</x:v>
      </x:c>
      <x:c r="G13" s="41" t="str">
        <x:v>操作需留痕</x:v>
      </x:c>
      <x:c r="H13" s="43" t="str">
        <x:v>待确认</x:v>
      </x:c>
      <x:c r="I13" s="43" t="str"/>
      <x:c r="J13" s="43" t="str"/>
    </x:row>
    <x:row r="14" ht="58" customHeight="1">
      <x:c r="A14" s="41" t="str">
        <x:v>BOSS</x:v>
      </x:c>
      <x:c r="B14" s="41" t="str">
        <x:v>管理层</x:v>
      </x:c>
      <x:c r="C14" s="41" t="str">
        <x:v>经营管理</x:v>
      </x:c>
      <x:c r="D14" s="41" t="str">
        <x:v>首页、统计、报告</x:v>
      </x:c>
      <x:c r="E14" s="41" t="str">
        <x:v>授权管理范围</x:v>
      </x:c>
      <x:c r="F14" s="41" t="str">
        <x:v>查看汇总、异常和经营指标</x:v>
      </x:c>
      <x:c r="G14" s="41" t="str">
        <x:v>默认不直接操作业务单据</x:v>
      </x:c>
      <x:c r="H14" s="43" t="str">
        <x:v>待确认</x:v>
      </x:c>
      <x:c r="I14" s="43" t="str"/>
      <x:c r="J14" s="43" t="str"/>
    </x:row>
  </x:sheetData>
  <x:mergeCells>
    <x:mergeCell ref="A1:J1"/>
    <x:mergeCell ref="A2:J2"/>
  </x:mergeCells>
  <x:conditionalFormatting sqref="H5:H14">
    <x:cfRule type="containsText" dxfId="49" priority="1" operator="containsText" text="已确认"/>
    <x:cfRule type="containsText" dxfId="50" priority="2" operator="containsText" text="已批准"/>
    <x:cfRule type="containsText" dxfId="51" priority="3" operator="containsText" text="评审中"/>
    <x:cfRule type="containsText" dxfId="52" priority="4" operator="containsText" text="有条件确认"/>
    <x:cfRule type="containsText" dxfId="53" priority="5" operator="containsText" text="待确认"/>
    <x:cfRule type="containsText" dxfId="54" priority="6" operator="containsText" text="需调整"/>
    <x:cfRule type="containsText" dxfId="55" priority="7" operator="containsText" text="不纳入"/>
  </x:conditionalFormatting>
  <x:dataValidations count="1">
    <x:dataValidation type="list" sqref="H5:H14">
      <x:formula1>"待确认,已确认,有条件确认,需调整,不纳入"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d9861d4d9894eca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26" hidden="0" customWidth="1"/>
    <x:col min="4" max="4" width="24" hidden="0" customWidth="1"/>
    <x:col min="5" max="5" width="26" hidden="0" customWidth="1"/>
    <x:col min="6" max="6" width="44" hidden="0" customWidth="1"/>
    <x:col min="7" max="7" width="30" hidden="0" customWidth="1"/>
    <x:col min="8" max="8" width="36" hidden="0" customWidth="1"/>
    <x:col min="9" max="9" width="22" hidden="0" customWidth="1"/>
    <x:col min="10" max="10" width="16" hidden="0" customWidth="1"/>
    <x:col min="11" max="11" width="42" hidden="0" customWidth="1"/>
  </x:cols>
  <x:sheetData>
    <x:row r="1" ht="28" customHeight="1">
      <x:c r="A1" s="2" t="str">
        <x:v>原型页面对齐</x:v>
      </x:c>
      <x:c r="B1" s="59"/>
      <x:c r="C1" s="59"/>
      <x:c r="D1" s="59"/>
      <x:c r="E1" s="59"/>
      <x:c r="F1" s="59"/>
      <x:c r="G1" s="59"/>
      <x:c r="H1" s="59"/>
      <x:c r="I1" s="59"/>
      <x:c r="J1" s="59"/>
      <x:c r="K1" s="59"/>
    </x:row>
    <x:row r="2" ht="24" customHeight="1">
      <x:c r="A2" s="5" t="str">
        <x:v>当前 prototype/（2.0）只作为讨论底稿；客户确认后的差异统一回填到需求主表和需求变更记录。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</x:row>
    <x:row r="3">
      <x:c r="A3" s="59"/>
      <x:c r="B3" s="59"/>
      <x:c r="C3" s="59"/>
      <x:c r="D3" s="59"/>
      <x:c r="E3" s="59"/>
      <x:c r="F3" s="59"/>
      <x:c r="G3" s="59"/>
      <x:c r="H3" s="59"/>
      <x:c r="I3" s="59"/>
      <x:c r="J3" s="59"/>
      <x:c r="K3" s="59"/>
    </x:row>
    <x:row r="4">
      <x:c r="A4" s="25" t="str">
        <x:v>页面编号</x:v>
      </x:c>
      <x:c r="B4" s="26" t="str">
        <x:v>端</x:v>
      </x:c>
      <x:c r="C4" s="26" t="str">
        <x:v>页面/入口</x:v>
      </x:c>
      <x:c r="D4" s="26" t="str">
        <x:v>所属模块</x:v>
      </x:c>
      <x:c r="E4" s="26" t="str">
        <x:v>主要角色</x:v>
      </x:c>
      <x:c r="F4" s="26" t="str">
        <x:v>页面作用</x:v>
      </x:c>
      <x:c r="G4" s="26" t="str">
        <x:v>关联功能</x:v>
      </x:c>
      <x:c r="H4" s="26" t="str">
        <x:v>主要表单/对象</x:v>
      </x:c>
      <x:c r="I4" s="26" t="str">
        <x:v>当前状态</x:v>
      </x:c>
      <x:c r="J4" s="26" t="str">
        <x:v>客户确认</x:v>
      </x:c>
      <x:c r="K4" s="27" t="str">
        <x:v>对齐差异/修改要求</x:v>
      </x:c>
    </x:row>
    <x:row r="5" ht="58" customHeight="1">
      <x:c r="A5" s="40" t="str">
        <x:v>PC01</x:v>
      </x:c>
      <x:c r="B5" s="40" t="str">
        <x:v>PC</x:v>
      </x:c>
      <x:c r="C5" s="40" t="str">
        <x:v>首页</x:v>
      </x:c>
      <x:c r="D5" s="40" t="str">
        <x:v>首页与通知</x:v>
      </x:c>
      <x:c r="E5" s="40" t="str">
        <x:v>全部角色</x:v>
      </x:c>
      <x:c r="F5" s="40" t="str">
        <x:v>查看状态、待办、异常、最近动态和通知</x:v>
      </x:c>
      <x:c r="G5" s="40" t="str">
        <x:v>F001-F005</x:v>
      </x:c>
      <x:c r="H5" s="40" t="str">
        <x:v>状态卡片、待办、异常、通知</x:v>
      </x:c>
      <x:c r="I5" s="40" t="str">
        <x:v>原型可演示</x:v>
      </x:c>
      <x:c r="J5" s="42" t="str">
        <x:v>待确认</x:v>
      </x:c>
      <x:c r="K5" s="42" t="str"/>
    </x:row>
    <x:row r="6" ht="58" customHeight="1">
      <x:c r="A6" s="41" t="str">
        <x:v>PC02</x:v>
      </x:c>
      <x:c r="B6" s="41" t="str">
        <x:v>PC</x:v>
      </x:c>
      <x:c r="C6" s="41" t="str">
        <x:v>CALL管理</x:v>
      </x:c>
      <x:c r="D6" s="41" t="str">
        <x:v>CALL 受理与工单管理</x:v>
      </x:c>
      <x:c r="E6" s="41" t="str">
        <x:v>CS、CR、TL、ADMIN</x:v>
      </x:c>
      <x:c r="F6" s="41" t="str">
        <x:v>来电受理、新建、列表查询、详情和状态操作</x:v>
      </x:c>
      <x:c r="G6" s="41" t="str">
        <x:v>F006-F013、F073、F078-F079</x:v>
      </x:c>
      <x:c r="H6" s="41" t="str">
        <x:v>CALL受理、新建/编辑CALL、列表、详情</x:v>
      </x:c>
      <x:c r="I6" s="41" t="str">
        <x:v>原型可演示</x:v>
      </x:c>
      <x:c r="J6" s="43" t="str">
        <x:v>待确认</x:v>
      </x:c>
      <x:c r="K6" s="43" t="str"/>
    </x:row>
    <x:row r="7" ht="58" customHeight="1">
      <x:c r="A7" s="41" t="str">
        <x:v>PC03</x:v>
      </x:c>
      <x:c r="B7" s="41" t="str">
        <x:v>PC</x:v>
      </x:c>
      <x:c r="C7" s="41" t="str">
        <x:v>分派中心</x:v>
      </x:c>
      <x:c r="D7" s="41" t="str">
        <x:v>分派与调度</x:v>
      </x:c>
      <x:c r="E7" s="41" t="str">
        <x:v>TL、CR、ADMIN</x:v>
      </x:c>
      <x:c r="F7" s="41" t="str">
        <x:v>待分派、推荐师傅、分派/改派和申请审批</x:v>
      </x:c>
      <x:c r="G7" s="41" t="str">
        <x:v>F014-F023、F075-F076</x:v>
      </x:c>
      <x:c r="H7" s="41" t="str">
        <x:v>分派中心、分派弹窗、审批</x:v>
      </x:c>
      <x:c r="I7" s="41" t="str">
        <x:v>原型可演示</x:v>
      </x:c>
      <x:c r="J7" s="43" t="str">
        <x:v>待确认</x:v>
      </x:c>
      <x:c r="K7" s="43" t="str"/>
    </x:row>
    <x:row r="8" ht="58" customHeight="1">
      <x:c r="A8" s="41" t="str">
        <x:v>PC04</x:v>
      </x:c>
      <x:c r="B8" s="41" t="str">
        <x:v>PC</x:v>
      </x:c>
      <x:c r="C8" s="41" t="str">
        <x:v>报价管理</x:v>
      </x:c>
      <x:c r="D8" s="41" t="str">
        <x:v>报价管理</x:v>
      </x:c>
      <x:c r="E8" s="41" t="str">
        <x:v>QUO、CR、ADMIN、BOSS</x:v>
      </x:c>
      <x:c r="F8" s="41" t="str">
        <x:v>创建、编辑、修订、发出报价和中单联动</x:v>
      </x:c>
      <x:c r="G8" s="41" t="str">
        <x:v>F040-F045</x:v>
      </x:c>
      <x:c r="H8" s="41" t="str">
        <x:v>报价单、明细、状态和版本</x:v>
      </x:c>
      <x:c r="I8" s="41" t="str">
        <x:v>原型可演示</x:v>
      </x:c>
      <x:c r="J8" s="43" t="str">
        <x:v>待确认</x:v>
      </x:c>
      <x:c r="K8" s="43" t="str"/>
    </x:row>
    <x:row r="9" ht="58" customHeight="1">
      <x:c r="A9" s="41" t="str">
        <x:v>PC05</x:v>
      </x:c>
      <x:c r="B9" s="41" t="str">
        <x:v>PC</x:v>
      </x:c>
      <x:c r="C9" s="41" t="str">
        <x:v>标书管理</x:v>
      </x:c>
      <x:c r="D9" s="41" t="str">
        <x:v>标书管理</x:v>
      </x:c>
      <x:c r="E9" s="41" t="str">
        <x:v>TENDER、ADMIN、BOSS</x:v>
      </x:c>
      <x:c r="F9" s="41" t="str">
        <x:v>管理标书、截止日期、附件、中标和师傅排程</x:v>
      </x:c>
      <x:c r="G9" s="41" t="str">
        <x:v>F046-F050</x:v>
      </x:c>
      <x:c r="H9" s="41" t="str">
        <x:v>标书表单、排程</x:v>
      </x:c>
      <x:c r="I9" s="41" t="str">
        <x:v>原型可演示</x:v>
      </x:c>
      <x:c r="J9" s="43" t="str">
        <x:v>待确认</x:v>
      </x:c>
      <x:c r="K9" s="43" t="str"/>
    </x:row>
    <x:row r="10" ht="58" customHeight="1">
      <x:c r="A10" s="41" t="str">
        <x:v>PC06</x:v>
      </x:c>
      <x:c r="B10" s="41" t="str">
        <x:v>PC</x:v>
      </x:c>
      <x:c r="C10" s="41" t="str">
        <x:v>备货管理</x:v>
      </x:c>
      <x:c r="D10" s="41" t="str">
        <x:v>备货与采购</x:v>
      </x:c>
      <x:c r="E10" s="41" t="str">
        <x:v>PUR、QUO、TL、ADMIN</x:v>
      </x:c>
      <x:c r="F10" s="41" t="str">
        <x:v>中单生成备货单、采购分单、到货和验收</x:v>
      </x:c>
      <x:c r="G10" s="41" t="str">
        <x:v>F051-F056</x:v>
      </x:c>
      <x:c r="H10" s="41" t="str">
        <x:v>备货单、采购单、供应商</x:v>
      </x:c>
      <x:c r="I10" s="41" t="str">
        <x:v>原型可演示</x:v>
      </x:c>
      <x:c r="J10" s="43" t="str">
        <x:v>待确认</x:v>
      </x:c>
      <x:c r="K10" s="43" t="str"/>
    </x:row>
    <x:row r="11" ht="58" customHeight="1">
      <x:c r="A11" s="41" t="str">
        <x:v>PC07</x:v>
      </x:c>
      <x:c r="B11" s="41" t="str">
        <x:v>PC</x:v>
      </x:c>
      <x:c r="C11" s="41" t="str">
        <x:v>会计管理</x:v>
      </x:c>
      <x:c r="D11" s="41" t="str">
        <x:v>会计与外部接口</x:v>
      </x:c>
      <x:c r="E11" s="41" t="str">
        <x:v>FIN、ADMIN</x:v>
      </x:c>
      <x:c r="F11" s="41" t="str">
        <x:v>待开票、发票、收款、客户、合约和Peachtree同步</x:v>
      </x:c>
      <x:c r="G11" s="41" t="str">
        <x:v>F057-F062</x:v>
      </x:c>
      <x:c r="H11" s="41" t="str">
        <x:v>发票、收款、会计客户、合约、接口配置</x:v>
      </x:c>
      <x:c r="I11" s="41" t="str">
        <x:v>原型可演示</x:v>
      </x:c>
      <x:c r="J11" s="43" t="str">
        <x:v>待确认</x:v>
      </x:c>
      <x:c r="K11" s="43" t="str"/>
    </x:row>
    <x:row r="12" ht="58" customHeight="1">
      <x:c r="A12" s="41" t="str">
        <x:v>PC08</x:v>
      </x:c>
      <x:c r="B12" s="41" t="str">
        <x:v>PC</x:v>
      </x:c>
      <x:c r="C12" s="41" t="str">
        <x:v>报告管理</x:v>
      </x:c>
      <x:c r="D12" s="41" t="str">
        <x:v>报告与文档</x:v>
      </x:c>
      <x:c r="E12" s="41" t="str">
        <x:v>CS、CR、TL、ADMIN</x:v>
      </x:c>
      <x:c r="F12" s="41" t="str">
        <x:v>查询SR/完工单、查看详情、关联CALL和发送记录</x:v>
      </x:c>
      <x:c r="G12" s="41" t="str">
        <x:v>F035-F039、F080</x:v>
      </x:c>
      <x:c r="H12" s="41" t="str">
        <x:v>报告查询、详情、发送</x:v>
      </x:c>
      <x:c r="I12" s="41" t="str">
        <x:v>原型可演示</x:v>
      </x:c>
      <x:c r="J12" s="43" t="str">
        <x:v>待确认</x:v>
      </x:c>
      <x:c r="K12" s="43" t="str"/>
    </x:row>
    <x:row r="13" ht="58" customHeight="1">
      <x:c r="A13" s="41" t="str">
        <x:v>PC09</x:v>
      </x:c>
      <x:c r="B13" s="41" t="str">
        <x:v>PC</x:v>
      </x:c>
      <x:c r="C13" s="41" t="str">
        <x:v>统计报表</x:v>
      </x:c>
      <x:c r="D13" s="41" t="str">
        <x:v>统计、客户和基础设置</x:v>
      </x:c>
      <x:c r="E13" s="41" t="str">
        <x:v>TL、ADMIN、BOSS及业务角色</x:v>
      </x:c>
      <x:c r="F13" s="41" t="str">
        <x:v>按状态、类型、区域、师傅、客户和业务模块统计</x:v>
      </x:c>
      <x:c r="G13" s="41" t="str">
        <x:v>F063-F065</x:v>
      </x:c>
      <x:c r="H13" s="41" t="str">
        <x:v>统计看板</x:v>
      </x:c>
      <x:c r="I13" s="41" t="str">
        <x:v>原型可演示</x:v>
      </x:c>
      <x:c r="J13" s="43" t="str">
        <x:v>待确认</x:v>
      </x:c>
      <x:c r="K13" s="43" t="str"/>
    </x:row>
    <x:row r="14" ht="58" customHeight="1">
      <x:c r="A14" s="41" t="str">
        <x:v>PC10</x:v>
      </x:c>
      <x:c r="B14" s="41" t="str">
        <x:v>PC</x:v>
      </x:c>
      <x:c r="C14" s="41" t="str">
        <x:v>基础设置</x:v>
      </x:c>
      <x:c r="D14" s="41" t="str">
        <x:v>统计、客户和基础设置</x:v>
      </x:c>
      <x:c r="E14" s="41" t="str">
        <x:v>ADMIN及授权角色</x:v>
      </x:c>
      <x:c r="F14" s="41" t="str">
        <x:v>字典、客户、用户、Excel导入、存储配置</x:v>
      </x:c>
      <x:c r="G14" s="41" t="str">
        <x:v>F066-F072、F074</x:v>
      </x:c>
      <x:c r="H14" s="41" t="str">
        <x:v>字典、客户、用户、导入、服务器空间</x:v>
      </x:c>
      <x:c r="I14" s="41" t="str">
        <x:v>原型可演示</x:v>
      </x:c>
      <x:c r="J14" s="43" t="str">
        <x:v>待确认</x:v>
      </x:c>
      <x:c r="K14" s="43" t="str"/>
    </x:row>
    <x:row r="15" ht="58" customHeight="1">
      <x:c r="A15" s="41" t="str">
        <x:v>M01</x:v>
      </x:c>
      <x:c r="B15" s="41" t="str">
        <x:v>移动端</x:v>
      </x:c>
      <x:c r="C15" s="41" t="str">
        <x:v>师傅首页</x:v>
      </x:c>
      <x:c r="D15" s="41" t="str">
        <x:v>移动端现场执行</x:v>
      </x:c>
      <x:c r="E15" s="41" t="str">
        <x:v>MASTER</x:v>
      </x:c>
      <x:c r="F15" s="41" t="str">
        <x:v>查看今日工作和优先任务</x:v>
      </x:c>
      <x:c r="G15" s="41" t="str">
        <x:v>F024-F025</x:v>
      </x:c>
      <x:c r="H15" s="41" t="str">
        <x:v>任务卡片</x:v>
      </x:c>
      <x:c r="I15" s="41" t="str">
        <x:v>原型可演示</x:v>
      </x:c>
      <x:c r="J15" s="43" t="str">
        <x:v>待确认</x:v>
      </x:c>
      <x:c r="K15" s="43" t="str"/>
    </x:row>
    <x:row r="16" ht="58" customHeight="1">
      <x:c r="A16" s="41" t="str">
        <x:v>M02</x:v>
      </x:c>
      <x:c r="B16" s="41" t="str">
        <x:v>移动端</x:v>
      </x:c>
      <x:c r="C16" s="41" t="str">
        <x:v>CALL</x:v>
      </x:c>
      <x:c r="D16" s="41" t="str">
        <x:v>移动端现场执行</x:v>
      </x:c>
      <x:c r="E16" s="41" t="str">
        <x:v>MASTER</x:v>
      </x:c>
      <x:c r="F16" s="41" t="str">
        <x:v>查看本人CALL列表和状态</x:v>
      </x:c>
      <x:c r="G16" s="41" t="str">
        <x:v>F025-F026</x:v>
      </x:c>
      <x:c r="H16" s="41" t="str">
        <x:v>CALL列表</x:v>
      </x:c>
      <x:c r="I16" s="41" t="str">
        <x:v>原型可演示</x:v>
      </x:c>
      <x:c r="J16" s="43" t="str">
        <x:v>待确认</x:v>
      </x:c>
      <x:c r="K16" s="43" t="str"/>
    </x:row>
    <x:row r="17" ht="58" customHeight="1">
      <x:c r="A17" s="41" t="str">
        <x:v>M03</x:v>
      </x:c>
      <x:c r="B17" s="41" t="str">
        <x:v>移动端</x:v>
      </x:c>
      <x:c r="C17" s="41" t="str">
        <x:v>主管首页</x:v>
      </x:c>
      <x:c r="D17" s="41" t="str">
        <x:v>分派与调度</x:v>
      </x:c>
      <x:c r="E17" s="41" t="str">
        <x:v>TL</x:v>
      </x:c>
      <x:c r="F17" s="41" t="str">
        <x:v>移动查看分派指标和优先事项</x:v>
      </x:c>
      <x:c r="G17" s="41" t="str">
        <x:v>F014-F020</x:v>
      </x:c>
      <x:c r="H17" s="41" t="str">
        <x:v>主管工作台</x:v>
      </x:c>
      <x:c r="I17" s="41" t="str">
        <x:v>原型可演示</x:v>
      </x:c>
      <x:c r="J17" s="43" t="str">
        <x:v>待确认</x:v>
      </x:c>
      <x:c r="K17" s="43" t="str"/>
    </x:row>
    <x:row r="18" ht="58" customHeight="1">
      <x:c r="A18" s="41" t="str">
        <x:v>M04</x:v>
      </x:c>
      <x:c r="B18" s="41" t="str">
        <x:v>移动端</x:v>
      </x:c>
      <x:c r="C18" s="41" t="str">
        <x:v>工单详情</x:v>
      </x:c>
      <x:c r="D18" s="41" t="str">
        <x:v>移动端现场执行</x:v>
      </x:c>
      <x:c r="E18" s="41" t="str">
        <x:v>MASTER、TL</x:v>
      </x:c>
      <x:c r="F18" s="41" t="str">
        <x:v>查看客户、地点、问题、附件和操作按钮</x:v>
      </x:c>
      <x:c r="G18" s="41" t="str">
        <x:v>F025-F026</x:v>
      </x:c>
      <x:c r="H18" s="41" t="str">
        <x:v>工单详情</x:v>
      </x:c>
      <x:c r="I18" s="41" t="str">
        <x:v>原型可演示</x:v>
      </x:c>
      <x:c r="J18" s="43" t="str">
        <x:v>待确认</x:v>
      </x:c>
      <x:c r="K18" s="43" t="str"/>
    </x:row>
    <x:row r="19" ht="58" customHeight="1">
      <x:c r="A19" s="41" t="str">
        <x:v>M05</x:v>
      </x:c>
      <x:c r="B19" s="41" t="str">
        <x:v>移动端</x:v>
      </x:c>
      <x:c r="C19" s="41" t="str">
        <x:v>处理记录</x:v>
      </x:c>
      <x:c r="D19" s="41" t="str">
        <x:v>移动端现场执行</x:v>
      </x:c>
      <x:c r="E19" s="41" t="str">
        <x:v>MASTER</x:v>
      </x:c>
      <x:c r="F19" s="41" t="str">
        <x:v>填写服务报告、照片、报价、签名和完工资料</x:v>
      </x:c>
      <x:c r="G19" s="41" t="str">
        <x:v>F027-F034、F074</x:v>
      </x:c>
      <x:c r="H19" s="41" t="str">
        <x:v>服务报告、完工单</x:v>
      </x:c>
      <x:c r="I19" s="41" t="str">
        <x:v>原型可演示</x:v>
      </x:c>
      <x:c r="J19" s="43" t="str">
        <x:v>待确认</x:v>
      </x:c>
      <x:c r="K19" s="43" t="str"/>
    </x:row>
    <x:row r="20" ht="58" customHeight="1">
      <x:c r="A20" s="41" t="str">
        <x:v>M06</x:v>
      </x:c>
      <x:c r="B20" s="41" t="str">
        <x:v>移动端</x:v>
      </x:c>
      <x:c r="C20" s="41" t="str">
        <x:v>客户报告</x:v>
      </x:c>
      <x:c r="D20" s="41" t="str">
        <x:v>报告与文档</x:v>
      </x:c>
      <x:c r="E20" s="41" t="str">
        <x:v>TL/授权角色</x:v>
      </x:c>
      <x:c r="F20" s="41" t="str">
        <x:v>移动查看报告和客户确认资料</x:v>
      </x:c>
      <x:c r="G20" s="41" t="str">
        <x:v>F035-F039</x:v>
      </x:c>
      <x:c r="H20" s="41" t="str">
        <x:v>报告详情</x:v>
      </x:c>
      <x:c r="I20" s="41" t="str">
        <x:v>原型可演示</x:v>
      </x:c>
      <x:c r="J20" s="43" t="str">
        <x:v>待确认</x:v>
      </x:c>
      <x:c r="K20" s="43" t="str"/>
    </x:row>
    <x:row r="21" ht="58" customHeight="1">
      <x:c r="A21" s="41" t="str">
        <x:v>M07</x:v>
      </x:c>
      <x:c r="B21" s="41" t="str">
        <x:v>移动端</x:v>
      </x:c>
      <x:c r="C21" s="41" t="str">
        <x:v>分派中心</x:v>
      </x:c>
      <x:c r="D21" s="41" t="str">
        <x:v>分派与调度</x:v>
      </x:c>
      <x:c r="E21" s="41" t="str">
        <x:v>TL</x:v>
      </x:c>
      <x:c r="F21" s="41" t="str">
        <x:v>移动分派、改派和查看候选师傅</x:v>
      </x:c>
      <x:c r="G21" s="41" t="str">
        <x:v>F014-F023</x:v>
      </x:c>
      <x:c r="H21" s="41" t="str">
        <x:v>分派弹层</x:v>
      </x:c>
      <x:c r="I21" s="41" t="str">
        <x:v>原型可演示</x:v>
      </x:c>
      <x:c r="J21" s="43" t="str">
        <x:v>待确认</x:v>
      </x:c>
      <x:c r="K21" s="43" t="str"/>
    </x:row>
  </x:sheetData>
  <x:mergeCells>
    <x:mergeCell ref="A1:K1"/>
    <x:mergeCell ref="A2:K2"/>
  </x:mergeCells>
  <x:conditionalFormatting sqref="J5:J21">
    <x:cfRule type="containsText" dxfId="56" priority="1" operator="containsText" text="已确认"/>
    <x:cfRule type="containsText" dxfId="57" priority="2" operator="containsText" text="已批准"/>
    <x:cfRule type="containsText" dxfId="58" priority="3" operator="containsText" text="评审中"/>
    <x:cfRule type="containsText" dxfId="59" priority="4" operator="containsText" text="有条件确认"/>
    <x:cfRule type="containsText" dxfId="60" priority="5" operator="containsText" text="待确认"/>
    <x:cfRule type="containsText" dxfId="61" priority="6" operator="containsText" text="需调整"/>
    <x:cfRule type="containsText" dxfId="62" priority="7" operator="containsText" text="不纳入"/>
  </x:conditionalFormatting>
  <x:dataValidations count="1">
    <x:dataValidation type="list" sqref="J5:J21">
      <x:formula1>"待确认,已确认,有条件确认,需调整,不纳入"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d49348096b45d7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8" hidden="0" customWidth="1"/>
    <x:col min="4" max="4" width="44" hidden="0" customWidth="1"/>
    <x:col min="5" max="5" width="28" hidden="0" customWidth="1"/>
    <x:col min="6" max="6" width="24" hidden="0" customWidth="1"/>
    <x:col min="7" max="7" width="36" hidden="0" customWidth="1"/>
    <x:col min="8" max="8" width="36" hidden="0" customWidth="1"/>
    <x:col min="9" max="9" width="16" hidden="0" customWidth="1"/>
    <x:col min="10" max="10" width="40" hidden="0" customWidth="1"/>
    <x:col min="11" max="11" width="16" hidden="0" customWidth="1"/>
    <x:col min="12" max="12" width="18" hidden="0" customWidth="1"/>
  </x:cols>
  <x:sheetData>
    <x:row r="1" ht="28" customHeight="1">
      <x:c r="A1" s="2" t="str">
        <x:v>待确认决策</x:v>
      </x:c>
      <x:c r="B1" s="59"/>
      <x:c r="C1" s="59"/>
      <x:c r="D1" s="59"/>
      <x:c r="E1" s="59"/>
      <x:c r="F1" s="59"/>
      <x:c r="G1" s="59"/>
      <x:c r="H1" s="59"/>
      <x:c r="I1" s="59"/>
      <x:c r="J1" s="59"/>
      <x:c r="K1" s="59"/>
      <x:c r="L1" s="59"/>
    </x:row>
    <x:row r="2" ht="24" customHeight="1">
      <x:c r="A2" s="5" t="str">
        <x:v>所有流程争议、角色边界、外部系统同步和一期范围问题集中登记；不要把未决事项藏在备注里。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</x:row>
    <x:row r="3">
      <x:c r="A3" s="59"/>
      <x:c r="B3" s="59"/>
      <x:c r="C3" s="59"/>
      <x:c r="D3" s="59"/>
      <x:c r="E3" s="59"/>
      <x:c r="F3" s="59"/>
      <x:c r="G3" s="59"/>
      <x:c r="H3" s="59"/>
      <x:c r="I3" s="59"/>
      <x:c r="J3" s="59"/>
      <x:c r="K3" s="59"/>
      <x:c r="L3" s="59"/>
    </x:row>
    <x:row r="4">
      <x:c r="A4" s="25" t="str">
        <x:v>决策编号</x:v>
      </x:c>
      <x:c r="B4" s="26" t="str">
        <x:v>优先级</x:v>
      </x:c>
      <x:c r="C4" s="26" t="str">
        <x:v>主题</x:v>
      </x:c>
      <x:c r="D4" s="26" t="str">
        <x:v>需客户确认的问题</x:v>
      </x:c>
      <x:c r="E4" s="26" t="str">
        <x:v>影响模块/流程</x:v>
      </x:c>
      <x:c r="F4" s="26" t="str">
        <x:v>建议参与人</x:v>
      </x:c>
      <x:c r="G4" s="26" t="str">
        <x:v>需准备材料/样例</x:v>
      </x:c>
      <x:c r="H4" s="26" t="str">
        <x:v>建议选项或判断依据</x:v>
      </x:c>
      <x:c r="I4" s="26" t="str">
        <x:v>状态</x:v>
      </x:c>
      <x:c r="J4" s="26" t="str">
        <x:v>客户结论</x:v>
      </x:c>
      <x:c r="K4" s="26" t="str">
        <x:v>责任人</x:v>
      </x:c>
      <x:c r="L4" s="27" t="str">
        <x:v>计划确认日期</x:v>
      </x:c>
    </x:row>
    <x:row r="5" ht="66" customHeight="1">
      <x:c r="A5" s="40" t="str">
        <x:v>C01</x:v>
      </x:c>
      <x:c r="B5" s="40" t="str">
        <x:v>P0</x:v>
      </x:c>
      <x:c r="C5" s="40" t="str">
        <x:v>一期范围</x:v>
      </x:c>
      <x:c r="D5" s="40" t="str">
        <x:v>一期是否包含报价、标书、备货、会计模块</x:v>
      </x:c>
      <x:c r="E5" s="40" t="str">
        <x:v>范围/预算/排期</x:v>
      </x:c>
      <x:c r="F5" s="40" t="str">
        <x:v>客户负责人、项目经理</x:v>
      </x:c>
      <x:c r="G5" s="40" t="str">
        <x:v>合同范围、预算、阶段计划</x:v>
      </x:c>
      <x:c r="H5" s="40" t="str">
        <x:v>纳入 / 分阶段 / 不纳入</x:v>
      </x:c>
      <x:c r="I5" s="42" t="str">
        <x:v>待确认</x:v>
      </x:c>
      <x:c r="J5" s="42" t="str"/>
      <x:c r="K5" s="42" t="str"/>
      <x:c r="L5" s="42" t="str"/>
    </x:row>
    <x:row r="6" ht="66" customHeight="1">
      <x:c r="A6" s="41" t="str">
        <x:v>C02</x:v>
      </x:c>
      <x:c r="B6" s="41" t="str">
        <x:v>P0</x:v>
      </x:c>
      <x:c r="C6" s="41" t="str">
        <x:v>主链路</x:v>
      </x:c>
      <x:c r="D6" s="41" t="str">
        <x:v>报价后是否走“报价修订→中单→仓库通备货→派工→完工”</x:v>
      </x:c>
      <x:c r="E6" s="41" t="str">
        <x:v>报价/备货/工单</x:v>
      </x:c>
      <x:c r="F6" s="41" t="str">
        <x:v>业务负责人、仓库、调度</x:v>
      </x:c>
      <x:c r="G6" s="41" t="str">
        <x:v>真实订单样例</x:v>
      </x:c>
      <x:c r="H6" s="41" t="str">
        <x:v>确认主链路及每个交接点</x:v>
      </x:c>
      <x:c r="I6" s="43" t="str">
        <x:v>待确认</x:v>
      </x:c>
      <x:c r="J6" s="43" t="str"/>
      <x:c r="K6" s="43" t="str"/>
      <x:c r="L6" s="43" t="str"/>
    </x:row>
    <x:row r="7" ht="66" customHeight="1">
      <x:c r="A7" s="41" t="str">
        <x:v>C03</x:v>
      </x:c>
      <x:c r="B7" s="41" t="str">
        <x:v>P0</x:v>
      </x:c>
      <x:c r="C7" s="41" t="str">
        <x:v>外部仓库同步</x:v>
      </x:c>
      <x:c r="D7" s="41" t="str">
        <x:v>仓库通回传哪些备货状态、外部单号、异常和时间</x:v>
      </x:c>
      <x:c r="E7" s="41" t="str">
        <x:v>备货/接口/状态</x:v>
      </x:c>
      <x:c r="F7" s="41" t="str">
        <x:v>仓库、IT、项目经理</x:v>
      </x:c>
      <x:c r="G7" s="41" t="str">
        <x:v>接口字段、状态字典、样例</x:v>
      </x:c>
      <x:c r="H7" s="41" t="str">
        <x:v>只读同步 / 双向写回 / 人工补录</x:v>
      </x:c>
      <x:c r="I7" s="43" t="str">
        <x:v>待确认</x:v>
      </x:c>
      <x:c r="J7" s="43" t="str"/>
      <x:c r="K7" s="43" t="str"/>
      <x:c r="L7" s="43" t="str"/>
    </x:row>
    <x:row r="8" ht="66" customHeight="1">
      <x:c r="A8" s="41" t="str">
        <x:v>C04</x:v>
      </x:c>
      <x:c r="B8" s="41" t="str">
        <x:v>P0</x:v>
      </x:c>
      <x:c r="C8" s="41" t="str">
        <x:v>派工触发</x:v>
      </x:c>
      <x:c r="D8" s="41" t="str">
        <x:v>备货完成后谁触发派工，生成哪一种任务/工单</x:v>
      </x:c>
      <x:c r="E8" s="41" t="str">
        <x:v>备货/分派/权限</x:v>
      </x:c>
      <x:c r="F8" s="41" t="str">
        <x:v>仓库、TL、CR、项目经理</x:v>
      </x:c>
      <x:c r="G8" s="41" t="str">
        <x:v>完成状态样例、责任矩阵</x:v>
      </x:c>
      <x:c r="H8" s="41" t="str">
        <x:v>系统自动 / 主管触发 / 人工申请</x:v>
      </x:c>
      <x:c r="I8" s="43" t="str">
        <x:v>待确认</x:v>
      </x:c>
      <x:c r="J8" s="43" t="str"/>
      <x:c r="K8" s="43" t="str"/>
      <x:c r="L8" s="43" t="str"/>
    </x:row>
    <x:row r="9" ht="66" customHeight="1">
      <x:c r="A9" s="41" t="str">
        <x:v>C05</x:v>
      </x:c>
      <x:c r="B9" s="41" t="str">
        <x:v>P0</x:v>
      </x:c>
      <x:c r="C9" s="41" t="str">
        <x:v>完工审核</x:v>
      </x:c>
      <x:c r="D9" s="41" t="str">
        <x:v>现场完工单提交后是否需要主管审核、客户签名是否必需</x:v>
      </x:c>
      <x:c r="E9" s="41" t="str">
        <x:v>现场/报告/验收</x:v>
      </x:c>
      <x:c r="F9" s="41" t="str">
        <x:v>TL、CR、客户代表</x:v>
      </x:c>
      <x:c r="G9" s="41" t="str">
        <x:v>真实完工单、签名要求</x:v>
      </x:c>
      <x:c r="H9" s="41" t="str">
        <x:v>直接完成 / 主管审核 / 客户确认后完成</x:v>
      </x:c>
      <x:c r="I9" s="43" t="str">
        <x:v>待确认</x:v>
      </x:c>
      <x:c r="J9" s="43" t="str"/>
      <x:c r="K9" s="43" t="str"/>
      <x:c r="L9" s="43" t="str"/>
    </x:row>
    <x:row r="10" ht="66" customHeight="1">
      <x:c r="A10" s="41" t="str">
        <x:v>C06</x:v>
      </x:c>
      <x:c r="B10" s="41" t="str">
        <x:v>P0</x:v>
      </x:c>
      <x:c r="C10" s="41" t="str">
        <x:v>状态模型</x:v>
      </x:c>
      <x:c r="D10" s="41" t="str">
        <x:v>CALL、报价、采购、备货、工单是否分开建状态，如何映射</x:v>
      </x:c>
      <x:c r="E10" s="41" t="str">
        <x:v>流程/报表/验收</x:v>
      </x:c>
      <x:c r="F10" s="41" t="str">
        <x:v>业务负责人、主管</x:v>
      </x:c>
      <x:c r="G10" s="41" t="str">
        <x:v>现行状态清单</x:v>
      </x:c>
      <x:c r="H10" s="41" t="str">
        <x:v>单一主状态 / 多子状态 / 映射表</x:v>
      </x:c>
      <x:c r="I10" s="43" t="str">
        <x:v>待确认</x:v>
      </x:c>
      <x:c r="J10" s="43" t="str"/>
      <x:c r="K10" s="43" t="str"/>
      <x:c r="L10" s="43" t="str"/>
    </x:row>
    <x:row r="11" ht="66" customHeight="1">
      <x:c r="A11" s="41" t="str">
        <x:v>C07</x:v>
      </x:c>
      <x:c r="B11" s="41" t="str">
        <x:v>P0</x:v>
      </x:c>
      <x:c r="C11" s="41" t="str">
        <x:v>编号规则</x:v>
      </x:c>
      <x:c r="D11" s="41" t="str">
        <x:v>CALL、报价、订单、外部仓库单号、任务和报告如何关联</x:v>
      </x:c>
      <x:c r="E11" s="41" t="str">
        <x:v>查询/接口/归档</x:v>
      </x:c>
      <x:c r="F11" s="41" t="str">
        <x:v>业务负责人、IT</x:v>
      </x:c>
      <x:c r="G11" s="41" t="str">
        <x:v>历史编号样例</x:v>
      </x:c>
      <x:c r="H11" s="41" t="str">
        <x:v>主编号+关联编号 / 统一编号</x:v>
      </x:c>
      <x:c r="I11" s="43" t="str">
        <x:v>待确认</x:v>
      </x:c>
      <x:c r="J11" s="43" t="str"/>
      <x:c r="K11" s="43" t="str"/>
      <x:c r="L11" s="43" t="str"/>
    </x:row>
    <x:row r="12" ht="66" customHeight="1">
      <x:c r="A12" s="41" t="str">
        <x:v>C08</x:v>
      </x:c>
      <x:c r="B12" s="41" t="str">
        <x:v>P0</x:v>
      </x:c>
      <x:c r="C12" s="41" t="str">
        <x:v>分派权限</x:v>
      </x:c>
      <x:c r="D12" s="41" t="str">
        <x:v>TL、CR、ADMIN的数据范围、直接分派和改派权限</x:v>
      </x:c>
      <x:c r="E12" s="41" t="str">
        <x:v>权限/责任</x:v>
      </x:c>
      <x:c r="F12" s="41" t="str">
        <x:v>区域主管、管理员</x:v>
      </x:c>
      <x:c r="G12" s="41" t="str">
        <x:v>组织和区域权限表</x:v>
      </x:c>
      <x:c r="H12" s="41" t="str">
        <x:v>按区域 / 按团队 / 全局管理员</x:v>
      </x:c>
      <x:c r="I12" s="43" t="str">
        <x:v>待确认</x:v>
      </x:c>
      <x:c r="J12" s="43" t="str"/>
      <x:c r="K12" s="43" t="str"/>
      <x:c r="L12" s="43" t="str"/>
    </x:row>
    <x:row r="13" ht="66" customHeight="1">
      <x:c r="A13" s="41" t="str">
        <x:v>C09</x:v>
      </x:c>
      <x:c r="B13" s="41" t="str">
        <x:v>P1</x:v>
      </x:c>
      <x:c r="C13" s="41" t="str">
        <x:v>报价修订</x:v>
      </x:c>
      <x:c r="D13" s="41" t="str">
        <x:v>报价修订是否保留版本，客户每次确认对应哪一版</x:v>
      </x:c>
      <x:c r="E13" s="41" t="str">
        <x:v>报价/客户沟通</x:v>
      </x:c>
      <x:c r="F13" s="41" t="str">
        <x:v>报价组、客户负责人</x:v>
      </x:c>
      <x:c r="G13" s="41" t="str">
        <x:v>报价版本样例</x:v>
      </x:c>
      <x:c r="H13" s="41" t="str">
        <x:v>保留版本 / 覆盖更新</x:v>
      </x:c>
      <x:c r="I13" s="43" t="str">
        <x:v>待确认</x:v>
      </x:c>
      <x:c r="J13" s="43" t="str"/>
      <x:c r="K13" s="43" t="str"/>
      <x:c r="L13" s="43" t="str"/>
    </x:row>
    <x:row r="14" ht="66" customHeight="1">
      <x:c r="A14" s="41" t="str">
        <x:v>C10</x:v>
      </x:c>
      <x:c r="B14" s="41" t="str">
        <x:v>P1</x:v>
      </x:c>
      <x:c r="C14" s="41" t="str">
        <x:v>中单判定</x:v>
      </x:c>
      <x:c r="D14" s="41" t="str">
        <x:v>中单由谁录入，是否需要客户回传凭据或审批</x:v>
      </x:c>
      <x:c r="E14" s="41" t="str">
        <x:v>报价/备货</x:v>
      </x:c>
      <x:c r="F14" s="41" t="str">
        <x:v>报价组、CR、客户</x:v>
      </x:c>
      <x:c r="G14" s="41" t="str">
        <x:v>中单样例、回传凭据</x:v>
      </x:c>
      <x:c r="H14" s="41" t="str">
        <x:v>人工录入 / 客户确认 / 接口回传</x:v>
      </x:c>
      <x:c r="I14" s="43" t="str">
        <x:v>待确认</x:v>
      </x:c>
      <x:c r="J14" s="43" t="str"/>
      <x:c r="K14" s="43" t="str"/>
      <x:c r="L14" s="43" t="str"/>
    </x:row>
    <x:row r="15" ht="66" customHeight="1">
      <x:c r="A15" s="41" t="str">
        <x:v>C11</x:v>
      </x:c>
      <x:c r="B15" s="41" t="str">
        <x:v>P1</x:v>
      </x:c>
      <x:c r="C15" s="41" t="str">
        <x:v>备货异常</x:v>
      </x:c>
      <x:c r="D15" s="41" t="str">
        <x:v>缺货、部分到货、替代品、延迟时是否允许先派工</x:v>
      </x:c>
      <x:c r="E15" s="41" t="str">
        <x:v>备货/采购/派工</x:v>
      </x:c>
      <x:c r="F15" s="41" t="str">
        <x:v>仓库、采购、TL</x:v>
      </x:c>
      <x:c r="G15" s="41" t="str">
        <x:v>异常订单样例</x:v>
      </x:c>
      <x:c r="H15" s="41" t="str">
        <x:v>阻断派工 / 部分派工 / 主管特批</x:v>
      </x:c>
      <x:c r="I15" s="43" t="str">
        <x:v>待确认</x:v>
      </x:c>
      <x:c r="J15" s="43" t="str"/>
      <x:c r="K15" s="43" t="str"/>
      <x:c r="L15" s="43" t="str"/>
    </x:row>
    <x:row r="16" ht="66" customHeight="1">
      <x:c r="A16" s="41" t="str">
        <x:v>C12</x:v>
      </x:c>
      <x:c r="B16" s="41" t="str">
        <x:v>P1</x:v>
      </x:c>
      <x:c r="C16" s="41" t="str">
        <x:v>现场证据</x:v>
      </x:c>
      <x:c r="D16" s="41" t="str">
        <x:v>不可拍照、客户不签名、网络中断时如何提交</x:v>
      </x:c>
      <x:c r="E16" s="41" t="str">
        <x:v>移动端/验收</x:v>
      </x:c>
      <x:c r="F16" s="41" t="str">
        <x:v>师傅、TL、客户</x:v>
      </x:c>
      <x:c r="G16" s="41" t="str">
        <x:v>异常现场样例</x:v>
      </x:c>
      <x:c r="H16" s="41" t="str">
        <x:v>替代证明 / 主管豁免 / 不可提交</x:v>
      </x:c>
      <x:c r="I16" s="43" t="str">
        <x:v>待确认</x:v>
      </x:c>
      <x:c r="J16" s="43" t="str"/>
      <x:c r="K16" s="43" t="str"/>
      <x:c r="L16" s="43" t="str"/>
    </x:row>
    <x:row r="17" ht="66" customHeight="1">
      <x:c r="A17" s="41" t="str">
        <x:v>C13</x:v>
      </x:c>
      <x:c r="B17" s="41" t="str">
        <x:v>P1</x:v>
      </x:c>
      <x:c r="C17" s="41" t="str">
        <x:v>通知渠道</x:v>
      </x:c>
      <x:c r="D17" s="41" t="str">
        <x:v>派单、备货完成、完工和报价通知使用哪种渠道</x:v>
      </x:c>
      <x:c r="E17" s="41" t="str">
        <x:v>通知/外部接口</x:v>
      </x:c>
      <x:c r="F17" s="41" t="str">
        <x:v>业务负责人、IT</x:v>
      </x:c>
      <x:c r="G17" s="41" t="str">
        <x:v>通知模板和渠道</x:v>
      </x:c>
      <x:c r="H17" s="41" t="str">
        <x:v>系统内 / 邮件 / WhatsApp / 混合</x:v>
      </x:c>
      <x:c r="I17" s="43" t="str">
        <x:v>待确认</x:v>
      </x:c>
      <x:c r="J17" s="43" t="str"/>
      <x:c r="K17" s="43" t="str"/>
      <x:c r="L17" s="43" t="str"/>
    </x:row>
    <x:row r="18" ht="66" customHeight="1">
      <x:c r="A18" s="41" t="str">
        <x:v>C14</x:v>
      </x:c>
      <x:c r="B18" s="41" t="str">
        <x:v>P1</x:v>
      </x:c>
      <x:c r="C18" s="41" t="str">
        <x:v>会计边界</x:v>
      </x:c>
      <x:c r="D18" s="41" t="str">
        <x:v>开票、收款、账期是否阻断工单完成，Peachtree是否本期对接</x:v>
      </x:c>
      <x:c r="E18" s="41" t="str">
        <x:v>会计/接口/验收</x:v>
      </x:c>
      <x:c r="F18" s="41" t="str">
        <x:v>财务、IT、项目经理</x:v>
      </x:c>
      <x:c r="G18" s="41" t="str">
        <x:v>财务流程和接口资料</x:v>
      </x:c>
      <x:c r="H18" s="41" t="str">
        <x:v>本期纳入 / 仅留接口 / 暂不纳入</x:v>
      </x:c>
      <x:c r="I18" s="43" t="str">
        <x:v>待确认</x:v>
      </x:c>
      <x:c r="J18" s="43" t="str"/>
      <x:c r="K18" s="43" t="str"/>
      <x:c r="L18" s="43" t="str"/>
    </x:row>
    <x:row r="19" ht="66" customHeight="1">
      <x:c r="A19" s="41" t="str">
        <x:v>C15</x:v>
      </x:c>
      <x:c r="B19" s="41" t="str">
        <x:v>P2</x:v>
      </x:c>
      <x:c r="C19" s="41" t="str">
        <x:v>验收口径</x:v>
      </x:c>
      <x:c r="D19" s="41" t="str">
        <x:v>哪些数据、状态、报告和通知作为客户验收样例</x:v>
      </x:c>
      <x:c r="E19" s="41" t="str">
        <x:v>验收/交付</x:v>
      </x:c>
      <x:c r="F19" s="41" t="str">
        <x:v>客户负责人、项目经理</x:v>
      </x:c>
      <x:c r="G19" s="41" t="str">
        <x:v>真实样例和验收标准</x:v>
      </x:c>
      <x:c r="H19" s="41" t="str">
        <x:v>按主链路准备端到端样例</x:v>
      </x:c>
      <x:c r="I19" s="43" t="str">
        <x:v>待确认</x:v>
      </x:c>
      <x:c r="J19" s="43" t="str"/>
      <x:c r="K19" s="43" t="str"/>
      <x:c r="L19" s="43" t="str"/>
    </x:row>
  </x:sheetData>
  <x:mergeCells>
    <x:mergeCell ref="A1:L1"/>
    <x:mergeCell ref="A2:L2"/>
  </x:mergeCells>
  <x:conditionalFormatting sqref="I5:I19">
    <x:cfRule type="containsText" dxfId="63" priority="1" operator="containsText" text="已确认"/>
    <x:cfRule type="containsText" dxfId="64" priority="2" operator="containsText" text="已批准"/>
    <x:cfRule type="containsText" dxfId="65" priority="3" operator="containsText" text="评审中"/>
    <x:cfRule type="containsText" dxfId="66" priority="4" operator="containsText" text="有条件确认"/>
    <x:cfRule type="containsText" dxfId="67" priority="5" operator="containsText" text="待确认"/>
    <x:cfRule type="containsText" dxfId="68" priority="6" operator="containsText" text="需调整"/>
    <x:cfRule type="containsText" dxfId="69" priority="7" operator="containsText" text="不纳入"/>
  </x:conditionalFormatting>
  <x:dataValidations count="1">
    <x:dataValidation type="list" sqref="I5:I19">
      <x:formula1>"待确认,评审中,已确认,暂缓,已废弃"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460717e30d4222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18" hidden="0" customWidth="1"/>
    <x:col min="5" max="5" width="14" hidden="0" customWidth="1"/>
    <x:col min="6" max="6" width="44" hidden="0" customWidth="1"/>
    <x:col min="7" max="7" width="34" hidden="0" customWidth="1"/>
    <x:col min="8" max="8" width="36" hidden="0" customWidth="1"/>
    <x:col min="9" max="9" width="12" hidden="0" customWidth="1"/>
    <x:col min="10" max="10" width="16" hidden="0" customWidth="1"/>
    <x:col min="11" max="11" width="36" hidden="0" customWidth="1"/>
    <x:col min="12" max="12" width="32" hidden="0" customWidth="1"/>
  </x:cols>
  <x:sheetData>
    <x:row r="1" ht="28" customHeight="1">
      <x:c r="A1" s="2" t="str">
        <x:v>需求变更记录</x:v>
      </x:c>
      <x:c r="B1" s="59"/>
      <x:c r="C1" s="59"/>
      <x:c r="D1" s="59"/>
      <x:c r="E1" s="59"/>
      <x:c r="F1" s="59"/>
      <x:c r="G1" s="59"/>
      <x:c r="H1" s="59"/>
      <x:c r="I1" s="59"/>
      <x:c r="J1" s="59"/>
      <x:c r="K1" s="59"/>
      <x:c r="L1" s="59"/>
    </x:row>
    <x:row r="2" ht="24" customHeight="1">
      <x:c r="A2" s="5" t="str">
        <x:v>客户确认后如需变更，必须记录影响对象和结论；不直接覆盖原始需求。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</x:row>
    <x:row r="3">
      <x:c r="A3" s="59"/>
      <x:c r="B3" s="59"/>
      <x:c r="C3" s="59"/>
      <x:c r="D3" s="59"/>
      <x:c r="E3" s="59"/>
      <x:c r="F3" s="59"/>
      <x:c r="G3" s="59"/>
      <x:c r="H3" s="59"/>
      <x:c r="I3" s="59"/>
      <x:c r="J3" s="59"/>
      <x:c r="K3" s="59"/>
      <x:c r="L3" s="59"/>
    </x:row>
    <x:row r="4">
      <x:c r="A4" s="25" t="str">
        <x:v>变更编号</x:v>
      </x:c>
      <x:c r="B4" s="26" t="str">
        <x:v>提出日期</x:v>
      </x:c>
      <x:c r="C4" s="26" t="str">
        <x:v>提出方</x:v>
      </x:c>
      <x:c r="D4" s="26" t="str">
        <x:v>关联对象类型</x:v>
      </x:c>
      <x:c r="E4" s="26" t="str">
        <x:v>关联编号</x:v>
      </x:c>
      <x:c r="F4" s="26" t="str">
        <x:v>变更内容</x:v>
      </x:c>
      <x:c r="G4" s="26" t="str">
        <x:v>变更原因</x:v>
      </x:c>
      <x:c r="H4" s="26" t="str">
        <x:v>影响模块/流程/字段</x:v>
      </x:c>
      <x:c r="I4" s="26" t="str">
        <x:v>优先级</x:v>
      </x:c>
      <x:c r="J4" s="26" t="str">
        <x:v>处理状态</x:v>
      </x:c>
      <x:c r="K4" s="26" t="str">
        <x:v>确认结论</x:v>
      </x:c>
      <x:c r="L4" s="27" t="str">
        <x:v>备注</x:v>
      </x:c>
    </x:row>
    <x:row r="5" ht="54" customHeight="1">
      <x:c r="A5" s="40" t="str">
        <x:v>C001</x:v>
      </x:c>
      <x:c r="B5" s="40" t="str"/>
      <x:c r="C5" s="40" t="str"/>
      <x:c r="D5" s="40" t="str"/>
      <x:c r="E5" s="40" t="str"/>
      <x:c r="F5" s="40" t="str"/>
      <x:c r="G5" s="40" t="str"/>
      <x:c r="H5" s="40" t="str"/>
      <x:c r="I5" s="42" t="str">
        <x:v>中</x:v>
      </x:c>
      <x:c r="J5" s="42" t="str">
        <x:v>待评估</x:v>
      </x:c>
      <x:c r="K5" s="42" t="str"/>
      <x:c r="L5" s="42" t="str"/>
    </x:row>
    <x:row r="6" ht="54" customHeight="1">
      <x:c r="A6" s="41" t="str">
        <x:v>C002</x:v>
      </x:c>
      <x:c r="B6" s="41" t="str"/>
      <x:c r="C6" s="41" t="str"/>
      <x:c r="D6" s="41" t="str"/>
      <x:c r="E6" s="41" t="str"/>
      <x:c r="F6" s="41" t="str"/>
      <x:c r="G6" s="41" t="str"/>
      <x:c r="H6" s="41" t="str"/>
      <x:c r="I6" s="43" t="str">
        <x:v>中</x:v>
      </x:c>
      <x:c r="J6" s="43" t="str">
        <x:v>待评估</x:v>
      </x:c>
      <x:c r="K6" s="43" t="str"/>
      <x:c r="L6" s="43" t="str"/>
    </x:row>
    <x:row r="7" ht="54" customHeight="1">
      <x:c r="A7" s="41" t="str">
        <x:v>C003</x:v>
      </x:c>
      <x:c r="B7" s="41" t="str"/>
      <x:c r="C7" s="41" t="str"/>
      <x:c r="D7" s="41" t="str"/>
      <x:c r="E7" s="41" t="str"/>
      <x:c r="F7" s="41" t="str"/>
      <x:c r="G7" s="41" t="str"/>
      <x:c r="H7" s="41" t="str"/>
      <x:c r="I7" s="43" t="str">
        <x:v>中</x:v>
      </x:c>
      <x:c r="J7" s="43" t="str">
        <x:v>待评估</x:v>
      </x:c>
      <x:c r="K7" s="43" t="str"/>
      <x:c r="L7" s="43" t="str"/>
    </x:row>
    <x:row r="8" ht="54" customHeight="1">
      <x:c r="A8" s="41" t="str">
        <x:v>C004</x:v>
      </x:c>
      <x:c r="B8" s="41" t="str"/>
      <x:c r="C8" s="41" t="str"/>
      <x:c r="D8" s="41" t="str"/>
      <x:c r="E8" s="41" t="str"/>
      <x:c r="F8" s="41" t="str"/>
      <x:c r="G8" s="41" t="str"/>
      <x:c r="H8" s="41" t="str"/>
      <x:c r="I8" s="43" t="str">
        <x:v>中</x:v>
      </x:c>
      <x:c r="J8" s="43" t="str">
        <x:v>待评估</x:v>
      </x:c>
      <x:c r="K8" s="43" t="str"/>
      <x:c r="L8" s="43" t="str"/>
    </x:row>
    <x:row r="9" ht="54" customHeight="1">
      <x:c r="A9" s="41" t="str">
        <x:v>C005</x:v>
      </x:c>
      <x:c r="B9" s="41" t="str"/>
      <x:c r="C9" s="41" t="str"/>
      <x:c r="D9" s="41" t="str"/>
      <x:c r="E9" s="41" t="str"/>
      <x:c r="F9" s="41" t="str"/>
      <x:c r="G9" s="41" t="str"/>
      <x:c r="H9" s="41" t="str"/>
      <x:c r="I9" s="43" t="str">
        <x:v>中</x:v>
      </x:c>
      <x:c r="J9" s="43" t="str">
        <x:v>待评估</x:v>
      </x:c>
      <x:c r="K9" s="43" t="str"/>
      <x:c r="L9" s="43" t="str"/>
    </x:row>
    <x:row r="10" ht="54" customHeight="1">
      <x:c r="A10" s="41" t="str">
        <x:v>C006</x:v>
      </x:c>
      <x:c r="B10" s="41" t="str"/>
      <x:c r="C10" s="41" t="str"/>
      <x:c r="D10" s="41" t="str"/>
      <x:c r="E10" s="41" t="str"/>
      <x:c r="F10" s="41" t="str"/>
      <x:c r="G10" s="41" t="str"/>
      <x:c r="H10" s="41" t="str"/>
      <x:c r="I10" s="43" t="str">
        <x:v>中</x:v>
      </x:c>
      <x:c r="J10" s="43" t="str">
        <x:v>待评估</x:v>
      </x:c>
      <x:c r="K10" s="43" t="str"/>
      <x:c r="L10" s="43" t="str"/>
    </x:row>
    <x:row r="11" ht="54" customHeight="1">
      <x:c r="A11" s="41" t="str">
        <x:v>C007</x:v>
      </x:c>
      <x:c r="B11" s="41" t="str"/>
      <x:c r="C11" s="41" t="str"/>
      <x:c r="D11" s="41" t="str"/>
      <x:c r="E11" s="41" t="str"/>
      <x:c r="F11" s="41" t="str"/>
      <x:c r="G11" s="41" t="str"/>
      <x:c r="H11" s="41" t="str"/>
      <x:c r="I11" s="43" t="str">
        <x:v>中</x:v>
      </x:c>
      <x:c r="J11" s="43" t="str">
        <x:v>待评估</x:v>
      </x:c>
      <x:c r="K11" s="43" t="str"/>
      <x:c r="L11" s="43" t="str"/>
    </x:row>
    <x:row r="12" ht="54" customHeight="1">
      <x:c r="A12" s="41" t="str">
        <x:v>C008</x:v>
      </x:c>
      <x:c r="B12" s="41" t="str"/>
      <x:c r="C12" s="41" t="str"/>
      <x:c r="D12" s="41" t="str"/>
      <x:c r="E12" s="41" t="str"/>
      <x:c r="F12" s="41" t="str"/>
      <x:c r="G12" s="41" t="str"/>
      <x:c r="H12" s="41" t="str"/>
      <x:c r="I12" s="43" t="str">
        <x:v>中</x:v>
      </x:c>
      <x:c r="J12" s="43" t="str">
        <x:v>待评估</x:v>
      </x:c>
      <x:c r="K12" s="43" t="str"/>
      <x:c r="L12" s="43" t="str"/>
    </x:row>
    <x:row r="13" ht="54" customHeight="1">
      <x:c r="A13" s="41" t="str">
        <x:v>C009</x:v>
      </x:c>
      <x:c r="B13" s="41" t="str"/>
      <x:c r="C13" s="41" t="str"/>
      <x:c r="D13" s="41" t="str"/>
      <x:c r="E13" s="41" t="str"/>
      <x:c r="F13" s="41" t="str"/>
      <x:c r="G13" s="41" t="str"/>
      <x:c r="H13" s="41" t="str"/>
      <x:c r="I13" s="43" t="str">
        <x:v>中</x:v>
      </x:c>
      <x:c r="J13" s="43" t="str">
        <x:v>待评估</x:v>
      </x:c>
      <x:c r="K13" s="43" t="str"/>
      <x:c r="L13" s="43" t="str"/>
    </x:row>
    <x:row r="14" ht="54" customHeight="1">
      <x:c r="A14" s="41" t="str">
        <x:v>C010</x:v>
      </x:c>
      <x:c r="B14" s="41" t="str"/>
      <x:c r="C14" s="41" t="str"/>
      <x:c r="D14" s="41" t="str"/>
      <x:c r="E14" s="41" t="str"/>
      <x:c r="F14" s="41" t="str"/>
      <x:c r="G14" s="41" t="str"/>
      <x:c r="H14" s="41" t="str"/>
      <x:c r="I14" s="43" t="str">
        <x:v>中</x:v>
      </x:c>
      <x:c r="J14" s="43" t="str">
        <x:v>待评估</x:v>
      </x:c>
      <x:c r="K14" s="43" t="str"/>
      <x:c r="L14" s="43" t="str"/>
    </x:row>
    <x:row r="15" ht="54" customHeight="1">
      <x:c r="A15" s="41" t="str">
        <x:v>C011</x:v>
      </x:c>
      <x:c r="B15" s="41" t="str"/>
      <x:c r="C15" s="41" t="str"/>
      <x:c r="D15" s="41" t="str"/>
      <x:c r="E15" s="41" t="str"/>
      <x:c r="F15" s="41" t="str"/>
      <x:c r="G15" s="41" t="str"/>
      <x:c r="H15" s="41" t="str"/>
      <x:c r="I15" s="43" t="str">
        <x:v>中</x:v>
      </x:c>
      <x:c r="J15" s="43" t="str">
        <x:v>待评估</x:v>
      </x:c>
      <x:c r="K15" s="43" t="str"/>
      <x:c r="L15" s="43" t="str"/>
    </x:row>
    <x:row r="16" ht="54" customHeight="1">
      <x:c r="A16" s="41" t="str">
        <x:v>C012</x:v>
      </x:c>
      <x:c r="B16" s="41" t="str"/>
      <x:c r="C16" s="41" t="str"/>
      <x:c r="D16" s="41" t="str"/>
      <x:c r="E16" s="41" t="str"/>
      <x:c r="F16" s="41" t="str"/>
      <x:c r="G16" s="41" t="str"/>
      <x:c r="H16" s="41" t="str"/>
      <x:c r="I16" s="43" t="str">
        <x:v>中</x:v>
      </x:c>
      <x:c r="J16" s="43" t="str">
        <x:v>待评估</x:v>
      </x:c>
      <x:c r="K16" s="43" t="str"/>
      <x:c r="L16" s="43" t="str"/>
    </x:row>
    <x:row r="17" ht="54" customHeight="1">
      <x:c r="A17" s="41" t="str">
        <x:v>C013</x:v>
      </x:c>
      <x:c r="B17" s="41" t="str"/>
      <x:c r="C17" s="41" t="str"/>
      <x:c r="D17" s="41" t="str"/>
      <x:c r="E17" s="41" t="str"/>
      <x:c r="F17" s="41" t="str"/>
      <x:c r="G17" s="41" t="str"/>
      <x:c r="H17" s="41" t="str"/>
      <x:c r="I17" s="43" t="str">
        <x:v>中</x:v>
      </x:c>
      <x:c r="J17" s="43" t="str">
        <x:v>待评估</x:v>
      </x:c>
      <x:c r="K17" s="43" t="str"/>
      <x:c r="L17" s="43" t="str"/>
    </x:row>
    <x:row r="18" ht="54" customHeight="1">
      <x:c r="A18" s="41" t="str">
        <x:v>C014</x:v>
      </x:c>
      <x:c r="B18" s="41" t="str"/>
      <x:c r="C18" s="41" t="str"/>
      <x:c r="D18" s="41" t="str"/>
      <x:c r="E18" s="41" t="str"/>
      <x:c r="F18" s="41" t="str"/>
      <x:c r="G18" s="41" t="str"/>
      <x:c r="H18" s="41" t="str"/>
      <x:c r="I18" s="43" t="str">
        <x:v>中</x:v>
      </x:c>
      <x:c r="J18" s="43" t="str">
        <x:v>待评估</x:v>
      </x:c>
      <x:c r="K18" s="43" t="str"/>
      <x:c r="L18" s="43" t="str"/>
    </x:row>
    <x:row r="19" ht="54" customHeight="1">
      <x:c r="A19" s="41" t="str">
        <x:v>C015</x:v>
      </x:c>
      <x:c r="B19" s="41" t="str"/>
      <x:c r="C19" s="41" t="str"/>
      <x:c r="D19" s="41" t="str"/>
      <x:c r="E19" s="41" t="str"/>
      <x:c r="F19" s="41" t="str"/>
      <x:c r="G19" s="41" t="str"/>
      <x:c r="H19" s="41" t="str"/>
      <x:c r="I19" s="43" t="str">
        <x:v>中</x:v>
      </x:c>
      <x:c r="J19" s="43" t="str">
        <x:v>待评估</x:v>
      </x:c>
      <x:c r="K19" s="43" t="str"/>
      <x:c r="L19" s="43" t="str"/>
    </x:row>
    <x:row r="20" ht="54" customHeight="1">
      <x:c r="A20" s="41" t="str">
        <x:v>C016</x:v>
      </x:c>
      <x:c r="B20" s="41" t="str"/>
      <x:c r="C20" s="41" t="str"/>
      <x:c r="D20" s="41" t="str"/>
      <x:c r="E20" s="41" t="str"/>
      <x:c r="F20" s="41" t="str"/>
      <x:c r="G20" s="41" t="str"/>
      <x:c r="H20" s="41" t="str"/>
      <x:c r="I20" s="43" t="str">
        <x:v>中</x:v>
      </x:c>
      <x:c r="J20" s="43" t="str">
        <x:v>待评估</x:v>
      </x:c>
      <x:c r="K20" s="43" t="str"/>
      <x:c r="L20" s="43" t="str"/>
    </x:row>
    <x:row r="21" ht="54" customHeight="1">
      <x:c r="A21" s="41" t="str">
        <x:v>C017</x:v>
      </x:c>
      <x:c r="B21" s="41" t="str"/>
      <x:c r="C21" s="41" t="str"/>
      <x:c r="D21" s="41" t="str"/>
      <x:c r="E21" s="41" t="str"/>
      <x:c r="F21" s="41" t="str"/>
      <x:c r="G21" s="41" t="str"/>
      <x:c r="H21" s="41" t="str"/>
      <x:c r="I21" s="43" t="str">
        <x:v>中</x:v>
      </x:c>
      <x:c r="J21" s="43" t="str">
        <x:v>待评估</x:v>
      </x:c>
      <x:c r="K21" s="43" t="str"/>
      <x:c r="L21" s="43" t="str"/>
    </x:row>
    <x:row r="22" ht="54" customHeight="1">
      <x:c r="A22" s="41" t="str">
        <x:v>C018</x:v>
      </x:c>
      <x:c r="B22" s="41" t="str"/>
      <x:c r="C22" s="41" t="str"/>
      <x:c r="D22" s="41" t="str"/>
      <x:c r="E22" s="41" t="str"/>
      <x:c r="F22" s="41" t="str"/>
      <x:c r="G22" s="41" t="str"/>
      <x:c r="H22" s="41" t="str"/>
      <x:c r="I22" s="43" t="str">
        <x:v>中</x:v>
      </x:c>
      <x:c r="J22" s="43" t="str">
        <x:v>待评估</x:v>
      </x:c>
      <x:c r="K22" s="43" t="str"/>
      <x:c r="L22" s="43" t="str"/>
    </x:row>
    <x:row r="23" ht="54" customHeight="1">
      <x:c r="A23" s="41" t="str">
        <x:v>C019</x:v>
      </x:c>
      <x:c r="B23" s="41" t="str"/>
      <x:c r="C23" s="41" t="str"/>
      <x:c r="D23" s="41" t="str"/>
      <x:c r="E23" s="41" t="str"/>
      <x:c r="F23" s="41" t="str"/>
      <x:c r="G23" s="41" t="str"/>
      <x:c r="H23" s="41" t="str"/>
      <x:c r="I23" s="43" t="str">
        <x:v>中</x:v>
      </x:c>
      <x:c r="J23" s="43" t="str">
        <x:v>待评估</x:v>
      </x:c>
      <x:c r="K23" s="43" t="str"/>
      <x:c r="L23" s="43" t="str"/>
    </x:row>
    <x:row r="24" ht="54" customHeight="1">
      <x:c r="A24" s="41" t="str">
        <x:v>C020</x:v>
      </x:c>
      <x:c r="B24" s="41" t="str"/>
      <x:c r="C24" s="41" t="str"/>
      <x:c r="D24" s="41" t="str"/>
      <x:c r="E24" s="41" t="str"/>
      <x:c r="F24" s="41" t="str"/>
      <x:c r="G24" s="41" t="str"/>
      <x:c r="H24" s="41" t="str"/>
      <x:c r="I24" s="43" t="str">
        <x:v>中</x:v>
      </x:c>
      <x:c r="J24" s="43" t="str">
        <x:v>待评估</x:v>
      </x:c>
      <x:c r="K24" s="43" t="str"/>
      <x:c r="L24" s="43" t="str"/>
    </x:row>
    <x:row r="25" ht="54" customHeight="1">
      <x:c r="A25" s="41" t="str">
        <x:v>C021</x:v>
      </x:c>
      <x:c r="B25" s="41" t="str"/>
      <x:c r="C25" s="41" t="str"/>
      <x:c r="D25" s="41" t="str"/>
      <x:c r="E25" s="41" t="str"/>
      <x:c r="F25" s="41" t="str"/>
      <x:c r="G25" s="41" t="str"/>
      <x:c r="H25" s="41" t="str"/>
      <x:c r="I25" s="43" t="str">
        <x:v>中</x:v>
      </x:c>
      <x:c r="J25" s="43" t="str">
        <x:v>待评估</x:v>
      </x:c>
      <x:c r="K25" s="43" t="str"/>
      <x:c r="L25" s="43" t="str"/>
    </x:row>
    <x:row r="26" ht="54" customHeight="1">
      <x:c r="A26" s="41" t="str">
        <x:v>C022</x:v>
      </x:c>
      <x:c r="B26" s="41" t="str"/>
      <x:c r="C26" s="41" t="str"/>
      <x:c r="D26" s="41" t="str"/>
      <x:c r="E26" s="41" t="str"/>
      <x:c r="F26" s="41" t="str"/>
      <x:c r="G26" s="41" t="str"/>
      <x:c r="H26" s="41" t="str"/>
      <x:c r="I26" s="43" t="str">
        <x:v>中</x:v>
      </x:c>
      <x:c r="J26" s="43" t="str">
        <x:v>待评估</x:v>
      </x:c>
      <x:c r="K26" s="43" t="str"/>
      <x:c r="L26" s="43" t="str"/>
    </x:row>
    <x:row r="27" ht="54" customHeight="1">
      <x:c r="A27" s="41" t="str">
        <x:v>C023</x:v>
      </x:c>
      <x:c r="B27" s="41" t="str"/>
      <x:c r="C27" s="41" t="str"/>
      <x:c r="D27" s="41" t="str"/>
      <x:c r="E27" s="41" t="str"/>
      <x:c r="F27" s="41" t="str"/>
      <x:c r="G27" s="41" t="str"/>
      <x:c r="H27" s="41" t="str"/>
      <x:c r="I27" s="43" t="str">
        <x:v>中</x:v>
      </x:c>
      <x:c r="J27" s="43" t="str">
        <x:v>待评估</x:v>
      </x:c>
      <x:c r="K27" s="43" t="str"/>
      <x:c r="L27" s="43" t="str"/>
    </x:row>
    <x:row r="28" ht="54" customHeight="1">
      <x:c r="A28" s="41" t="str">
        <x:v>C024</x:v>
      </x:c>
      <x:c r="B28" s="41" t="str"/>
      <x:c r="C28" s="41" t="str"/>
      <x:c r="D28" s="41" t="str"/>
      <x:c r="E28" s="41" t="str"/>
      <x:c r="F28" s="41" t="str"/>
      <x:c r="G28" s="41" t="str"/>
      <x:c r="H28" s="41" t="str"/>
      <x:c r="I28" s="43" t="str">
        <x:v>中</x:v>
      </x:c>
      <x:c r="J28" s="43" t="str">
        <x:v>待评估</x:v>
      </x:c>
      <x:c r="K28" s="43" t="str"/>
      <x:c r="L28" s="43" t="str"/>
    </x:row>
    <x:row r="29" ht="54" customHeight="1">
      <x:c r="A29" s="41" t="str">
        <x:v>C025</x:v>
      </x:c>
      <x:c r="B29" s="41" t="str"/>
      <x:c r="C29" s="41" t="str"/>
      <x:c r="D29" s="41" t="str"/>
      <x:c r="E29" s="41" t="str"/>
      <x:c r="F29" s="41" t="str"/>
      <x:c r="G29" s="41" t="str"/>
      <x:c r="H29" s="41" t="str"/>
      <x:c r="I29" s="43" t="str">
        <x:v>中</x:v>
      </x:c>
      <x:c r="J29" s="43" t="str">
        <x:v>待评估</x:v>
      </x:c>
      <x:c r="K29" s="43" t="str"/>
      <x:c r="L29" s="43" t="str"/>
    </x:row>
    <x:row r="30" ht="54" customHeight="1">
      <x:c r="A30" s="41" t="str">
        <x:v>C026</x:v>
      </x:c>
      <x:c r="B30" s="41" t="str"/>
      <x:c r="C30" s="41" t="str"/>
      <x:c r="D30" s="41" t="str"/>
      <x:c r="E30" s="41" t="str"/>
      <x:c r="F30" s="41" t="str"/>
      <x:c r="G30" s="41" t="str"/>
      <x:c r="H30" s="41" t="str"/>
      <x:c r="I30" s="43" t="str">
        <x:v>中</x:v>
      </x:c>
      <x:c r="J30" s="43" t="str">
        <x:v>待评估</x:v>
      </x:c>
      <x:c r="K30" s="43" t="str"/>
      <x:c r="L30" s="43" t="str"/>
    </x:row>
    <x:row r="31" ht="54" customHeight="1">
      <x:c r="A31" s="41" t="str">
        <x:v>C027</x:v>
      </x:c>
      <x:c r="B31" s="41" t="str"/>
      <x:c r="C31" s="41" t="str"/>
      <x:c r="D31" s="41" t="str"/>
      <x:c r="E31" s="41" t="str"/>
      <x:c r="F31" s="41" t="str"/>
      <x:c r="G31" s="41" t="str"/>
      <x:c r="H31" s="41" t="str"/>
      <x:c r="I31" s="43" t="str">
        <x:v>中</x:v>
      </x:c>
      <x:c r="J31" s="43" t="str">
        <x:v>待评估</x:v>
      </x:c>
      <x:c r="K31" s="43" t="str"/>
      <x:c r="L31" s="43" t="str"/>
    </x:row>
    <x:row r="32" ht="54" customHeight="1">
      <x:c r="A32" s="41" t="str">
        <x:v>C028</x:v>
      </x:c>
      <x:c r="B32" s="41" t="str"/>
      <x:c r="C32" s="41" t="str"/>
      <x:c r="D32" s="41" t="str"/>
      <x:c r="E32" s="41" t="str"/>
      <x:c r="F32" s="41" t="str"/>
      <x:c r="G32" s="41" t="str"/>
      <x:c r="H32" s="41" t="str"/>
      <x:c r="I32" s="43" t="str">
        <x:v>中</x:v>
      </x:c>
      <x:c r="J32" s="43" t="str">
        <x:v>待评估</x:v>
      </x:c>
      <x:c r="K32" s="43" t="str"/>
      <x:c r="L32" s="43" t="str"/>
    </x:row>
    <x:row r="33" ht="54" customHeight="1">
      <x:c r="A33" s="41" t="str">
        <x:v>C029</x:v>
      </x:c>
      <x:c r="B33" s="41" t="str"/>
      <x:c r="C33" s="41" t="str"/>
      <x:c r="D33" s="41" t="str"/>
      <x:c r="E33" s="41" t="str"/>
      <x:c r="F33" s="41" t="str"/>
      <x:c r="G33" s="41" t="str"/>
      <x:c r="H33" s="41" t="str"/>
      <x:c r="I33" s="43" t="str">
        <x:v>中</x:v>
      </x:c>
      <x:c r="J33" s="43" t="str">
        <x:v>待评估</x:v>
      </x:c>
      <x:c r="K33" s="43" t="str"/>
      <x:c r="L33" s="43" t="str"/>
    </x:row>
    <x:row r="34" ht="54" customHeight="1">
      <x:c r="A34" s="41" t="str">
        <x:v>C030</x:v>
      </x:c>
      <x:c r="B34" s="41" t="str"/>
      <x:c r="C34" s="41" t="str"/>
      <x:c r="D34" s="41" t="str"/>
      <x:c r="E34" s="41" t="str"/>
      <x:c r="F34" s="41" t="str"/>
      <x:c r="G34" s="41" t="str"/>
      <x:c r="H34" s="41" t="str"/>
      <x:c r="I34" s="43" t="str">
        <x:v>中</x:v>
      </x:c>
      <x:c r="J34" s="43" t="str">
        <x:v>待评估</x:v>
      </x:c>
      <x:c r="K34" s="43" t="str"/>
      <x:c r="L34" s="43" t="str"/>
    </x:row>
  </x:sheetData>
  <x:mergeCells>
    <x:mergeCell ref="A1:L1"/>
    <x:mergeCell ref="A2:L2"/>
  </x:mergeCells>
  <x:dataValidations count="2">
    <x:dataValidation type="list" sqref="I5:I34">
      <x:formula1>"P0,P1,P2,P3,高,中,低"</x:formula1>
    </x:dataValidation>
    <x:dataValidation type="list" sqref="J5:J34">
      <x:formula1>"待评估,评估中,已批准,已拒绝,已实施,已关闭,不纳入"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8f2c0156bb4e65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48" hidden="0" customWidth="1"/>
    <x:col min="3" max="3" width="30" hidden="0" customWidth="1"/>
    <x:col min="4" max="4" width="24" hidden="0" customWidth="1"/>
    <x:col min="5" max="5" width="32" hidden="0" customWidth="1"/>
    <x:col min="6" max="6" width="42" hidden="0" customWidth="1"/>
    <x:col min="7" max="7" width="42" hidden="0" customWidth="1"/>
    <x:col min="8" max="8" width="34" hidden="0" customWidth="1"/>
  </x:cols>
  <x:sheetData>
    <x:row r="1" ht="28" customHeight="1">
      <x:c r="A1" s="2" t="str">
        <x:v>使用说明｜客户评审工作簿</x:v>
      </x:c>
      <x:c r="B1" s="59"/>
      <x:c r="C1" s="59"/>
      <x:c r="D1" s="59"/>
      <x:c r="E1" s="59"/>
      <x:c r="F1" s="59"/>
      <x:c r="G1" s="59"/>
      <x:c r="H1" s="59"/>
    </x:row>
    <x:row r="2" ht="24" customHeight="1">
      <x:c r="A2" s="5" t="str">
        <x:v>本文件是需求定稿工具，不是开发完成率表；所有黄色单元格均需要客户或项目组在评审过程中回填。</x:v>
      </x:c>
      <x:c r="B2" s="59"/>
      <x:c r="C2" s="59"/>
      <x:c r="D2" s="59"/>
      <x:c r="E2" s="59"/>
      <x:c r="F2" s="59"/>
      <x:c r="G2" s="59"/>
      <x:c r="H2" s="59"/>
    </x:row>
    <x:row r="3">
      <x:c r="A3" s="59"/>
      <x:c r="B3" s="59"/>
      <x:c r="C3" s="59"/>
      <x:c r="D3" s="59"/>
      <x:c r="E3" s="59"/>
      <x:c r="F3" s="59"/>
      <x:c r="G3" s="59"/>
      <x:c r="H3" s="59"/>
    </x:row>
    <x:row r="4">
      <x:c r="A4" s="25" t="str">
        <x:v>章节</x:v>
      </x:c>
      <x:c r="B4" s="26" t="str">
        <x:v>用法</x:v>
      </x:c>
      <x:c r="C4" s="26" t="str">
        <x:v>谁来填写</x:v>
      </x:c>
      <x:c r="D4" s="26" t="str">
        <x:v>什么时候填写</x:v>
      </x:c>
      <x:c r="E4" s="26" t="str">
        <x:v>状态说明</x:v>
      </x:c>
      <x:c r="F4" s="26" t="str">
        <x:v>与其他表的关系</x:v>
      </x:c>
      <x:c r="G4" s="26" t="str">
        <x:v>本轮输出</x:v>
      </x:c>
      <x:c r="H4" s="27" t="str">
        <x:v>备注</x:v>
      </x:c>
    </x:row>
    <x:row r="5" ht="70" customHeight="1">
      <x:c r="A5" s="40" t="str">
        <x:v>1. 项目总览</x:v>
      </x:c>
      <x:c r="B5" s="40" t="str">
        <x:v>看整体范围、里程碑、目标时间和优先决策</x:v>
      </x:c>
      <x:c r="C5" s="40" t="str">
        <x:v>项目经理维护；客户确认重点</x:v>
      </x:c>
      <x:c r="D5" s="40" t="str">
        <x:v>每次会议前后</x:v>
      </x:c>
      <x:c r="E5" s="40" t="str">
        <x:v>评审中/待确认</x:v>
      </x:c>
      <x:c r="F5" s="40" t="str">
        <x:v>汇总需求对齐主表和待确认决策</x:v>
      </x:c>
      <x:c r="G5" s="40" t="str">
        <x:v>明确本轮会议顺序</x:v>
      </x:c>
      <x:c r="H5" s="40" t="str">
        <x:v>目标时间仍待客户确认</x:v>
      </x:c>
    </x:row>
    <x:row r="6" ht="70" customHeight="1">
      <x:c r="A6" s="41" t="str">
        <x:v>2. 需求对齐主表</x:v>
      </x:c>
      <x:c r="B6" s="41" t="str">
        <x:v>从A-001开始逐条确认功能和业务目的</x:v>
      </x:c>
      <x:c r="C6" s="41" t="str">
        <x:v>客户业务负责人+项目经理</x:v>
      </x:c>
      <x:c r="D6" s="41" t="str">
        <x:v>需求评审主会</x:v>
      </x:c>
      <x:c r="E6" s="41" t="str">
        <x:v>待确认/已确认/有条件确认/需调整/不纳入</x:v>
      </x:c>
      <x:c r="F6" s="41" t="str">
        <x:v>关联流程、表单、字段和原型页面</x:v>
      </x:c>
      <x:c r="G6" s="41" t="str">
        <x:v>形成客户可签字/邮件确认的主清单</x:v>
      </x:c>
      <x:c r="H6" s="41" t="str">
        <x:v>不要只在备注中确认</x:v>
      </x:c>
    </x:row>
    <x:row r="7" ht="70" customHeight="1">
      <x:c r="A7" s="41" t="str">
        <x:v>3. 模块范围</x:v>
      </x:c>
      <x:c r="B7" s="41" t="str">
        <x:v>确认模块是否纳入及边界</x:v>
      </x:c>
      <x:c r="C7" s="41" t="str">
        <x:v>客户负责人、项目经理</x:v>
      </x:c>
      <x:c r="D7" s="41" t="str">
        <x:v>先于功能确认</x:v>
      </x:c>
      <x:c r="E7" s="41" t="str">
        <x:v>待确认</x:v>
      </x:c>
      <x:c r="F7" s="41" t="str">
        <x:v>向下约束功能、流程和表单</x:v>
      </x:c>
      <x:c r="G7" s="41" t="str">
        <x:v>形成一期范围边界</x:v>
      </x:c>
      <x:c r="H7" s="41" t="str">
        <x:v>范围不清不进入开发承诺</x:v>
      </x:c>
    </x:row>
    <x:row r="8" ht="70" customHeight="1">
      <x:c r="A8" s="41" t="str">
        <x:v>4. 流程逐条确认</x:v>
      </x:c>
      <x:c r="B8" s="41" t="str">
        <x:v>按每一步确认触发、角色、状态和异常</x:v>
      </x:c>
      <x:c r="C8" s="41" t="str">
        <x:v>业务负责人、主管、仓库、财务</x:v>
      </x:c>
      <x:c r="D8" s="41" t="str">
        <x:v>主链路评审</x:v>
      </x:c>
      <x:c r="E8" s="41" t="str">
        <x:v>待确认</x:v>
      </x:c>
      <x:c r="F8" s="41" t="str">
        <x:v>对应需求主表的关联流程</x:v>
      </x:c>
      <x:c r="G8" s="41" t="str">
        <x:v>形成可跑通的业务闭环</x:v>
      </x:c>
      <x:c r="H8" s="41" t="str">
        <x:v>报价到仓库通是重点争议链路</x:v>
      </x:c>
    </x:row>
    <x:row r="9" ht="70" customHeight="1">
      <x:c r="A9" s="41" t="str">
        <x:v>5. 表单/字段</x:v>
      </x:c>
      <x:c r="B9" s="41" t="str">
        <x:v>先确认表单用途，再确认字段名称、类型和必填</x:v>
      </x:c>
      <x:c r="C9" s="41" t="str">
        <x:v>业务负责人、实际操作人</x:v>
      </x:c>
      <x:c r="D9" s="41" t="str">
        <x:v>流程稳定后</x:v>
      </x:c>
      <x:c r="E9" s="41" t="str">
        <x:v>待确认</x:v>
      </x:c>
      <x:c r="F9" s="41" t="str">
        <x:v>字段决定原型和验收数据</x:v>
      </x:c>
      <x:c r="G9" s="41" t="str">
        <x:v>形成字段定稿清单</x:v>
      </x:c>
      <x:c r="H9" s="41" t="str">
        <x:v>不要先按视觉布局定字段</x:v>
      </x:c>
    </x:row>
    <x:row r="10" ht="70" customHeight="1">
      <x:c r="A10" s="41" t="str">
        <x:v>6. 原型页面</x:v>
      </x:c>
      <x:c r="B10" s="41" t="str">
        <x:v>确认页面是否覆盖已确认需求，记录差异</x:v>
      </x:c>
      <x:c r="C10" s="41" t="str">
        <x:v>产品/客户代表</x:v>
      </x:c>
      <x:c r="D10" s="41" t="str">
        <x:v>需求逐条确认后</x:v>
      </x:c>
      <x:c r="E10" s="41" t="str">
        <x:v>待确认</x:v>
      </x:c>
      <x:c r="F10" s="41" t="str">
        <x:v>只作为讨论底稿，不替代需求结论</x:v>
      </x:c>
      <x:c r="G10" s="41" t="str">
        <x:v>形成页面差异清单</x:v>
      </x:c>
      <x:c r="H10" s="41" t="str">
        <x:v>差异进入需求变更记录</x:v>
      </x:c>
    </x:row>
    <x:row r="11" ht="70" customHeight="1">
      <x:c r="A11" s="41" t="str">
        <x:v>7. 待确认决策</x:v>
      </x:c>
      <x:c r="B11" s="41" t="str">
        <x:v>集中记录所有争议、责任人和需准备样例</x:v>
      </x:c>
      <x:c r="C11" s="41" t="str">
        <x:v>项目经理维护；客户给结论</x:v>
      </x:c>
      <x:c r="D11" s="41" t="str">
        <x:v>会前准备/会中记录</x:v>
      </x:c>
      <x:c r="E11" s="41" t="str">
        <x:v>待确认/评审中/已确认</x:v>
      </x:c>
      <x:c r="F11" s="41" t="str">
        <x:v>影响模块、流程、字段和原型</x:v>
      </x:c>
      <x:c r="G11" s="41" t="str">
        <x:v>避免未决事项被隐藏</x:v>
      </x:c>
      <x:c r="H11" s="41" t="str">
        <x:v>决策结论要可追溯</x:v>
      </x:c>
    </x:row>
    <x:row r="12" ht="70" customHeight="1">
      <x:c r="A12" s="41" t="str">
        <x:v>8. 需求变更记录</x:v>
      </x:c>
      <x:c r="B12" s="41" t="str">
        <x:v>客户确认后发生变更时新增记录</x:v>
      </x:c>
      <x:c r="C12" s="41" t="str">
        <x:v>项目经理维护</x:v>
      </x:c>
      <x:c r="D12" s="41" t="str">
        <x:v>确认后变更</x:v>
      </x:c>
      <x:c r="E12" s="41" t="str">
        <x:v>待评估/已批准/已实施</x:v>
      </x:c>
      <x:c r="F12" s="41" t="str">
        <x:v>关联需求编号或流程步骤</x:v>
      </x:c>
      <x:c r="G12" s="41" t="str">
        <x:v>保留版本和影响范围</x:v>
      </x:c>
      <x:c r="H12" s="41" t="str">
        <x:v>不覆盖原始确认记录</x:v>
      </x:c>
    </x:row>
    <x:row r="13">
      <x:c r="A13" s="59"/>
      <x:c r="B13" s="59"/>
      <x:c r="C13" s="59"/>
      <x:c r="D13" s="59"/>
      <x:c r="E13" s="59"/>
      <x:c r="F13" s="59"/>
      <x:c r="G13" s="59"/>
      <x:c r="H13" s="59"/>
    </x:row>
    <x:row r="14">
      <x:c r="A14" s="59"/>
      <x:c r="B14" s="59"/>
      <x:c r="C14" s="59"/>
      <x:c r="D14" s="59"/>
      <x:c r="E14" s="59"/>
      <x:c r="F14" s="59"/>
      <x:c r="G14" s="59"/>
      <x:c r="H14" s="59"/>
    </x:row>
    <x:row r="15" ht="30" customHeight="1">
      <x:c r="A15" s="56" t="str">
        <x:v>评审顺序建议：①项目总览范围 → ②需求对齐主表 → ③流程逐条确认 → ④表单清单 → ⑤字段逐项确认 → ⑥角色权限 → ⑦原型页面 → ⑧待确认决策 → ⑨需求变更。</x:v>
      </x:c>
      <x:c r="B15" s="57"/>
      <x:c r="C15" s="57"/>
      <x:c r="D15" s="57"/>
      <x:c r="E15" s="57"/>
      <x:c r="F15" s="57"/>
      <x:c r="G15" s="57"/>
      <x:c r="H15" s="58"/>
    </x:row>
    <x:row r="16">
      <x:c r="A16" s="59"/>
      <x:c r="B16" s="59"/>
      <x:c r="C16" s="59"/>
      <x:c r="D16" s="59"/>
      <x:c r="E16" s="59"/>
      <x:c r="F16" s="59"/>
      <x:c r="G16" s="59"/>
      <x:c r="H16" s="59"/>
    </x:row>
    <x:row r="17" ht="32" customHeight="1">
      <x:c r="A17" s="49" t="str">
        <x:v>状态边界：当前原型“可演示”只代表页面已有展示，不代表客户已经确认；只有客户明确选择“已确认”并写下必要结论，才可进入需求批准和开发排期。</x:v>
      </x:c>
      <x:c r="B17" s="50"/>
      <x:c r="C17" s="50"/>
      <x:c r="D17" s="50"/>
      <x:c r="E17" s="50"/>
      <x:c r="F17" s="50"/>
      <x:c r="G17" s="50"/>
      <x:c r="H17" s="51"/>
    </x:row>
  </x:sheetData>
  <x:mergeCells>
    <x:mergeCell ref="A1:H1"/>
    <x:mergeCell ref="A2:H2"/>
    <x:mergeCell ref="A15:H15"/>
    <x:mergeCell ref="A17:H17"/>
  </x:mergeCells>
  <x:pageMargins left="0.7" right="0.7" top="0.75" bottom="0.75" header="0.3" footer="0.3"/>
</x:worksheet>
</file>